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560107df9d48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사용안내" sheetId="1" r:id="R9e7a33b2f0ef4b7d"/>
    <x:sheet xmlns:r="http://schemas.openxmlformats.org/officeDocument/2006/relationships" name="01_원주율" sheetId="2" r:id="Rc78f2e58d4fc4c4d"/>
    <x:sheet xmlns:r="http://schemas.openxmlformats.org/officeDocument/2006/relationships" name="02_GBM" sheetId="3" r:id="R2f794311b2b7482b"/>
    <x:sheet xmlns:r="http://schemas.openxmlformats.org/officeDocument/2006/relationships" name="03_실제자료" sheetId="4" r:id="R07493efdcafd4984"/>
    <x:sheet xmlns:r="http://schemas.openxmlformats.org/officeDocument/2006/relationships" name="04_고정비교" sheetId="5" r:id="R0118f50707a54c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00"/>
    <x:numFmt numFmtId="201" formatCode="0.0%"/>
    <x:numFmt numFmtId="202" formatCode="0.000000"/>
    <x:numFmt numFmtId="203" formatCode="0.00"/>
    <x:numFmt numFmtId="204" formatCode="yyyy-mm-dd"/>
  </x:numFmts>
  <x:fonts count="4">
    <x:font>
      <x:sz val="11"/>
      <x:name val="Carlito"/>
    </x:font>
    <x:font>
      <x:sz val="11"/>
      <x:color rgb="FF182C49"/>
      <x:name val="Arial"/>
    </x:font>
    <x:font>
      <x:b/>
      <x:sz val="16"/>
      <x:color rgb="FF17478D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478D"/>
      </x:patternFill>
    </x:fill>
    <x:fill>
      <x:patternFill patternType="solid">
        <x:fgColor rgb="FFEEF5FF"/>
      </x:patternFill>
    </x:fill>
    <x:fill>
      <x:patternFill patternType="solid">
        <x:fgColor rgb="FFFFF0C2"/>
      </x:patternFill>
    </x:fill>
  </x:fills>
  <x:borders count="1">
    <x:border/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0" fontId="1" fillId="4" borderId="0" xfId="0" applyNumberFormat="1" applyFont="1" applyFill="1" applyBorder="1"/>
    <x:xf numFmtId="201" fontId="1" fillId="4" borderId="0" xfId="0" applyNumberFormat="1" applyFont="1" applyFill="1" applyBorder="1"/>
    <x:xf numFmtId="201" fontId="1" fillId="0" borderId="0" xfId="0" applyNumberFormat="1" applyFont="1" applyFill="1" applyBorder="1"/>
    <x:xf numFmtId="202" fontId="1" fillId="4" borderId="0" xfId="0" applyNumberFormat="1" applyFont="1" applyFill="1" applyBorder="1"/>
    <x:xf numFmtId="202" fontId="1" fillId="3" borderId="0" xfId="0" applyNumberFormat="1" applyFont="1" applyFill="1" applyBorder="1"/>
    <x:xf numFmtId="203" fontId="1" fillId="0" borderId="0" xfId="0" applyNumberFormat="1" applyFont="1" applyFill="1" applyBorder="1"/>
    <x:xf numFmtId="203" fontId="1" fillId="3" borderId="0" xfId="0" applyNumberFormat="1" applyFont="1" applyFill="1" applyBorder="1"/>
    <x:xf numFmtId="204" fontId="1" fillId="4" borderId="0" xfId="0" applyNumberFormat="1" applyFont="1" applyFill="1" applyBorder="1"/>
    <x:xf numFmtId="203" fontId="1" fillId="4" borderId="0" xfId="0" applyNumberFormat="1" applyFont="1" applyFill="1" applyBorder="1"/>
    <x:xf numFmtId="202" fontId="1" fillId="0" borderId="0" xfId="0" applyNumberFormat="1" applyFont="1" applyFill="1" applyBorder="1"/>
    <x:xf numFmtId="200" fontId="1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b1853a171d42de" /><Relationship Type="http://schemas.openxmlformats.org/officeDocument/2006/relationships/theme" Target="/xl/theme/theme1.xml" Id="R78dc2ec30dd24259" /><Relationship Type="http://schemas.openxmlformats.org/officeDocument/2006/relationships/sharedStrings" Target="/xl/sharedStrings.xml" Id="R5aae3b382cb8456a" /><Relationship Type="http://schemas.openxmlformats.org/officeDocument/2006/relationships/worksheet" Target="/xl/worksheets/sheet1.xml" Id="R9e7a33b2f0ef4b7d" /><Relationship Type="http://schemas.openxmlformats.org/officeDocument/2006/relationships/worksheet" Target="/xl/worksheets/sheet2.xml" Id="Rc78f2e58d4fc4c4d" /><Relationship Type="http://schemas.openxmlformats.org/officeDocument/2006/relationships/worksheet" Target="/xl/worksheets/sheet3.xml" Id="R2f794311b2b7482b" /><Relationship Type="http://schemas.openxmlformats.org/officeDocument/2006/relationships/worksheet" Target="/xl/worksheets/sheet4.xml" Id="R07493efdcafd4984" /><Relationship Type="http://schemas.openxmlformats.org/officeDocument/2006/relationships/worksheet" Target="/xl/worksheets/sheet5.xml" Id="R0118f50707a54c6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478D"/>
  </x:sheetPr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</x:row>
    <x:row r="2" ht="22" customHeight="1">
      <x:c r="A2" s="2" t="str">
        <x:v>Shinhan 5h · 완성 수식 파일</x:v>
      </x:c>
      <x:c r="B2" s="1"/>
      <x:c r="C2" s="1"/>
      <x:c r="D2" s="1"/>
      <x:c r="E2" s="1"/>
      <x:c r="F2" s="1"/>
      <x:c r="G2" s="1"/>
      <x:c r="H2" s="1"/>
    </x:row>
    <x:row r="3" ht="22" customHeight="1">
      <x:c r="A3" s="1"/>
      <x:c r="B3" s="1"/>
      <x:c r="C3" s="1"/>
      <x:c r="D3" s="1"/>
      <x:c r="E3" s="1"/>
      <x:c r="F3" s="1"/>
      <x:c r="G3" s="1"/>
      <x:c r="H3" s="1"/>
    </x:row>
    <x:row r="4" ht="29" customHeight="1">
      <x:c r="A4" s="1" t="str">
        <x:v>학습 순서: RAND → 원주율 → 정규난수 → 정확한 이산 GBM → 실제 수익률 비교</x:v>
      </x:c>
      <x:c r="B4" s="1"/>
      <x:c r="C4" s="1"/>
      <x:c r="D4" s="1"/>
      <x:c r="E4" s="1"/>
      <x:c r="F4" s="1"/>
      <x:c r="G4" s="1"/>
      <x:c r="H4" s="1"/>
    </x:row>
    <x:row r="5" ht="29" customHeight="1">
      <x:c r="A5" s="1" t="str">
        <x:v>노란 셀은 입력, 옅은 파란 셀은 작성할 수식입니다. 시작 파일에는 정답 수식이 비어 있습니다.</x:v>
      </x:c>
      <x:c r="B5" s="1"/>
      <x:c r="C5" s="1"/>
      <x:c r="D5" s="1"/>
      <x:c r="E5" s="1"/>
      <x:c r="F5" s="1"/>
      <x:c r="G5" s="1"/>
      <x:c r="H5" s="1"/>
    </x:row>
    <x:row r="6" ht="29" customHeight="1">
      <x:c r="A6" s="1" t="str">
        <x:v>완성 파일도 실제 가격 입력 칸은 비어 있습니다. 아래 공식 링크에서 직접 내려받아 넣으세요.</x:v>
      </x:c>
      <x:c r="B6" s="1"/>
      <x:c r="C6" s="1"/>
      <x:c r="D6" s="1"/>
      <x:c r="E6" s="1"/>
      <x:c r="F6" s="1"/>
      <x:c r="G6" s="1"/>
      <x:c r="H6" s="1"/>
    </x:row>
    <x:row r="7" ht="29" customHeight="1">
      <x:c r="A7" s="1" t="str">
        <x:v>01_원주율: B9:F9 수식을 1008행까지 채우고 F9:F1008 수렴을 선 그래프로 확인합니다.</x:v>
      </x:c>
      <x:c r="B7" s="1"/>
      <x:c r="C7" s="1"/>
      <x:c r="D7" s="1"/>
      <x:c r="E7" s="1"/>
      <x:c r="F7" s="1"/>
      <x:c r="G7" s="1"/>
      <x:c r="H7" s="1"/>
    </x:row>
    <x:row r="8" ht="29" customHeight="1">
      <x:c r="A8" s="1" t="str">
        <x:v>02_GBM: 252 거래일, S0=100, 연 μ=8%, 연 σ=20%, Δt=1/252. F9=100입니다.</x:v>
      </x:c>
      <x:c r="B8" s="1"/>
      <x:c r="C8" s="1"/>
      <x:c r="D8" s="1"/>
      <x:c r="E8" s="1"/>
      <x:c r="F8" s="1"/>
      <x:c r="G8" s="1"/>
      <x:c r="H8" s="1"/>
    </x:row>
    <x:row r="9" ht="29" customHeight="1">
      <x:c r="A9" s="1" t="str">
        <x:v>GBM은 매 재계산 때 바뀝니다. F9가 아닌 10행부터 난수·로그수익률·가격을 계산합니다.</x:v>
      </x:c>
      <x:c r="B9" s="1"/>
      <x:c r="C9" s="1"/>
      <x:c r="D9" s="1"/>
      <x:c r="E9" s="1"/>
      <x:c r="F9" s="1"/>
      <x:c r="G9" s="1"/>
      <x:c r="H9" s="1"/>
    </x:row>
    <x:row r="10" ht="29" customHeight="1">
      <x:c r="A10" s="1" t="str">
        <x:v>03_실제자료: CSV에서 결측값 행 삭제 → 날짜 오름차순 → A10:B열에 날짜와 가격 붙여넣기.</x:v>
      </x:c>
      <x:c r="B10" s="1"/>
      <x:c r="C10" s="1"/>
      <x:c r="D10" s="1"/>
      <x:c r="E10" s="1"/>
      <x:c r="F10" s="1"/>
      <x:c r="G10" s="1"/>
      <x:c r="H10" s="1"/>
    </x:row>
    <x:row r="11" ht="29" customHeight="1">
      <x:c r="A11" s="1" t="str">
        <x:v>가격은 0보다 커야 합니다. 휴일/결측은 0이나 전일값으로 채우지 않습니다. 최대 2,000개 가격.</x:v>
      </x:c>
      <x:c r="B11" s="1"/>
      <x:c r="C11" s="1"/>
      <x:c r="D11" s="1"/>
      <x:c r="E11" s="1"/>
      <x:c r="F11" s="1"/>
      <x:c r="G11" s="1"/>
      <x:c r="H11" s="1"/>
    </x:row>
    <x:row r="12" ht="29" customHeight="1">
      <x:c r="A12" s="1" t="str">
        <x:v>FRED CSV의 observation_date,SP500 헤더는 복사하지 말고 값만 붙여넣으세요.</x:v>
      </x:c>
      <x:c r="B12" s="1"/>
      <x:c r="C12" s="1"/>
      <x:c r="D12" s="1"/>
      <x:c r="E12" s="1"/>
      <x:c r="F12" s="1"/>
      <x:c r="G12" s="1"/>
      <x:c r="H12" s="1"/>
    </x:row>
    <x:row r="13" ht="29" customHeight="1">
      <x:c r="A13" s="1" t="str">
        <x:v>04_고정비교: 실제 자료의 평균·표준편차로 보정한 고정seed 합성 GBM. 실제 가격 데이터 아님.</x:v>
      </x:c>
      <x:c r="B13" s="1"/>
      <x:c r="C13" s="1"/>
      <x:c r="D13" s="1"/>
      <x:c r="E13" s="1"/>
      <x:c r="F13" s="1"/>
      <x:c r="G13" s="1"/>
      <x:c r="H13" s="1"/>
    </x:row>
    <x:row r="14" ht="29" customHeight="1">
      <x:c r="A14" s="1" t="str">
        <x:v>KURT는 초과첨도입니다. 정규분포의 이론값은 0이나 유한 표본은 정확히 0이 아닙니다.</x:v>
      </x:c>
      <x:c r="B14" s="1"/>
      <x:c r="C14" s="1"/>
      <x:c r="D14" s="1"/>
      <x:c r="E14" s="1"/>
      <x:c r="F14" s="1"/>
      <x:c r="G14" s="1"/>
      <x:c r="H14" s="1"/>
    </x:row>
    <x:row r="15" ht="29" customHeight="1">
      <x:c r="A15" s="1" t="str">
        <x:v>자기상관은 현재와 k일 전 값의 CORREL입니다. |r|와 r²의 지속성이 변동성 군집 지표입니다.</x:v>
      </x:c>
      <x:c r="B15" s="1"/>
      <x:c r="C15" s="1"/>
      <x:c r="D15" s="1"/>
      <x:c r="E15" s="1"/>
      <x:c r="F15" s="1"/>
      <x:c r="G15" s="1"/>
      <x:c r="H15" s="1"/>
    </x:row>
    <x:row r="16" ht="29" customHeight="1">
      <x:c r="A16" s="1" t="str">
        <x:v>수익률의 분포와 시간 순서는 다른 질문입니다. 히스토그램만으로 군집을 판정하지 않습니다.</x:v>
      </x:c>
      <x:c r="B16" s="1"/>
      <x:c r="C16" s="1"/>
      <x:c r="D16" s="1"/>
      <x:c r="E16" s="1"/>
      <x:c r="F16" s="1"/>
      <x:c r="G16" s="1"/>
      <x:c r="H16" s="1"/>
    </x:row>
    <x:row r="17" ht="29" customHeight="1">
      <x:c r="A17" s="1" t="str">
        <x:v>F9로 재계산. 재현이 필요하면 난수 열 복사 → 선택하여 붙여넣기 → 값으로 고정합니다.</x:v>
      </x:c>
      <x:c r="B17" s="1"/>
      <x:c r="C17" s="1"/>
      <x:c r="D17" s="1"/>
      <x:c r="E17" s="1"/>
      <x:c r="F17" s="1"/>
      <x:c r="G17" s="1"/>
      <x:c r="H17" s="1"/>
    </x:row>
    <x:row r="18" ht="29" customHeight="1">
      <x:c r="A18" s="1" t="str">
        <x:v>수식은 Windows Excel 2016+ 표준 함수. 일부 지역 설정은 쉼표 대신 세미콜론이 필요합니다.</x:v>
      </x:c>
      <x:c r="B18" s="1"/>
      <x:c r="C18" s="1"/>
      <x:c r="D18" s="1"/>
      <x:c r="E18" s="1"/>
      <x:c r="F18" s="1"/>
      <x:c r="G18" s="1"/>
      <x:c r="H18" s="1"/>
    </x:row>
    <x:row r="19" ht="29" customHeight="1">
      <x:c r="A19" s="1" t="str">
        <x:v>출처: FRED, S&amp;P Dow Jones Indices. 2020-01-02~2025-12-31, 가격 1,508개 / 로그수익률 1,507개.</x:v>
      </x:c>
      <x:c r="B19" s="1"/>
      <x:c r="C19" s="1"/>
      <x:c r="D19" s="1"/>
      <x:c r="E19" s="1"/>
      <x:c r="F19" s="1"/>
      <x:c r="G19" s="1"/>
      <x:c r="H19" s="1"/>
    </x:row>
    <x:row r="20" ht="29" customHeight="1">
      <x:c r="A20" s="1" t="str">
        <x:v>S&amp;P500 가격지수: 배당 미포함, 총수익지수 아님. 원자료 재배포 권한은 별도 확인하세요.</x:v>
      </x:c>
      <x:c r="B20" s="1"/>
      <x:c r="C20" s="1"/>
      <x:c r="D20" s="1"/>
      <x:c r="E20" s="1"/>
      <x:c r="F20" s="1"/>
      <x:c r="G20" s="1"/>
      <x:c r="H20" s="1"/>
    </x:row>
    <x:row r="21" ht="29" customHeight="1">
      <x:c r="A21" s="1" t="str">
        <x:v>공식 데이터: https://fred.stlouisfed.org/graph/fredgraph.csv?id=SP500&amp;cosd=2020-01-01&amp;coed=2025-12-31</x:v>
      </x:c>
      <x:c r="B21" s="1"/>
      <x:c r="C21" s="1"/>
      <x:c r="D21" s="1"/>
      <x:c r="E21" s="1"/>
      <x:c r="F21" s="1"/>
      <x:c r="G21" s="1"/>
      <x:c r="H21" s="1"/>
    </x:row>
    <x:row r="22" ht="29" customHeight="1">
      <x:c r="A22" s="1" t="str">
        <x:v>시리즈 설명 및 권리: https://fred.stlouisfed.org/series/SP500</x:v>
      </x:c>
      <x:c r="B22" s="1"/>
      <x:c r="C22" s="1"/>
      <x:c r="D22" s="1"/>
      <x:c r="E22" s="1"/>
      <x:c r="F22" s="1"/>
      <x:c r="G22" s="1"/>
      <x:c r="H22" s="1"/>
    </x:row>
    <x:row r="23" ht="29" customHeight="1">
      <x:c r="A23" s="1" t="str">
        <x:v>수식별 셀 주소는 excel-formulas.tsv, Claude 실습 지시문은 claude-prompts-ko.txt를 보세요.</x:v>
      </x:c>
      <x:c r="B23" s="1"/>
      <x:c r="C23" s="1"/>
      <x:c r="D23" s="1"/>
      <x:c r="E23" s="1"/>
      <x:c r="F23" s="1"/>
      <x:c r="G23" s="1"/>
      <x:c r="H23" s="1"/>
    </x:row>
    <x:row r="24" ht="29" customHeight="1">
      <x:c r="A24" s="1" t="str">
        <x:v>Excel 데스크톱 직접 검증은 미실행. 구조·기본계산·시각 점검 완료. INDEX 범위 ACF는 Excel에서 확인하세요.</x:v>
      </x:c>
      <x:c r="B24" s="1"/>
      <x:c r="C24" s="1"/>
      <x:c r="D24" s="1"/>
      <x:c r="E24" s="1"/>
      <x:c r="F24" s="1"/>
      <x:c r="G24" s="1"/>
      <x:c r="H24" s="1"/>
    </x:row>
    <x:row r="25" ht="22" customHeight="1">
      <x:c r="A25" s="1"/>
      <x:c r="B25" s="1"/>
      <x:c r="C25" s="1"/>
      <x:c r="D25" s="1"/>
      <x:c r="E25" s="1"/>
      <x:c r="F25" s="1"/>
      <x:c r="G25" s="1"/>
      <x:c r="H25" s="1"/>
    </x:row>
    <x:row r="26" ht="22" customHeight="1">
      <x:c r="A26" s="1"/>
      <x:c r="B26" s="1"/>
      <x:c r="C26" s="1"/>
      <x:c r="D26" s="1"/>
      <x:c r="E26" s="1"/>
      <x:c r="F26" s="1"/>
      <x:c r="G26" s="1"/>
      <x:c r="H26" s="1"/>
    </x:row>
    <x:row r="27" ht="22" customHeight="1">
      <x:c r="A27" s="1"/>
      <x:c r="B27" s="1"/>
      <x:c r="C27" s="1"/>
      <x:c r="D27" s="1"/>
      <x:c r="E27" s="1"/>
      <x:c r="F27" s="1"/>
      <x:c r="G27" s="1"/>
      <x:c r="H27" s="1"/>
    </x:row>
    <x:row r="28" ht="22" customHeight="1">
      <x:c r="A28" s="1"/>
      <x:c r="B28" s="1"/>
      <x:c r="C28" s="1"/>
      <x:c r="D28" s="1"/>
      <x:c r="E28" s="1"/>
      <x:c r="F28" s="1"/>
      <x:c r="G28" s="1"/>
      <x:c r="H28" s="1"/>
    </x:row>
    <x:row r="29" ht="22" customHeight="1">
      <x:c r="A29" s="1"/>
      <x:c r="B29" s="1"/>
      <x:c r="C29" s="1"/>
      <x:c r="D29" s="1"/>
      <x:c r="E29" s="1"/>
      <x:c r="F29" s="1"/>
      <x:c r="G29" s="1"/>
      <x:c r="H29" s="1"/>
    </x:row>
    <x:row r="30" ht="22" customHeight="1">
      <x:c r="A30" s="1"/>
      <x:c r="B30" s="1"/>
      <x:c r="C30" s="1"/>
      <x:c r="D30" s="1"/>
      <x:c r="E30" s="1"/>
      <x:c r="F30" s="1"/>
      <x:c r="G30" s="1"/>
      <x:c r="H30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7478D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</x:row>
    <x:row r="2" ht="22" customHeight="1">
      <x:c r="A2" s="2" t="str">
        <x:v>01 · 난수로 π 추정</x:v>
      </x:c>
      <x:c r="B2" s="1"/>
      <x:c r="C2" s="1"/>
      <x:c r="D2" s="1"/>
      <x:c r="E2" s="1"/>
      <x:c r="F2" s="1"/>
      <x:c r="G2" s="1"/>
      <x:c r="H2" s="1"/>
    </x:row>
    <x:row r="3" ht="22" customHeight="1">
      <x:c r="A3" s="1"/>
      <x:c r="B3" s="1"/>
      <x:c r="C3" s="1"/>
      <x:c r="D3" s="1"/>
      <x:c r="E3" s="1"/>
      <x:c r="F3" s="1"/>
      <x:c r="G3" s="1"/>
      <x:c r="H3" s="1"/>
    </x:row>
    <x:row r="4" ht="22" customHeight="1">
      <x:c r="A4" s="1" t="str">
        <x:v>표본수</x:v>
      </x:c>
      <x:c r="B4" s="1" t="n">
        <x:f>COUNT(B9:B1008)</x:f>
        <x:v>1000</x:v>
      </x:c>
      <x:c r="C4" s="1"/>
      <x:c r="D4" s="1" t="str">
        <x:v>마지막 π 추정</x:v>
      </x:c>
      <x:c r="E4" s="1" t="n">
        <x:f>IF(B4=0,"",4*SUM(E9:E1008)/B4)</x:f>
        <x:v>3.064</x:v>
      </x:c>
      <x:c r="F4" s="1"/>
      <x:c r="G4" s="1"/>
      <x:c r="H4" s="1"/>
    </x:row>
    <x:row r="5" ht="22" customHeight="1">
      <x:c r="A5" s="1"/>
      <x:c r="B5" s="1"/>
      <x:c r="C5" s="1"/>
      <x:c r="D5" s="1"/>
      <x:c r="E5" s="1"/>
      <x:c r="F5" s="1"/>
      <x:c r="G5" s="1"/>
      <x:c r="H5" s="1"/>
    </x:row>
    <x:row r="6" ht="22" customHeight="1">
      <x:c r="A6" s="1" t="str">
        <x:v>첫 수식 입력: B9:F9 → 1008행까지 채우기. F9로 새 난수를 생성합니다.</x:v>
      </x:c>
      <x:c r="B6" s="1"/>
      <x:c r="C6" s="1"/>
      <x:c r="D6" s="1"/>
      <x:c r="E6" s="1"/>
      <x:c r="F6" s="1"/>
      <x:c r="G6" s="1"/>
      <x:c r="H6" s="1"/>
    </x:row>
    <x:row r="7" ht="22" customHeight="1">
      <x:c r="A7" s="1"/>
      <x:c r="B7" s="1"/>
      <x:c r="C7" s="1"/>
      <x:c r="D7" s="1"/>
      <x:c r="E7" s="1"/>
      <x:c r="F7" s="1"/>
      <x:c r="G7" s="1"/>
      <x:c r="H7" s="1"/>
    </x:row>
    <x:row r="8" ht="30" customHeight="1">
      <x:c r="A8" s="4" t="str">
        <x:v>순번</x:v>
      </x:c>
      <x:c r="B8" s="4" t="str">
        <x:v>x ~ U(0,1)</x:v>
      </x:c>
      <x:c r="C8" s="4" t="str">
        <x:v>y ~ U(0,1)</x:v>
      </x:c>
      <x:c r="D8" s="4" t="str">
        <x:v>x²+y²</x:v>
      </x:c>
      <x:c r="E8" s="4" t="str">
        <x:v>원 내부 1/0</x:v>
      </x:c>
      <x:c r="F8" s="4" t="str">
        <x:v>누적 π 추정</x:v>
      </x:c>
      <x:c r="G8" s="1"/>
      <x:c r="H8" s="1"/>
    </x:row>
    <x:row r="9" ht="22" customHeight="1">
      <x:c r="A9" s="1" t="n">
        <x:v>1</x:v>
      </x:c>
      <x:c r="B9" s="6" t="n">
        <x:f>RAND()</x:f>
        <x:v>0.31205056503473294</x:v>
      </x:c>
      <x:c r="C9" s="6" t="n">
        <x:f>RAND()</x:f>
        <x:v>0.3373391624542741</x:v>
      </x:c>
      <x:c r="D9" s="6" t="n">
        <x:f>B9^2+C9^2</x:f>
        <x:v>0.2111732656638472</x:v>
      </x:c>
      <x:c r="E9" s="5" t="n">
        <x:f>IF(D9&lt;=1,1,0)</x:f>
        <x:v>1</x:v>
      </x:c>
      <x:c r="F9" s="6" t="n">
        <x:f>4*SUM($E$9:E9)/A9</x:f>
        <x:v>4</x:v>
      </x:c>
      <x:c r="G9" s="1"/>
      <x:c r="H9" s="1"/>
    </x:row>
    <x:row r="10" ht="22" customHeight="1">
      <x:c r="A10" s="1" t="n">
        <x:v>2</x:v>
      </x:c>
      <x:c r="B10" s="6" t="n">
        <x:f>RAND()</x:f>
        <x:v>0.604160131456194</x:v>
      </x:c>
      <x:c r="C10" s="6" t="n">
        <x:f>RAND()</x:f>
        <x:v>0.060742826894675694</x:v>
      </x:c>
      <x:c r="D10" s="6" t="n">
        <x:f>B10^2+C10^2</x:f>
        <x:v>0.3686991554603221</x:v>
      </x:c>
      <x:c r="E10" s="5" t="n">
        <x:f>IF(D10&lt;=1,1,0)</x:f>
        <x:v>1</x:v>
      </x:c>
      <x:c r="F10" s="6" t="n">
        <x:f>4*SUM($E$9:E10)/A10</x:f>
        <x:v>4</x:v>
      </x:c>
      <x:c r="G10" s="1"/>
      <x:c r="H10" s="1"/>
    </x:row>
    <x:row r="11" ht="22" customHeight="1">
      <x:c r="A11" s="1" t="n">
        <x:v>3</x:v>
      </x:c>
      <x:c r="B11" s="6" t="n">
        <x:f>RAND()</x:f>
        <x:v>0.7402653883412444</x:v>
      </x:c>
      <x:c r="C11" s="6" t="n">
        <x:f>RAND()</x:f>
        <x:v>0.03969236843068946</x:v>
      </x:c>
      <x:c r="D11" s="6" t="n">
        <x:f>B11^2+C11^2</x:f>
        <x:v>0.549568329287651</x:v>
      </x:c>
      <x:c r="E11" s="5" t="n">
        <x:f>IF(D11&lt;=1,1,0)</x:f>
        <x:v>1</x:v>
      </x:c>
      <x:c r="F11" s="6" t="n">
        <x:f>4*SUM($E$9:E11)/A11</x:f>
        <x:v>4</x:v>
      </x:c>
      <x:c r="G11" s="1"/>
      <x:c r="H11" s="1"/>
    </x:row>
    <x:row r="12" ht="22" customHeight="1">
      <x:c r="A12" s="1" t="n">
        <x:v>4</x:v>
      </x:c>
      <x:c r="B12" s="6" t="n">
        <x:f>RAND()</x:f>
        <x:v>0.6096101010416293</x:v>
      </x:c>
      <x:c r="C12" s="6" t="n">
        <x:f>RAND()</x:f>
        <x:v>0.9192572224166391</x:v>
      </x:c>
      <x:c r="D12" s="6" t="n">
        <x:f>B12^2+C12^2</x:f>
        <x:v>1.2166583162571398</x:v>
      </x:c>
      <x:c r="E12" s="5" t="n">
        <x:f>IF(D12&lt;=1,1,0)</x:f>
        <x:v>0</x:v>
      </x:c>
      <x:c r="F12" s="6" t="n">
        <x:f>4*SUM($E$9:E12)/A12</x:f>
        <x:v>3</x:v>
      </x:c>
      <x:c r="G12" s="1"/>
      <x:c r="H12" s="1"/>
    </x:row>
    <x:row r="13" ht="22" customHeight="1">
      <x:c r="A13" s="1" t="n">
        <x:v>5</x:v>
      </x:c>
      <x:c r="B13" s="6" t="n">
        <x:f>RAND()</x:f>
        <x:v>0.6123816872098539</x:v>
      </x:c>
      <x:c r="C13" s="6" t="n">
        <x:f>RAND()</x:f>
        <x:v>0.8786342849478922</x:v>
      </x:c>
      <x:c r="D13" s="6" t="n">
        <x:f>B13^2+C13^2</x:f>
        <x:v>1.147009537515881</x:v>
      </x:c>
      <x:c r="E13" s="5" t="n">
        <x:f>IF(D13&lt;=1,1,0)</x:f>
        <x:v>0</x:v>
      </x:c>
      <x:c r="F13" s="6" t="n">
        <x:f>4*SUM($E$9:E13)/A13</x:f>
        <x:v>2.4</x:v>
      </x:c>
      <x:c r="G13" s="1"/>
      <x:c r="H13" s="1"/>
    </x:row>
    <x:row r="14" ht="22" customHeight="1">
      <x:c r="A14" s="1" t="n">
        <x:v>6</x:v>
      </x:c>
      <x:c r="B14" s="6" t="n">
        <x:f>RAND()</x:f>
        <x:v>0.7925251381420091</x:v>
      </x:c>
      <x:c r="C14" s="6" t="n">
        <x:f>RAND()</x:f>
        <x:v>0.6026123390913091</x:v>
      </x:c>
      <x:c r="D14" s="6" t="n">
        <x:f>B14^2+C14^2</x:f>
        <x:v>0.9912377258121094</x:v>
      </x:c>
      <x:c r="E14" s="5" t="n">
        <x:f>IF(D14&lt;=1,1,0)</x:f>
        <x:v>1</x:v>
      </x:c>
      <x:c r="F14" s="6" t="n">
        <x:f>4*SUM($E$9:E14)/A14</x:f>
        <x:v>2.6666666666666665</x:v>
      </x:c>
      <x:c r="G14" s="1"/>
      <x:c r="H14" s="1"/>
    </x:row>
    <x:row r="15" ht="22" customHeight="1">
      <x:c r="A15" s="1" t="n">
        <x:v>7</x:v>
      </x:c>
      <x:c r="B15" s="6" t="n">
        <x:f>RAND()</x:f>
        <x:v>0.4974690899183126</x:v>
      </x:c>
      <x:c r="C15" s="6" t="n">
        <x:f>RAND()</x:f>
        <x:v>0.9423599336880494</x:v>
      </x:c>
      <x:c r="D15" s="6" t="n">
        <x:f>B15^2+C15^2</x:f>
        <x:v>1.135517740044699</x:v>
      </x:c>
      <x:c r="E15" s="5" t="n">
        <x:f>IF(D15&lt;=1,1,0)</x:f>
        <x:v>0</x:v>
      </x:c>
      <x:c r="F15" s="6" t="n">
        <x:f>4*SUM($E$9:E15)/A15</x:f>
        <x:v>2.2857142857142856</x:v>
      </x:c>
      <x:c r="G15" s="1"/>
      <x:c r="H15" s="1"/>
    </x:row>
    <x:row r="16" ht="22" customHeight="1">
      <x:c r="A16" s="1" t="n">
        <x:v>8</x:v>
      </x:c>
      <x:c r="B16" s="6" t="n">
        <x:f>RAND()</x:f>
        <x:v>0.8159692727635514</x:v>
      </x:c>
      <x:c r="C16" s="6" t="n">
        <x:f>RAND()</x:f>
        <x:v>0.4986659510297423</x:v>
      </x:c>
      <x:c r="D16" s="6" t="n">
        <x:f>B16^2+C16^2</x:f>
        <x:v>0.9144735848106762</x:v>
      </x:c>
      <x:c r="E16" s="5" t="n">
        <x:f>IF(D16&lt;=1,1,0)</x:f>
        <x:v>1</x:v>
      </x:c>
      <x:c r="F16" s="6" t="n">
        <x:f>4*SUM($E$9:E16)/A16</x:f>
        <x:v>2.5</x:v>
      </x:c>
      <x:c r="G16" s="1"/>
      <x:c r="H16" s="1"/>
    </x:row>
    <x:row r="17" ht="22" customHeight="1">
      <x:c r="A17" s="1" t="n">
        <x:v>9</x:v>
      </x:c>
      <x:c r="B17" s="6" t="n">
        <x:f>RAND()</x:f>
        <x:v>0.7863776050693664</x:v>
      </x:c>
      <x:c r="C17" s="6" t="n">
        <x:f>RAND()</x:f>
        <x:v>0.8930335428542212</x:v>
      </x:c>
      <x:c r="D17" s="6" t="n">
        <x:f>B17^2+C17^2</x:f>
        <x:v>1.4158986464173946</x:v>
      </x:c>
      <x:c r="E17" s="5" t="n">
        <x:f>IF(D17&lt;=1,1,0)</x:f>
        <x:v>0</x:v>
      </x:c>
      <x:c r="F17" s="6" t="n">
        <x:f>4*SUM($E$9:E17)/A17</x:f>
        <x:v>2.2222222222222223</x:v>
      </x:c>
      <x:c r="G17" s="1"/>
      <x:c r="H17" s="1"/>
    </x:row>
    <x:row r="18" ht="22" customHeight="1">
      <x:c r="A18" s="1" t="n">
        <x:v>10</x:v>
      </x:c>
      <x:c r="B18" s="6" t="n">
        <x:f>RAND()</x:f>
        <x:v>0.45732800330499557</x:v>
      </x:c>
      <x:c r="C18" s="6" t="n">
        <x:f>RAND()</x:f>
        <x:v>0.5426036247062098</x:v>
      </x:c>
      <x:c r="D18" s="6" t="n">
        <x:f>B18^2+C18^2</x:f>
        <x:v>0.5035675961512514</x:v>
      </x:c>
      <x:c r="E18" s="5" t="n">
        <x:f>IF(D18&lt;=1,1,0)</x:f>
        <x:v>1</x:v>
      </x:c>
      <x:c r="F18" s="6" t="n">
        <x:f>4*SUM($E$9:E18)/A18</x:f>
        <x:v>2.4</x:v>
      </x:c>
      <x:c r="G18" s="1"/>
      <x:c r="H18" s="1"/>
    </x:row>
    <x:row r="19" ht="22" customHeight="1">
      <x:c r="A19" s="1" t="n">
        <x:v>11</x:v>
      </x:c>
      <x:c r="B19" s="6" t="n">
        <x:f>RAND()</x:f>
        <x:v>0.09969030623019093</x:v>
      </x:c>
      <x:c r="C19" s="6" t="n">
        <x:f>RAND()</x:f>
        <x:v>0.028111407706727043</x:v>
      </x:c>
      <x:c r="D19" s="6" t="n">
        <x:f>B19^2+C19^2</x:f>
        <x:v>0.010728408399523076</x:v>
      </x:c>
      <x:c r="E19" s="5" t="n">
        <x:f>IF(D19&lt;=1,1,0)</x:f>
        <x:v>1</x:v>
      </x:c>
      <x:c r="F19" s="6" t="n">
        <x:f>4*SUM($E$9:E19)/A19</x:f>
        <x:v>2.5454545454545454</x:v>
      </x:c>
      <x:c r="G19" s="1"/>
      <x:c r="H19" s="1"/>
    </x:row>
    <x:row r="20" ht="22" customHeight="1">
      <x:c r="A20" s="1" t="n">
        <x:v>12</x:v>
      </x:c>
      <x:c r="B20" s="6" t="n">
        <x:f>RAND()</x:f>
        <x:v>0.03658486526306293</x:v>
      </x:c>
      <x:c r="C20" s="6" t="n">
        <x:f>RAND()</x:f>
        <x:v>0.2079108037692966</x:v>
      </x:c>
      <x:c r="D20" s="6" t="n">
        <x:f>B20^2+C20^2</x:f>
        <x:v>0.04456535469031143</x:v>
      </x:c>
      <x:c r="E20" s="5" t="n">
        <x:f>IF(D20&lt;=1,1,0)</x:f>
        <x:v>1</x:v>
      </x:c>
      <x:c r="F20" s="6" t="n">
        <x:f>4*SUM($E$9:E20)/A20</x:f>
        <x:v>2.6666666666666665</x:v>
      </x:c>
      <x:c r="G20" s="1"/>
      <x:c r="H20" s="1"/>
    </x:row>
    <x:row r="21" ht="22" customHeight="1">
      <x:c r="A21" s="1" t="n">
        <x:v>13</x:v>
      </x:c>
      <x:c r="B21" s="6" t="n">
        <x:f>RAND()</x:f>
        <x:v>0.39691297429099015</x:v>
      </x:c>
      <x:c r="C21" s="6" t="n">
        <x:f>RAND()</x:f>
        <x:v>0.9177090797081886</x:v>
      </x:c>
      <x:c r="D21" s="6" t="n">
        <x:f>B21^2+C21^2</x:f>
        <x:v>0.9997298641393706</x:v>
      </x:c>
      <x:c r="E21" s="5" t="n">
        <x:f>IF(D21&lt;=1,1,0)</x:f>
        <x:v>1</x:v>
      </x:c>
      <x:c r="F21" s="6" t="n">
        <x:f>4*SUM($E$9:E21)/A21</x:f>
        <x:v>2.769230769230769</x:v>
      </x:c>
      <x:c r="G21" s="1"/>
      <x:c r="H21" s="1"/>
    </x:row>
    <x:row r="22" ht="22" customHeight="1">
      <x:c r="A22" s="1" t="n">
        <x:v>14</x:v>
      </x:c>
      <x:c r="B22" s="6" t="n">
        <x:f>RAND()</x:f>
        <x:v>0.11185128419472345</x:v>
      </x:c>
      <x:c r="C22" s="6" t="n">
        <x:f>RAND()</x:f>
        <x:v>0.8702753970985038</x:v>
      </x:c>
      <x:c r="D22" s="6" t="n">
        <x:f>B22^2+C22^2</x:f>
        <x:v>0.7698899765709671</x:v>
      </x:c>
      <x:c r="E22" s="5" t="n">
        <x:f>IF(D22&lt;=1,1,0)</x:f>
        <x:v>1</x:v>
      </x:c>
      <x:c r="F22" s="6" t="n">
        <x:f>4*SUM($E$9:E22)/A22</x:f>
        <x:v>2.857142857142857</x:v>
      </x:c>
      <x:c r="G22" s="1"/>
      <x:c r="H22" s="1"/>
    </x:row>
    <x:row r="23" ht="22" customHeight="1">
      <x:c r="A23" s="1" t="n">
        <x:v>15</x:v>
      </x:c>
      <x:c r="B23" s="6" t="n">
        <x:f>RAND()</x:f>
        <x:v>0.5993245071824926</x:v>
      </x:c>
      <x:c r="C23" s="6" t="n">
        <x:f>RAND()</x:f>
        <x:v>0.17422025429297439</x:v>
      </x:c>
      <x:c r="D23" s="6" t="n">
        <x:f>B23^2+C23^2</x:f>
        <x:v>0.38954256191544634</x:v>
      </x:c>
      <x:c r="E23" s="5" t="n">
        <x:f>IF(D23&lt;=1,1,0)</x:f>
        <x:v>1</x:v>
      </x:c>
      <x:c r="F23" s="6" t="n">
        <x:f>4*SUM($E$9:E23)/A23</x:f>
        <x:v>2.933333333333333</x:v>
      </x:c>
      <x:c r="G23" s="1"/>
      <x:c r="H23" s="1"/>
    </x:row>
    <x:row r="24" ht="22" customHeight="1">
      <x:c r="A24" s="1" t="n">
        <x:v>16</x:v>
      </x:c>
      <x:c r="B24" s="6" t="n">
        <x:f>RAND()</x:f>
        <x:v>0.4460959172718838</x:v>
      </x:c>
      <x:c r="C24" s="6" t="n">
        <x:f>RAND()</x:f>
        <x:v>0.25052763453344207</x:v>
      </x:c>
      <x:c r="D24" s="6" t="n">
        <x:f>B24^2+C24^2</x:f>
        <x:v>0.26176566307156535</x:v>
      </x:c>
      <x:c r="E24" s="5" t="n">
        <x:f>IF(D24&lt;=1,1,0)</x:f>
        <x:v>1</x:v>
      </x:c>
      <x:c r="F24" s="6" t="n">
        <x:f>4*SUM($E$9:E24)/A24</x:f>
        <x:v>3</x:v>
      </x:c>
      <x:c r="G24" s="1"/>
      <x:c r="H24" s="1"/>
    </x:row>
    <x:row r="25" ht="22" customHeight="1">
      <x:c r="A25" s="1" t="n">
        <x:v>17</x:v>
      </x:c>
      <x:c r="B25" s="6" t="n">
        <x:f>RAND()</x:f>
        <x:v>0.946950406059025</x:v>
      </x:c>
      <x:c r="C25" s="6" t="n">
        <x:f>RAND()</x:f>
        <x:v>0.6761747744463988</x:v>
      </x:c>
      <x:c r="D25" s="6" t="n">
        <x:f>B25^2+C25^2</x:f>
        <x:v>1.3539273971329906</x:v>
      </x:c>
      <x:c r="E25" s="5" t="n">
        <x:f>IF(D25&lt;=1,1,0)</x:f>
        <x:v>0</x:v>
      </x:c>
      <x:c r="F25" s="6" t="n">
        <x:f>4*SUM($E$9:E25)/A25</x:f>
        <x:v>2.823529411764706</x:v>
      </x:c>
      <x:c r="G25" s="1"/>
      <x:c r="H25" s="1"/>
    </x:row>
    <x:row r="26" ht="22" customHeight="1">
      <x:c r="A26" s="1" t="n">
        <x:v>18</x:v>
      </x:c>
      <x:c r="B26" s="6" t="n">
        <x:f>RAND()</x:f>
        <x:v>0.7310885062219078</x:v>
      </x:c>
      <x:c r="C26" s="6" t="n">
        <x:f>RAND()</x:f>
        <x:v>0.10698319101741194</x:v>
      </x:c>
      <x:c r="D26" s="6" t="n">
        <x:f>B26^2+C26^2</x:f>
        <x:v>0.5459358070900486</x:v>
      </x:c>
      <x:c r="E26" s="5" t="n">
        <x:f>IF(D26&lt;=1,1,0)</x:f>
        <x:v>1</x:v>
      </x:c>
      <x:c r="F26" s="6" t="n">
        <x:f>4*SUM($E$9:E26)/A26</x:f>
        <x:v>2.888888888888889</x:v>
      </x:c>
      <x:c r="G26" s="1"/>
      <x:c r="H26" s="1"/>
    </x:row>
    <x:row r="27" ht="22" customHeight="1">
      <x:c r="A27" s="1" t="n">
        <x:v>19</x:v>
      </x:c>
      <x:c r="B27" s="6" t="n">
        <x:f>RAND()</x:f>
        <x:v>0.9051844216622235</x:v>
      </x:c>
      <x:c r="C27" s="6" t="n">
        <x:f>RAND()</x:f>
        <x:v>0.8841797255455431</x:v>
      </x:c>
      <x:c r="D27" s="6" t="n">
        <x:f>B27^2+C27^2</x:f>
        <x:v>1.601132624285766</x:v>
      </x:c>
      <x:c r="E27" s="5" t="n">
        <x:f>IF(D27&lt;=1,1,0)</x:f>
        <x:v>0</x:v>
      </x:c>
      <x:c r="F27" s="6" t="n">
        <x:f>4*SUM($E$9:E27)/A27</x:f>
        <x:v>2.736842105263158</x:v>
      </x:c>
      <x:c r="G27" s="1"/>
      <x:c r="H27" s="1"/>
    </x:row>
    <x:row r="28" ht="22" customHeight="1">
      <x:c r="A28" s="1" t="n">
        <x:v>20</x:v>
      </x:c>
      <x:c r="B28" s="6" t="n">
        <x:f>RAND()</x:f>
        <x:v>0.18609561503447603</x:v>
      </x:c>
      <x:c r="C28" s="6" t="n">
        <x:f>RAND()</x:f>
        <x:v>0.3887840129852105</x:v>
      </x:c>
      <x:c r="D28" s="6" t="n">
        <x:f>B28^2+C28^2</x:f>
        <x:v>0.18578458668794423</x:v>
      </x:c>
      <x:c r="E28" s="5" t="n">
        <x:f>IF(D28&lt;=1,1,0)</x:f>
        <x:v>1</x:v>
      </x:c>
      <x:c r="F28" s="6" t="n">
        <x:f>4*SUM($E$9:E28)/A28</x:f>
        <x:v>2.8</x:v>
      </x:c>
      <x:c r="G28" s="1"/>
      <x:c r="H28" s="1"/>
    </x:row>
    <x:row r="29" ht="22" customHeight="1">
      <x:c r="A29" s="1" t="n">
        <x:v>21</x:v>
      </x:c>
      <x:c r="B29" s="6" t="n">
        <x:f>RAND()</x:f>
        <x:v>0.9578584102323222</x:v>
      </x:c>
      <x:c r="C29" s="6" t="n">
        <x:f>RAND()</x:f>
        <x:v>0.8656480662361606</x:v>
      </x:c>
      <x:c r="D29" s="6" t="n">
        <x:f>B29^2+C29^2</x:f>
        <x:v>1.6668393086311961</x:v>
      </x:c>
      <x:c r="E29" s="5" t="n">
        <x:f>IF(D29&lt;=1,1,0)</x:f>
        <x:v>0</x:v>
      </x:c>
      <x:c r="F29" s="6" t="n">
        <x:f>4*SUM($E$9:E29)/A29</x:f>
        <x:v>2.6666666666666665</x:v>
      </x:c>
      <x:c r="G29" s="1"/>
      <x:c r="H29" s="1"/>
    </x:row>
    <x:row r="30" ht="22" customHeight="1">
      <x:c r="A30" s="1" t="n">
        <x:v>22</x:v>
      </x:c>
      <x:c r="B30" s="6" t="n">
        <x:f>RAND()</x:f>
        <x:v>0.269446900273162</x:v>
      </x:c>
      <x:c r="C30" s="6" t="n">
        <x:f>RAND()</x:f>
        <x:v>0.7869931832415936</x:v>
      </x:c>
      <x:c r="D30" s="6" t="n">
        <x:f>B30^2+C30^2</x:f>
        <x:v>0.6919599025355518</x:v>
      </x:c>
      <x:c r="E30" s="5" t="n">
        <x:f>IF(D30&lt;=1,1,0)</x:f>
        <x:v>1</x:v>
      </x:c>
      <x:c r="F30" s="6" t="n">
        <x:f>4*SUM($E$9:E30)/A30</x:f>
        <x:v>2.727272727272727</x:v>
      </x:c>
      <x:c r="G30" s="1"/>
      <x:c r="H30" s="1"/>
    </x:row>
    <x:row r="31" ht="22" customHeight="1">
      <x:c r="A31" s="1" t="n">
        <x:v>23</x:v>
      </x:c>
      <x:c r="B31" s="6" t="n">
        <x:f>RAND()</x:f>
        <x:v>0.08932097040793774</x:v>
      </x:c>
      <x:c r="C31" s="6" t="n">
        <x:f>RAND()</x:f>
        <x:v>0.9116971747740491</x:v>
      </x:c>
      <x:c r="D31" s="6" t="n">
        <x:f>B31^2+C31^2</x:f>
        <x:v>0.8391699742455987</x:v>
      </x:c>
      <x:c r="E31" s="5" t="n">
        <x:f>IF(D31&lt;=1,1,0)</x:f>
        <x:v>1</x:v>
      </x:c>
      <x:c r="F31" s="6" t="n">
        <x:f>4*SUM($E$9:E31)/A31</x:f>
        <x:v>2.782608695652174</x:v>
      </x:c>
      <x:c r="G31" s="1"/>
      <x:c r="H31" s="1"/>
    </x:row>
    <x:row r="32" ht="22" customHeight="1">
      <x:c r="A32" s="1" t="n">
        <x:v>24</x:v>
      </x:c>
      <x:c r="B32" s="6" t="n">
        <x:f>RAND()</x:f>
        <x:v>0.0640013142753828</x:v>
      </x:c>
      <x:c r="C32" s="6" t="n">
        <x:f>RAND()</x:f>
        <x:v>0.3237564172146703</x:v>
      </x:c>
      <x:c r="D32" s="6" t="n">
        <x:f>B32^2+C32^2</x:f>
        <x:v>0.10891438591665599</x:v>
      </x:c>
      <x:c r="E32" s="5" t="n">
        <x:f>IF(D32&lt;=1,1,0)</x:f>
        <x:v>1</x:v>
      </x:c>
      <x:c r="F32" s="6" t="n">
        <x:f>4*SUM($E$9:E32)/A32</x:f>
        <x:v>2.8333333333333335</x:v>
      </x:c>
      <x:c r="G32" s="1"/>
      <x:c r="H32" s="1"/>
    </x:row>
    <x:row r="33" ht="22" customHeight="1">
      <x:c r="A33" s="1" t="n">
        <x:v>25</x:v>
      </x:c>
      <x:c r="B33" s="6" t="n">
        <x:f>RAND()</x:f>
        <x:v>0.7426680310682922</x:v>
      </x:c>
      <x:c r="C33" s="6" t="n">
        <x:f>RAND()</x:f>
        <x:v>0.666766437846579</x:v>
      </x:c>
      <x:c r="D33" s="6" t="n">
        <x:f>B33^2+C33^2</x:f>
        <x:v>0.9961332870094696</x:v>
      </x:c>
      <x:c r="E33" s="5" t="n">
        <x:f>IF(D33&lt;=1,1,0)</x:f>
        <x:v>1</x:v>
      </x:c>
      <x:c r="F33" s="6" t="n">
        <x:f>4*SUM($E$9:E33)/A33</x:f>
        <x:v>2.88</x:v>
      </x:c>
      <x:c r="G33" s="1"/>
      <x:c r="H33" s="1"/>
    </x:row>
    <x:row r="34" ht="22" customHeight="1">
      <x:c r="A34" s="1" t="n">
        <x:v>26</x:v>
      </x:c>
      <x:c r="B34" s="6" t="n">
        <x:f>RAND()</x:f>
        <x:v>0.9621910913781789</x:v>
      </x:c>
      <x:c r="C34" s="6" t="n">
        <x:f>RAND()</x:f>
        <x:v>0.3125162184627265</x:v>
      </x:c>
      <x:c r="D34" s="6" t="n">
        <x:f>B34^2+C34^2</x:f>
        <x:v>1.0234780831297736</x:v>
      </x:c>
      <x:c r="E34" s="5" t="n">
        <x:f>IF(D34&lt;=1,1,0)</x:f>
        <x:v>0</x:v>
      </x:c>
      <x:c r="F34" s="6" t="n">
        <x:f>4*SUM($E$9:E34)/A34</x:f>
        <x:v>2.769230769230769</x:v>
      </x:c>
      <x:c r="G34" s="1"/>
      <x:c r="H34" s="1"/>
    </x:row>
    <x:row r="35" ht="22" customHeight="1">
      <x:c r="A35" s="1" t="n">
        <x:v>27</x:v>
      </x:c>
      <x:c r="B35" s="6" t="n">
        <x:f>RAND()</x:f>
        <x:v>0.05618234360477237</x:v>
      </x:c>
      <x:c r="C35" s="6" t="n">
        <x:f>RAND()</x:f>
        <x:v>0.044167915909147926</x:v>
      </x:c>
      <x:c r="D35" s="6" t="n">
        <x:f>B35^2+C35^2</x:f>
        <x:v>0.005107260528682269</x:v>
      </x:c>
      <x:c r="E35" s="5" t="n">
        <x:f>IF(D35&lt;=1,1,0)</x:f>
        <x:v>1</x:v>
      </x:c>
      <x:c r="F35" s="6" t="n">
        <x:f>4*SUM($E$9:E35)/A35</x:f>
        <x:v>2.814814814814815</x:v>
      </x:c>
      <x:c r="G35" s="1"/>
      <x:c r="H35" s="1"/>
    </x:row>
    <x:row r="36" ht="22" customHeight="1">
      <x:c r="A36" s="1" t="n">
        <x:v>28</x:v>
      </x:c>
      <x:c r="B36" s="6" t="n">
        <x:f>RAND()</x:f>
        <x:v>0.5142120749442567</x:v>
      </x:c>
      <x:c r="C36" s="6" t="n">
        <x:f>RAND()</x:f>
        <x:v>0.4666290281334827</x:v>
      </x:c>
      <x:c r="D36" s="6" t="n">
        <x:f>B36^2+C36^2</x:f>
        <x:v>0.48215670791527643</x:v>
      </x:c>
      <x:c r="E36" s="5" t="n">
        <x:f>IF(D36&lt;=1,1,0)</x:f>
        <x:v>1</x:v>
      </x:c>
      <x:c r="F36" s="6" t="n">
        <x:f>4*SUM($E$9:E36)/A36</x:f>
        <x:v>2.857142857142857</x:v>
      </x:c>
      <x:c r="G36" s="1"/>
      <x:c r="H36" s="1"/>
    </x:row>
    <x:row r="37" ht="22" customHeight="1">
      <x:c r="A37" s="1" t="n">
        <x:v>29</x:v>
      </x:c>
      <x:c r="B37" s="6" t="n">
        <x:f>RAND()</x:f>
        <x:v>0.9998828224773928</x:v>
      </x:c>
      <x:c r="C37" s="6" t="n">
        <x:f>RAND()</x:f>
        <x:v>0.20095047167993763</x:v>
      </x:c>
      <x:c r="D37" s="6" t="n">
        <x:f>B37^2+C37^2</x:f>
        <x:v>1.0401467507537467</x:v>
      </x:c>
      <x:c r="E37" s="5" t="n">
        <x:f>IF(D37&lt;=1,1,0)</x:f>
        <x:v>0</x:v>
      </x:c>
      <x:c r="F37" s="6" t="n">
        <x:f>4*SUM($E$9:E37)/A37</x:f>
        <x:v>2.7586206896551726</x:v>
      </x:c>
      <x:c r="G37" s="1"/>
      <x:c r="H37" s="1"/>
    </x:row>
    <x:row r="38" ht="22" customHeight="1">
      <x:c r="A38" s="1" t="n">
        <x:v>30</x:v>
      </x:c>
      <x:c r="B38" s="6" t="n">
        <x:f>RAND()</x:f>
        <x:v>0.5553288770083901</x:v>
      </x:c>
      <x:c r="C38" s="6" t="n">
        <x:f>RAND()</x:f>
        <x:v>0.7297344243066521</x:v>
      </x:c>
      <x:c r="D38" s="6" t="n">
        <x:f>B38^2+C38^2</x:f>
        <x:v>0.8409024916575607</x:v>
      </x:c>
      <x:c r="E38" s="5" t="n">
        <x:f>IF(D38&lt;=1,1,0)</x:f>
        <x:v>1</x:v>
      </x:c>
      <x:c r="F38" s="6" t="n">
        <x:f>4*SUM($E$9:E38)/A38</x:f>
        <x:v>2.8</x:v>
      </x:c>
      <x:c r="G38" s="1"/>
      <x:c r="H38" s="1"/>
    </x:row>
    <x:row r="39" ht="22" customHeight="1">
      <x:c r="A39" s="1" t="n">
        <x:v>31</x:v>
      </x:c>
      <x:c r="B39" s="6" t="n">
        <x:f>RAND()</x:f>
        <x:v>0.9540701810474511</x:v>
      </x:c>
      <x:c r="C39" s="6" t="n">
        <x:f>RAND()</x:f>
        <x:v>0.43777003832568584</x:v>
      </x:c>
      <x:c r="D39" s="6" t="n">
        <x:f>B39^2+C39^2</x:f>
        <x:v>1.1018925168195886</x:v>
      </x:c>
      <x:c r="E39" s="5" t="n">
        <x:f>IF(D39&lt;=1,1,0)</x:f>
        <x:v>0</x:v>
      </x:c>
      <x:c r="F39" s="6" t="n">
        <x:f>4*SUM($E$9:E39)/A39</x:f>
        <x:v>2.7096774193548385</x:v>
      </x:c>
      <x:c r="G39" s="1"/>
      <x:c r="H39" s="1"/>
    </x:row>
    <x:row r="40" ht="22" customHeight="1">
      <x:c r="A40" s="1" t="n">
        <x:v>32</x:v>
      </x:c>
      <x:c r="B40" s="6" t="n">
        <x:f>RAND()</x:f>
        <x:v>0.4016884430185157</x:v>
      </x:c>
      <x:c r="C40" s="6" t="n">
        <x:f>RAND()</x:f>
        <x:v>0.5716159961045391</x:v>
      </x:c>
      <x:c r="D40" s="6" t="n">
        <x:f>B40^2+C40^2</x:f>
        <x:v>0.48809845225722376</x:v>
      </x:c>
      <x:c r="E40" s="5" t="n">
        <x:f>IF(D40&lt;=1,1,0)</x:f>
        <x:v>1</x:v>
      </x:c>
      <x:c r="F40" s="6" t="n">
        <x:f>4*SUM($E$9:E40)/A40</x:f>
        <x:v>2.75</x:v>
      </x:c>
      <x:c r="G40" s="1"/>
      <x:c r="H40" s="1"/>
    </x:row>
    <x:row r="41" ht="22" customHeight="1">
      <x:c r="A41" s="1" t="n">
        <x:v>33</x:v>
      </x:c>
      <x:c r="B41" s="6" t="n">
        <x:f>RAND()</x:f>
        <x:v>0.5224347641893863</x:v>
      </x:c>
      <x:c r="C41" s="6" t="n">
        <x:f>RAND()</x:f>
        <x:v>0.6974203164591973</x:v>
      </x:c>
      <x:c r="D41" s="6" t="n">
        <x:f>B41^2+C41^2</x:f>
        <x:v>0.7593331806436666</x:v>
      </x:c>
      <x:c r="E41" s="5" t="n">
        <x:f>IF(D41&lt;=1,1,0)</x:f>
        <x:v>1</x:v>
      </x:c>
      <x:c r="F41" s="6" t="n">
        <x:f>4*SUM($E$9:E41)/A41</x:f>
        <x:v>2.787878787878788</x:v>
      </x:c>
      <x:c r="G41" s="1"/>
      <x:c r="H41" s="1"/>
    </x:row>
    <x:row r="42" ht="22" customHeight="1">
      <x:c r="A42" s="1" t="n">
        <x:v>34</x:v>
      </x:c>
      <x:c r="B42" s="6" t="n">
        <x:f>RAND()</x:f>
        <x:v>0.34236411776757947</x:v>
      </x:c>
      <x:c r="C42" s="6" t="n">
        <x:f>RAND()</x:f>
        <x:v>0.3055846295714443</x:v>
      </x:c>
      <x:c r="D42" s="6" t="n">
        <x:f>B42^2+C42^2</x:f>
        <x:v>0.21059515496508985</x:v>
      </x:c>
      <x:c r="E42" s="5" t="n">
        <x:f>IF(D42&lt;=1,1,0)</x:f>
        <x:v>1</x:v>
      </x:c>
      <x:c r="F42" s="6" t="n">
        <x:f>4*SUM($E$9:E42)/A42</x:f>
        <x:v>2.823529411764706</x:v>
      </x:c>
      <x:c r="G42" s="1"/>
      <x:c r="H42" s="1"/>
    </x:row>
    <x:row r="43" ht="22" customHeight="1">
      <x:c r="A43" s="1" t="n">
        <x:v>35</x:v>
      </x:c>
      <x:c r="B43" s="6" t="n">
        <x:f>RAND()</x:f>
        <x:v>0.15358033720782205</x:v>
      </x:c>
      <x:c r="C43" s="6" t="n">
        <x:f>RAND()</x:f>
        <x:v>0.26079406387103</x:v>
      </x:c>
      <x:c r="D43" s="6" t="n">
        <x:f>B43^2+C43^2</x:f>
        <x:v>0.09160046372723521</x:v>
      </x:c>
      <x:c r="E43" s="5" t="n">
        <x:f>IF(D43&lt;=1,1,0)</x:f>
        <x:v>1</x:v>
      </x:c>
      <x:c r="F43" s="6" t="n">
        <x:f>4*SUM($E$9:E43)/A43</x:f>
        <x:v>2.857142857142857</x:v>
      </x:c>
      <x:c r="G43" s="1"/>
      <x:c r="H43" s="1"/>
    </x:row>
    <x:row r="44" ht="22" customHeight="1">
      <x:c r="A44" s="1" t="n">
        <x:v>36</x:v>
      </x:c>
      <x:c r="B44" s="6" t="n">
        <x:f>RAND()</x:f>
        <x:v>0.40706611315388064</x:v>
      </x:c>
      <x:c r="C44" s="6" t="n">
        <x:f>RAND()</x:f>
        <x:v>0.2933251121454953</x:v>
      </x:c>
      <x:c r="D44" s="6" t="n">
        <x:f>B44^2+C44^2</x:f>
        <x:v>0.25174244189337536</x:v>
      </x:c>
      <x:c r="E44" s="5" t="n">
        <x:f>IF(D44&lt;=1,1,0)</x:f>
        <x:v>1</x:v>
      </x:c>
      <x:c r="F44" s="6" t="n">
        <x:f>4*SUM($E$9:E44)/A44</x:f>
        <x:v>2.888888888888889</x:v>
      </x:c>
      <x:c r="G44" s="1"/>
      <x:c r="H44" s="1"/>
    </x:row>
    <x:row r="45" ht="22" customHeight="1">
      <x:c r="A45" s="1" t="n">
        <x:v>37</x:v>
      </x:c>
      <x:c r="B45" s="6" t="n">
        <x:f>RAND()</x:f>
        <x:v>0.7949370037000174</x:v>
      </x:c>
      <x:c r="C45" s="6" t="n">
        <x:f>RAND()</x:f>
        <x:v>0.15917189799184128</x:v>
      </x:c>
      <x:c r="D45" s="6" t="n">
        <x:f>B45^2+C45^2</x:f>
        <x:v>0.6572605329618866</x:v>
      </x:c>
      <x:c r="E45" s="5" t="n">
        <x:f>IF(D45&lt;=1,1,0)</x:f>
        <x:v>1</x:v>
      </x:c>
      <x:c r="F45" s="6" t="n">
        <x:f>4*SUM($E$9:E45)/A45</x:f>
        <x:v>2.918918918918919</x:v>
      </x:c>
      <x:c r="G45" s="1"/>
      <x:c r="H45" s="1"/>
    </x:row>
    <x:row r="46" ht="22" customHeight="1">
      <x:c r="A46" s="1" t="n">
        <x:v>38</x:v>
      </x:c>
      <x:c r="B46" s="6" t="n">
        <x:f>RAND()</x:f>
        <x:v>0.48749990758956696</x:v>
      </x:c>
      <x:c r="C46" s="6" t="n">
        <x:f>RAND()</x:f>
        <x:v>0.8830904617819552</x:v>
      </x:c>
      <x:c r="D46" s="6" t="n">
        <x:f>B46^2+C46^2</x:f>
        <x:v>1.017504923590103</x:v>
      </x:c>
      <x:c r="E46" s="5" t="n">
        <x:f>IF(D46&lt;=1,1,0)</x:f>
        <x:v>0</x:v>
      </x:c>
      <x:c r="F46" s="6" t="n">
        <x:f>4*SUM($E$9:E46)/A46</x:f>
        <x:v>2.8421052631578947</x:v>
      </x:c>
      <x:c r="G46" s="1"/>
      <x:c r="H46" s="1"/>
    </x:row>
    <x:row r="47" ht="22" customHeight="1">
      <x:c r="A47" s="1" t="n">
        <x:v>39</x:v>
      </x:c>
      <x:c r="B47" s="6" t="n">
        <x:f>RAND()</x:f>
        <x:v>0.4462493569077911</x:v>
      </x:c>
      <x:c r="C47" s="6" t="n">
        <x:f>RAND()</x:f>
        <x:v>0.6804945758121814</x:v>
      </x:c>
      <x:c r="D47" s="6" t="n">
        <x:f>B47^2+C47^2</x:f>
        <x:v>0.6622113562504178</x:v>
      </x:c>
      <x:c r="E47" s="5" t="n">
        <x:f>IF(D47&lt;=1,1,0)</x:f>
        <x:v>1</x:v>
      </x:c>
      <x:c r="F47" s="6" t="n">
        <x:f>4*SUM($E$9:E47)/A47</x:f>
        <x:v>2.871794871794872</x:v>
      </x:c>
      <x:c r="G47" s="1"/>
      <x:c r="H47" s="1"/>
    </x:row>
    <x:row r="48" ht="22" customHeight="1">
      <x:c r="A48" s="1" t="n">
        <x:v>40</x:v>
      </x:c>
      <x:c r="B48" s="6" t="n">
        <x:f>RAND()</x:f>
        <x:v>0.0014225078427201332</x:v>
      </x:c>
      <x:c r="C48" s="6" t="n">
        <x:f>RAND()</x:f>
        <x:v>0.7488492066687258</x:v>
      </x:c>
      <x:c r="D48" s="6" t="n">
        <x:f>B48^2+C48^2</x:f>
        <x:v>0.5607771578569426</x:v>
      </x:c>
      <x:c r="E48" s="5" t="n">
        <x:f>IF(D48&lt;=1,1,0)</x:f>
        <x:v>1</x:v>
      </x:c>
      <x:c r="F48" s="6" t="n">
        <x:f>4*SUM($E$9:E48)/A48</x:f>
        <x:v>2.9</x:v>
      </x:c>
      <x:c r="G48" s="1"/>
      <x:c r="H48" s="1"/>
    </x:row>
    <x:row r="49" ht="22" customHeight="1">
      <x:c r="A49" s="1" t="n">
        <x:v>41</x:v>
      </x:c>
      <x:c r="B49" s="6" t="n">
        <x:f>RAND()</x:f>
        <x:v>0.04154447358083613</x:v>
      </x:c>
      <x:c r="C49" s="6" t="n">
        <x:f>RAND()</x:f>
        <x:v>0.2132640497550251</x:v>
      </x:c>
      <x:c r="D49" s="6" t="n">
        <x:f>B49^2+C49^2</x:f>
        <x:v>0.04720749820302262</x:v>
      </x:c>
      <x:c r="E49" s="5" t="n">
        <x:f>IF(D49&lt;=1,1,0)</x:f>
        <x:v>1</x:v>
      </x:c>
      <x:c r="F49" s="6" t="n">
        <x:f>4*SUM($E$9:E49)/A49</x:f>
        <x:v>2.926829268292683</x:v>
      </x:c>
      <x:c r="G49" s="1"/>
      <x:c r="H49" s="1"/>
    </x:row>
    <x:row r="50" ht="22" customHeight="1">
      <x:c r="A50" s="1" t="n">
        <x:v>42</x:v>
      </x:c>
      <x:c r="B50" s="6" t="n">
        <x:f>RAND()</x:f>
        <x:v>0.5876888829662394</x:v>
      </x:c>
      <x:c r="C50" s="6" t="n">
        <x:f>RAND()</x:f>
        <x:v>0.1724453628113387</x:v>
      </x:c>
      <x:c r="D50" s="6" t="n">
        <x:f>B50^2+C50^2</x:f>
        <x:v>0.3751156263172405</x:v>
      </x:c>
      <x:c r="E50" s="5" t="n">
        <x:f>IF(D50&lt;=1,1,0)</x:f>
        <x:v>1</x:v>
      </x:c>
      <x:c r="F50" s="6" t="n">
        <x:f>4*SUM($E$9:E50)/A50</x:f>
        <x:v>2.9523809523809526</x:v>
      </x:c>
      <x:c r="G50" s="1"/>
      <x:c r="H50" s="1"/>
    </x:row>
    <x:row r="51" ht="22" customHeight="1">
      <x:c r="A51" s="1" t="n">
        <x:v>43</x:v>
      </x:c>
      <x:c r="B51" s="6" t="n">
        <x:f>RAND()</x:f>
        <x:v>0.2625815837808475</x:v>
      </x:c>
      <x:c r="C51" s="6" t="n">
        <x:f>RAND()</x:f>
        <x:v>0.01664250128569922</x:v>
      </x:c>
      <x:c r="D51" s="6" t="n">
        <x:f>B51^2+C51^2</x:f>
        <x:v>0.06922606098990274</x:v>
      </x:c>
      <x:c r="E51" s="5" t="n">
        <x:f>IF(D51&lt;=1,1,0)</x:f>
        <x:v>1</x:v>
      </x:c>
      <x:c r="F51" s="6" t="n">
        <x:f>4*SUM($E$9:E51)/A51</x:f>
        <x:v>2.9767441860465116</x:v>
      </x:c>
      <x:c r="G51" s="1"/>
      <x:c r="H51" s="1"/>
    </x:row>
    <x:row r="52" ht="22" customHeight="1">
      <x:c r="A52" s="1" t="n">
        <x:v>44</x:v>
      </x:c>
      <x:c r="B52" s="6" t="n">
        <x:f>RAND()</x:f>
        <x:v>0.4615701666688279</x:v>
      </x:c>
      <x:c r="C52" s="6" t="n">
        <x:f>RAND()</x:f>
        <x:v>0.9791132848709662</x:v>
      </x:c>
      <x:c r="D52" s="6" t="n">
        <x:f>B52^2+C52^2</x:f>
        <x:v>1.1717098433695032</x:v>
      </x:c>
      <x:c r="E52" s="5" t="n">
        <x:f>IF(D52&lt;=1,1,0)</x:f>
        <x:v>0</x:v>
      </x:c>
      <x:c r="F52" s="6" t="n">
        <x:f>4*SUM($E$9:E52)/A52</x:f>
        <x:v>2.909090909090909</x:v>
      </x:c>
      <x:c r="G52" s="1"/>
      <x:c r="H52" s="1"/>
    </x:row>
    <x:row r="53" ht="22" customHeight="1">
      <x:c r="A53" s="1" t="n">
        <x:v>45</x:v>
      </x:c>
      <x:c r="B53" s="6" t="n">
        <x:f>RAND()</x:f>
        <x:v>0.8131450846055777</x:v>
      </x:c>
      <x:c r="C53" s="6" t="n">
        <x:f>RAND()</x:f>
        <x:v>0.999085525649956</x:v>
      </x:c>
      <x:c r="D53" s="6" t="n">
        <x:f>B53^2+C53^2</x:f>
        <x:v>1.659376816181461</x:v>
      </x:c>
      <x:c r="E53" s="5" t="n">
        <x:f>IF(D53&lt;=1,1,0)</x:f>
        <x:v>0</x:v>
      </x:c>
      <x:c r="F53" s="6" t="n">
        <x:f>4*SUM($E$9:E53)/A53</x:f>
        <x:v>2.8444444444444446</x:v>
      </x:c>
      <x:c r="G53" s="1"/>
      <x:c r="H53" s="1"/>
    </x:row>
    <x:row r="54" ht="22" customHeight="1">
      <x:c r="A54" s="1" t="n">
        <x:v>46</x:v>
      </x:c>
      <x:c r="B54" s="6" t="n">
        <x:f>RAND()</x:f>
        <x:v>0.34450536587928726</x:v>
      </x:c>
      <x:c r="C54" s="6" t="n">
        <x:f>RAND()</x:f>
        <x:v>0.40530690560981353</x:v>
      </x:c>
      <x:c r="D54" s="6" t="n">
        <x:f>B54^2+C54^2</x:f>
        <x:v>0.2829576348546239</x:v>
      </x:c>
      <x:c r="E54" s="5" t="n">
        <x:f>IF(D54&lt;=1,1,0)</x:f>
        <x:v>1</x:v>
      </x:c>
      <x:c r="F54" s="6" t="n">
        <x:f>4*SUM($E$9:E54)/A54</x:f>
        <x:v>2.869565217391304</x:v>
      </x:c>
      <x:c r="G54" s="1"/>
      <x:c r="H54" s="1"/>
    </x:row>
    <x:row r="55" ht="22" customHeight="1">
      <x:c r="A55" s="1" t="n">
        <x:v>47</x:v>
      </x:c>
      <x:c r="B55" s="6" t="n">
        <x:f>RAND()</x:f>
        <x:v>0.06431152649218186</x:v>
      </x:c>
      <x:c r="C55" s="6" t="n">
        <x:f>RAND()</x:f>
        <x:v>0.16529850563838067</x:v>
      </x:c>
      <x:c r="D55" s="6" t="n">
        <x:f>B55^2+C55^2</x:f>
        <x:v>0.03145956840603638</x:v>
      </x:c>
      <x:c r="E55" s="5" t="n">
        <x:f>IF(D55&lt;=1,1,0)</x:f>
        <x:v>1</x:v>
      </x:c>
      <x:c r="F55" s="6" t="n">
        <x:f>4*SUM($E$9:E55)/A55</x:f>
        <x:v>2.893617021276596</x:v>
      </x:c>
      <x:c r="G55" s="1"/>
      <x:c r="H55" s="1"/>
    </x:row>
    <x:row r="56" ht="22" customHeight="1">
      <x:c r="A56" s="1" t="n">
        <x:v>48</x:v>
      </x:c>
      <x:c r="B56" s="6" t="n">
        <x:f>RAND()</x:f>
        <x:v>0.2917155551449121</x:v>
      </x:c>
      <x:c r="C56" s="6" t="n">
        <x:f>RAND()</x:f>
        <x:v>0.5261088490151449</x:v>
      </x:c>
      <x:c r="D56" s="6" t="n">
        <x:f>B56^2+C56^2</x:f>
        <x:v>0.36188848612554475</x:v>
      </x:c>
      <x:c r="E56" s="5" t="n">
        <x:f>IF(D56&lt;=1,1,0)</x:f>
        <x:v>1</x:v>
      </x:c>
      <x:c r="F56" s="6" t="n">
        <x:f>4*SUM($E$9:E56)/A56</x:f>
        <x:v>2.9166666666666665</x:v>
      </x:c>
      <x:c r="G56" s="1"/>
      <x:c r="H56" s="1"/>
    </x:row>
    <x:row r="57" ht="22" customHeight="1">
      <x:c r="A57" s="1" t="n">
        <x:v>49</x:v>
      </x:c>
      <x:c r="B57" s="6" t="n">
        <x:f>RAND()</x:f>
        <x:v>0.5507209603650093</x:v>
      </x:c>
      <x:c r="C57" s="6" t="n">
        <x:f>RAND()</x:f>
        <x:v>0.15429796922224248</x:v>
      </x:c>
      <x:c r="D57" s="6" t="n">
        <x:f>B57^2+C57^2</x:f>
        <x:v>0.3271014394914662</x:v>
      </x:c>
      <x:c r="E57" s="5" t="n">
        <x:f>IF(D57&lt;=1,1,0)</x:f>
        <x:v>1</x:v>
      </x:c>
      <x:c r="F57" s="6" t="n">
        <x:f>4*SUM($E$9:E57)/A57</x:f>
        <x:v>2.938775510204082</x:v>
      </x:c>
      <x:c r="G57" s="1"/>
      <x:c r="H57" s="1"/>
    </x:row>
    <x:row r="58" ht="22" customHeight="1">
      <x:c r="A58" s="1" t="n">
        <x:v>50</x:v>
      </x:c>
      <x:c r="B58" s="6" t="n">
        <x:f>RAND()</x:f>
        <x:v>0.2643393170291598</x:v>
      </x:c>
      <x:c r="C58" s="6" t="n">
        <x:f>RAND()</x:f>
        <x:v>0.7935021738692911</x:v>
      </x:c>
      <x:c r="D58" s="6" t="n">
        <x:f>B58^2+C58^2</x:f>
        <x:v>0.6995209744627334</x:v>
      </x:c>
      <x:c r="E58" s="5" t="n">
        <x:f>IF(D58&lt;=1,1,0)</x:f>
        <x:v>1</x:v>
      </x:c>
      <x:c r="F58" s="6" t="n">
        <x:f>4*SUM($E$9:E58)/A58</x:f>
        <x:v>2.96</x:v>
      </x:c>
      <x:c r="G58" s="1"/>
      <x:c r="H58" s="1"/>
    </x:row>
    <x:row r="59" ht="22" customHeight="1">
      <x:c r="A59" s="1" t="n">
        <x:v>51</x:v>
      </x:c>
      <x:c r="B59" s="6" t="n">
        <x:f>RAND()</x:f>
        <x:v>0.6617652335562434</x:v>
      </x:c>
      <x:c r="C59" s="6" t="n">
        <x:f>RAND()</x:f>
        <x:v>0.19029299308883696</x:v>
      </x:c>
      <x:c r="D59" s="6" t="n">
        <x:f>B59^2+C59^2</x:f>
        <x:v>0.4741446475624575</x:v>
      </x:c>
      <x:c r="E59" s="5" t="n">
        <x:f>IF(D59&lt;=1,1,0)</x:f>
        <x:v>1</x:v>
      </x:c>
      <x:c r="F59" s="6" t="n">
        <x:f>4*SUM($E$9:E59)/A59</x:f>
        <x:v>2.980392156862745</x:v>
      </x:c>
      <x:c r="G59" s="1"/>
      <x:c r="H59" s="1"/>
    </x:row>
    <x:row r="60" ht="22" customHeight="1">
      <x:c r="A60" s="1" t="n">
        <x:v>52</x:v>
      </x:c>
      <x:c r="B60" s="6" t="n">
        <x:f>RAND()</x:f>
        <x:v>0.58597696566109</x:v>
      </x:c>
      <x:c r="C60" s="6" t="n">
        <x:f>RAND()</x:f>
        <x:v>0.8427154352138838</x:v>
      </x:c>
      <x:c r="D60" s="6" t="n">
        <x:f>B60^2+C60^2</x:f>
        <x:v>1.0535383090331039</x:v>
      </x:c>
      <x:c r="E60" s="5" t="n">
        <x:f>IF(D60&lt;=1,1,0)</x:f>
        <x:v>0</x:v>
      </x:c>
      <x:c r="F60" s="6" t="n">
        <x:f>4*SUM($E$9:E60)/A60</x:f>
        <x:v>2.923076923076923</x:v>
      </x:c>
      <x:c r="G60" s="1"/>
      <x:c r="H60" s="1"/>
    </x:row>
    <x:row r="61" ht="22" customHeight="1">
      <x:c r="A61" s="1" t="n">
        <x:v>53</x:v>
      </x:c>
      <x:c r="B61" s="6" t="n">
        <x:f>RAND()</x:f>
        <x:v>0.10221247169122183</x:v>
      </x:c>
      <x:c r="C61" s="6" t="n">
        <x:f>RAND()</x:f>
        <x:v>0.8277487896586183</x:v>
      </x:c>
      <x:c r="D61" s="6" t="n">
        <x:f>B61^2+C61^2</x:f>
        <x:v>0.6956154481505363</x:v>
      </x:c>
      <x:c r="E61" s="5" t="n">
        <x:f>IF(D61&lt;=1,1,0)</x:f>
        <x:v>1</x:v>
      </x:c>
      <x:c r="F61" s="6" t="n">
        <x:f>4*SUM($E$9:E61)/A61</x:f>
        <x:v>2.943396226415094</x:v>
      </x:c>
      <x:c r="G61" s="1"/>
      <x:c r="H61" s="1"/>
    </x:row>
    <x:row r="62" ht="22" customHeight="1">
      <x:c r="A62" s="1" t="n">
        <x:v>54</x:v>
      </x:c>
      <x:c r="B62" s="6" t="n">
        <x:f>RAND()</x:f>
        <x:v>0.34721858109507386</x:v>
      </x:c>
      <x:c r="C62" s="6" t="n">
        <x:f>RAND()</x:f>
        <x:v>0.4052642494119234</x:v>
      </x:c>
      <x:c r="D62" s="6" t="n">
        <x:f>B62^2+C62^2</x:f>
        <x:v>0.28479985490908605</x:v>
      </x:c>
      <x:c r="E62" s="5" t="n">
        <x:f>IF(D62&lt;=1,1,0)</x:f>
        <x:v>1</x:v>
      </x:c>
      <x:c r="F62" s="6" t="n">
        <x:f>4*SUM($E$9:E62)/A62</x:f>
        <x:v>2.962962962962963</x:v>
      </x:c>
      <x:c r="G62" s="1"/>
      <x:c r="H62" s="1"/>
    </x:row>
    <x:row r="63" ht="22" customHeight="1">
      <x:c r="A63" s="1" t="n">
        <x:v>55</x:v>
      </x:c>
      <x:c r="B63" s="6" t="n">
        <x:f>RAND()</x:f>
        <x:v>0.2917295051500136</x:v>
      </x:c>
      <x:c r="C63" s="6" t="n">
        <x:f>RAND()</x:f>
        <x:v>0.06668487005658941</x:v>
      </x:c>
      <x:c r="D63" s="6" t="n">
        <x:f>B63^2+C63^2</x:f>
        <x:v>0.08955297606953604</x:v>
      </x:c>
      <x:c r="E63" s="5" t="n">
        <x:f>IF(D63&lt;=1,1,0)</x:f>
        <x:v>1</x:v>
      </x:c>
      <x:c r="F63" s="6" t="n">
        <x:f>4*SUM($E$9:E63)/A63</x:f>
        <x:v>2.981818181818182</x:v>
      </x:c>
      <x:c r="G63" s="1"/>
      <x:c r="H63" s="1"/>
    </x:row>
    <x:row r="64" ht="22" customHeight="1">
      <x:c r="A64" s="1" t="n">
        <x:v>56</x:v>
      </x:c>
      <x:c r="B64" s="6" t="n">
        <x:f>RAND()</x:f>
        <x:v>0.8654388814206887</x:v>
      </x:c>
      <x:c r="C64" s="6" t="n">
        <x:f>RAND()</x:f>
        <x:v>0.39217885256691687</x:v>
      </x:c>
      <x:c r="D64" s="6" t="n">
        <x:f>B64^2+C64^2</x:f>
        <x:v>0.9027887098753964</x:v>
      </x:c>
      <x:c r="E64" s="5" t="n">
        <x:f>IF(D64&lt;=1,1,0)</x:f>
        <x:v>1</x:v>
      </x:c>
      <x:c r="F64" s="6" t="n">
        <x:f>4*SUM($E$9:E64)/A64</x:f>
        <x:v>3</x:v>
      </x:c>
      <x:c r="G64" s="1"/>
      <x:c r="H64" s="1"/>
    </x:row>
    <x:row r="65" ht="22" customHeight="1">
      <x:c r="A65" s="1" t="n">
        <x:v>57</x:v>
      </x:c>
      <x:c r="B65" s="6" t="n">
        <x:f>RAND()</x:f>
        <x:v>0.6561497589891626</x:v>
      </x:c>
      <x:c r="C65" s="6" t="n">
        <x:f>RAND()</x:f>
        <x:v>0.2699891955177912</x:v>
      </x:c>
      <x:c r="D65" s="6" t="n">
        <x:f>B65^2+C65^2</x:f>
        <x:v>0.5034266719178803</x:v>
      </x:c>
      <x:c r="E65" s="5" t="n">
        <x:f>IF(D65&lt;=1,1,0)</x:f>
        <x:v>1</x:v>
      </x:c>
      <x:c r="F65" s="6" t="n">
        <x:f>4*SUM($E$9:E65)/A65</x:f>
        <x:v>3.017543859649123</x:v>
      </x:c>
      <x:c r="G65" s="1"/>
      <x:c r="H65" s="1"/>
    </x:row>
    <x:row r="66" ht="22" customHeight="1">
      <x:c r="A66" s="1" t="n">
        <x:v>58</x:v>
      </x:c>
      <x:c r="B66" s="6" t="n">
        <x:f>RAND()</x:f>
        <x:v>0.015351400261448322</x:v>
      </x:c>
      <x:c r="C66" s="6" t="n">
        <x:f>RAND()</x:f>
        <x:v>0.4567152495064577</x:v>
      </x:c>
      <x:c r="D66" s="6" t="n">
        <x:f>B66^2+C66^2</x:f>
        <x:v>0.2088244846217331</x:v>
      </x:c>
      <x:c r="E66" s="5" t="n">
        <x:f>IF(D66&lt;=1,1,0)</x:f>
        <x:v>1</x:v>
      </x:c>
      <x:c r="F66" s="6" t="n">
        <x:f>4*SUM($E$9:E66)/A66</x:f>
        <x:v>3.0344827586206895</x:v>
      </x:c>
      <x:c r="G66" s="1"/>
      <x:c r="H66" s="1"/>
    </x:row>
    <x:row r="67" ht="22" customHeight="1">
      <x:c r="A67" s="1" t="n">
        <x:v>59</x:v>
      </x:c>
      <x:c r="B67" s="6" t="n">
        <x:f>RAND()</x:f>
        <x:v>0.8487997866751683</x:v>
      </x:c>
      <x:c r="C67" s="6" t="n">
        <x:f>RAND()</x:f>
        <x:v>0.8033398836965028</x:v>
      </x:c>
      <x:c r="D67" s="6" t="n">
        <x:f>B67^2+C67^2</x:f>
        <x:v>1.365816046597322</x:v>
      </x:c>
      <x:c r="E67" s="5" t="n">
        <x:f>IF(D67&lt;=1,1,0)</x:f>
        <x:v>0</x:v>
      </x:c>
      <x:c r="F67" s="6" t="n">
        <x:f>4*SUM($E$9:E67)/A67</x:f>
        <x:v>2.983050847457627</x:v>
      </x:c>
      <x:c r="G67" s="1"/>
      <x:c r="H67" s="1"/>
    </x:row>
    <x:row r="68" ht="22" customHeight="1">
      <x:c r="A68" s="1" t="n">
        <x:v>60</x:v>
      </x:c>
      <x:c r="B68" s="6" t="n">
        <x:f>RAND()</x:f>
        <x:v>0.014793645191857885</x:v>
      </x:c>
      <x:c r="C68" s="6" t="n">
        <x:f>RAND()</x:f>
        <x:v>0.15226899487120726</x:v>
      </x:c>
      <x:c r="D68" s="6" t="n">
        <x:f>B68^2+C68^2</x:f>
        <x:v>0.023404698737150325</x:v>
      </x:c>
      <x:c r="E68" s="5" t="n">
        <x:f>IF(D68&lt;=1,1,0)</x:f>
        <x:v>1</x:v>
      </x:c>
      <x:c r="F68" s="6" t="n">
        <x:f>4*SUM($E$9:E68)/A68</x:f>
        <x:v>3</x:v>
      </x:c>
      <x:c r="G68" s="1"/>
      <x:c r="H68" s="1"/>
    </x:row>
    <x:row r="69" ht="22" customHeight="1">
      <x:c r="A69" s="1" t="n">
        <x:v>61</x:v>
      </x:c>
      <x:c r="B69" s="6" t="n">
        <x:f>RAND()</x:f>
        <x:v>0.013480323486853685</x:v>
      </x:c>
      <x:c r="C69" s="6" t="n">
        <x:f>RAND()</x:f>
        <x:v>0.06667950218537433</x:v>
      </x:c>
      <x:c r="D69" s="6" t="n">
        <x:f>B69^2+C69^2</x:f>
        <x:v>0.004627875132999559</x:v>
      </x:c>
      <x:c r="E69" s="5" t="n">
        <x:f>IF(D69&lt;=1,1,0)</x:f>
        <x:v>1</x:v>
      </x:c>
      <x:c r="F69" s="6" t="n">
        <x:f>4*SUM($E$9:E69)/A69</x:f>
        <x:v>3.0163934426229506</x:v>
      </x:c>
      <x:c r="G69" s="1"/>
      <x:c r="H69" s="1"/>
    </x:row>
    <x:row r="70" ht="22" customHeight="1">
      <x:c r="A70" s="1" t="n">
        <x:v>62</x:v>
      </x:c>
      <x:c r="B70" s="6" t="n">
        <x:f>RAND()</x:f>
        <x:v>0.010673888422539246</x:v>
      </x:c>
      <x:c r="C70" s="6" t="n">
        <x:f>RAND()</x:f>
        <x:v>0.10939336552715062</x:v>
      </x:c>
      <x:c r="D70" s="6" t="n">
        <x:f>B70^2+C70^2</x:f>
        <x:v>0.012080840315413604</x:v>
      </x:c>
      <x:c r="E70" s="5" t="n">
        <x:f>IF(D70&lt;=1,1,0)</x:f>
        <x:v>1</x:v>
      </x:c>
      <x:c r="F70" s="6" t="n">
        <x:f>4*SUM($E$9:E70)/A70</x:f>
        <x:v>3.032258064516129</x:v>
      </x:c>
      <x:c r="G70" s="1"/>
      <x:c r="H70" s="1"/>
    </x:row>
    <x:row r="71" ht="22" customHeight="1">
      <x:c r="A71" s="1" t="n">
        <x:v>63</x:v>
      </x:c>
      <x:c r="B71" s="6" t="n">
        <x:f>RAND()</x:f>
        <x:v>0.14059856406851956</x:v>
      </x:c>
      <x:c r="C71" s="6" t="n">
        <x:f>RAND()</x:f>
        <x:v>0.6787324632714921</x:v>
      </x:c>
      <x:c r="D71" s="6" t="n">
        <x:f>B71^2+C71^2</x:f>
        <x:v>0.4804457129167169</x:v>
      </x:c>
      <x:c r="E71" s="5" t="n">
        <x:f>IF(D71&lt;=1,1,0)</x:f>
        <x:v>1</x:v>
      </x:c>
      <x:c r="F71" s="6" t="n">
        <x:f>4*SUM($E$9:E71)/A71</x:f>
        <x:v>3.0476190476190474</x:v>
      </x:c>
      <x:c r="G71" s="1"/>
      <x:c r="H71" s="1"/>
    </x:row>
    <x:row r="72" ht="22" customHeight="1">
      <x:c r="A72" s="1" t="n">
        <x:v>64</x:v>
      </x:c>
      <x:c r="B72" s="6" t="n">
        <x:f>RAND()</x:f>
        <x:v>0.7309361943658246</x:v>
      </x:c>
      <x:c r="C72" s="6" t="n">
        <x:f>RAND()</x:f>
        <x:v>0.5614867924638903</x:v>
      </x:c>
      <x:c r="D72" s="6" t="n">
        <x:f>B72^2+C72^2</x:f>
        <x:v>0.8495351383453824</x:v>
      </x:c>
      <x:c r="E72" s="5" t="n">
        <x:f>IF(D72&lt;=1,1,0)</x:f>
        <x:v>1</x:v>
      </x:c>
      <x:c r="F72" s="6" t="n">
        <x:f>4*SUM($E$9:E72)/A72</x:f>
        <x:v>3.0625</x:v>
      </x:c>
      <x:c r="G72" s="1"/>
      <x:c r="H72" s="1"/>
    </x:row>
    <x:row r="73" ht="22" customHeight="1">
      <x:c r="A73" s="1" t="n">
        <x:v>65</x:v>
      </x:c>
      <x:c r="B73" s="6" t="n">
        <x:f>RAND()</x:f>
        <x:v>0.9501768088046606</x:v>
      </x:c>
      <x:c r="C73" s="6" t="n">
        <x:f>RAND()</x:f>
        <x:v>0.3468469550309161</x:v>
      </x:c>
      <x:c r="D73" s="6" t="n">
        <x:f>B73^2+C73^2</x:f>
        <x:v>1.023138778204427</x:v>
      </x:c>
      <x:c r="E73" s="5" t="n">
        <x:f>IF(D73&lt;=1,1,0)</x:f>
        <x:v>0</x:v>
      </x:c>
      <x:c r="F73" s="6" t="n">
        <x:f>4*SUM($E$9:E73)/A73</x:f>
        <x:v>3.0153846153846153</x:v>
      </x:c>
      <x:c r="G73" s="1"/>
      <x:c r="H73" s="1"/>
    </x:row>
    <x:row r="74" ht="22" customHeight="1">
      <x:c r="A74" s="1" t="n">
        <x:v>66</x:v>
      </x:c>
      <x:c r="B74" s="6" t="n">
        <x:f>RAND()</x:f>
        <x:v>0.7252205695774879</x:v>
      </x:c>
      <x:c r="C74" s="6" t="n">
        <x:f>RAND()</x:f>
        <x:v>0.3500066664864896</x:v>
      </x:c>
      <x:c r="D74" s="6" t="n">
        <x:f>B74^2+C74^2</x:f>
        <x:v>0.6484495411232807</x:v>
      </x:c>
      <x:c r="E74" s="5" t="n">
        <x:f>IF(D74&lt;=1,1,0)</x:f>
        <x:v>1</x:v>
      </x:c>
      <x:c r="F74" s="6" t="n">
        <x:f>4*SUM($E$9:E74)/A74</x:f>
        <x:v>3.0303030303030303</x:v>
      </x:c>
      <x:c r="G74" s="1"/>
      <x:c r="H74" s="1"/>
    </x:row>
    <x:row r="75" ht="22" customHeight="1">
      <x:c r="A75" s="1" t="n">
        <x:v>67</x:v>
      </x:c>
      <x:c r="B75" s="6" t="n">
        <x:f>RAND()</x:f>
        <x:v>0.36831697750393844</x:v>
      </x:c>
      <x:c r="C75" s="6" t="n">
        <x:f>RAND()</x:f>
        <x:v>0.16331102611513637</x:v>
      </x:c>
      <x:c r="D75" s="6" t="n">
        <x:f>B75^2+C75^2</x:f>
        <x:v>0.16232788716841545</x:v>
      </x:c>
      <x:c r="E75" s="5" t="n">
        <x:f>IF(D75&lt;=1,1,0)</x:f>
        <x:v>1</x:v>
      </x:c>
      <x:c r="F75" s="6" t="n">
        <x:f>4*SUM($E$9:E75)/A75</x:f>
        <x:v>3.044776119402985</x:v>
      </x:c>
      <x:c r="G75" s="1"/>
      <x:c r="H75" s="1"/>
    </x:row>
    <x:row r="76" ht="22" customHeight="1">
      <x:c r="A76" s="1" t="n">
        <x:v>68</x:v>
      </x:c>
      <x:c r="B76" s="6" t="n">
        <x:f>RAND()</x:f>
        <x:v>0.8523960922364018</x:v>
      </x:c>
      <x:c r="C76" s="6" t="n">
        <x:f>RAND()</x:f>
        <x:v>0.2079152794357757</x:v>
      </x:c>
      <x:c r="D76" s="6" t="n">
        <x:f>B76^2+C76^2</x:f>
        <x:v>0.769807861482745</x:v>
      </x:c>
      <x:c r="E76" s="5" t="n">
        <x:f>IF(D76&lt;=1,1,0)</x:f>
        <x:v>1</x:v>
      </x:c>
      <x:c r="F76" s="6" t="n">
        <x:f>4*SUM($E$9:E76)/A76</x:f>
        <x:v>3.0588235294117645</x:v>
      </x:c>
      <x:c r="G76" s="1"/>
      <x:c r="H76" s="1"/>
    </x:row>
    <x:row r="77" ht="22" customHeight="1">
      <x:c r="A77" s="1" t="n">
        <x:v>69</x:v>
      </x:c>
      <x:c r="B77" s="6" t="n">
        <x:f>RAND()</x:f>
        <x:v>0.27542849329849195</x:v>
      </x:c>
      <x:c r="C77" s="6" t="n">
        <x:f>RAND()</x:f>
        <x:v>0.709595891682956</x:v>
      </x:c>
      <x:c r="D77" s="6" t="n">
        <x:f>B77^2+C77^2</x:f>
        <x:v>0.5793871844140068</x:v>
      </x:c>
      <x:c r="E77" s="5" t="n">
        <x:f>IF(D77&lt;=1,1,0)</x:f>
        <x:v>1</x:v>
      </x:c>
      <x:c r="F77" s="6" t="n">
        <x:f>4*SUM($E$9:E77)/A77</x:f>
        <x:v>3.072463768115942</x:v>
      </x:c>
      <x:c r="G77" s="1"/>
      <x:c r="H77" s="1"/>
    </x:row>
    <x:row r="78" ht="22" customHeight="1">
      <x:c r="A78" s="1" t="n">
        <x:v>70</x:v>
      </x:c>
      <x:c r="B78" s="6" t="n">
        <x:f>RAND()</x:f>
        <x:v>0.8568986842722609</x:v>
      </x:c>
      <x:c r="C78" s="6" t="n">
        <x:f>RAND()</x:f>
        <x:v>0.5544220074571863</x:v>
      </x:c>
      <x:c r="D78" s="6" t="n">
        <x:f>B78^2+C78^2</x:f>
        <x:v>1.0416591174603882</x:v>
      </x:c>
      <x:c r="E78" s="5" t="n">
        <x:f>IF(D78&lt;=1,1,0)</x:f>
        <x:v>0</x:v>
      </x:c>
      <x:c r="F78" s="6" t="n">
        <x:f>4*SUM($E$9:E78)/A78</x:f>
        <x:v>3.0285714285714285</x:v>
      </x:c>
      <x:c r="G78" s="1"/>
      <x:c r="H78" s="1"/>
    </x:row>
    <x:row r="79" ht="22" customHeight="1">
      <x:c r="A79" s="1" t="n">
        <x:v>71</x:v>
      </x:c>
      <x:c r="B79" s="6" t="n">
        <x:f>RAND()</x:f>
        <x:v>0.03309635761619001</x:v>
      </x:c>
      <x:c r="C79" s="6" t="n">
        <x:f>RAND()</x:f>
        <x:v>0.6210456022145331</x:v>
      </x:c>
      <x:c r="D79" s="6" t="n">
        <x:f>B79^2+C79^2</x:f>
        <x:v>0.3867930089174708</x:v>
      </x:c>
      <x:c r="E79" s="5" t="n">
        <x:f>IF(D79&lt;=1,1,0)</x:f>
        <x:v>1</x:v>
      </x:c>
      <x:c r="F79" s="6" t="n">
        <x:f>4*SUM($E$9:E79)/A79</x:f>
        <x:v>3.0422535211267605</x:v>
      </x:c>
      <x:c r="G79" s="1"/>
      <x:c r="H79" s="1"/>
    </x:row>
    <x:row r="80" ht="22" customHeight="1">
      <x:c r="A80" s="1" t="n">
        <x:v>72</x:v>
      </x:c>
      <x:c r="B80" s="6" t="n">
        <x:f>RAND()</x:f>
        <x:v>0.8083947116818376</x:v>
      </x:c>
      <x:c r="C80" s="6" t="n">
        <x:f>RAND()</x:f>
        <x:v>0.020805103791994517</x:v>
      </x:c>
      <x:c r="D80" s="6" t="n">
        <x:f>B80^2+C80^2</x:f>
        <x:v>0.653934862218957</x:v>
      </x:c>
      <x:c r="E80" s="5" t="n">
        <x:f>IF(D80&lt;=1,1,0)</x:f>
        <x:v>1</x:v>
      </x:c>
      <x:c r="F80" s="6" t="n">
        <x:f>4*SUM($E$9:E80)/A80</x:f>
        <x:v>3.0555555555555554</x:v>
      </x:c>
      <x:c r="G80" s="1"/>
      <x:c r="H80" s="1"/>
    </x:row>
    <x:row r="81" ht="22" customHeight="1">
      <x:c r="A81" s="1" t="n">
        <x:v>73</x:v>
      </x:c>
      <x:c r="B81" s="6" t="n">
        <x:f>RAND()</x:f>
        <x:v>0.15711877234732674</x:v>
      </x:c>
      <x:c r="C81" s="6" t="n">
        <x:f>RAND()</x:f>
        <x:v>0.7710596211539613</x:v>
      </x:c>
      <x:c r="D81" s="6" t="n">
        <x:f>B81^2+C81^2</x:f>
        <x:v>0.6192192479980214</x:v>
      </x:c>
      <x:c r="E81" s="5" t="n">
        <x:f>IF(D81&lt;=1,1,0)</x:f>
        <x:v>1</x:v>
      </x:c>
      <x:c r="F81" s="6" t="n">
        <x:f>4*SUM($E$9:E81)/A81</x:f>
        <x:v>3.0684931506849313</x:v>
      </x:c>
      <x:c r="G81" s="1"/>
      <x:c r="H81" s="1"/>
    </x:row>
    <x:row r="82" ht="22" customHeight="1">
      <x:c r="A82" s="1" t="n">
        <x:v>74</x:v>
      </x:c>
      <x:c r="B82" s="6" t="n">
        <x:f>RAND()</x:f>
        <x:v>0.4316985029135755</x:v>
      </x:c>
      <x:c r="C82" s="6" t="n">
        <x:f>RAND()</x:f>
        <x:v>0.18995387632348604</x:v>
      </x:c>
      <x:c r="D82" s="6" t="n">
        <x:f>B82^2+C82^2</x:f>
        <x:v>0.22244607254814056</x:v>
      </x:c>
      <x:c r="E82" s="5" t="n">
        <x:f>IF(D82&lt;=1,1,0)</x:f>
        <x:v>1</x:v>
      </x:c>
      <x:c r="F82" s="6" t="n">
        <x:f>4*SUM($E$9:E82)/A82</x:f>
        <x:v>3.081081081081081</x:v>
      </x:c>
      <x:c r="G82" s="1"/>
      <x:c r="H82" s="1"/>
    </x:row>
    <x:row r="83" ht="22" customHeight="1">
      <x:c r="A83" s="1" t="n">
        <x:v>75</x:v>
      </x:c>
      <x:c r="B83" s="6" t="n">
        <x:f>RAND()</x:f>
        <x:v>0.6320072412055198</x:v>
      </x:c>
      <x:c r="C83" s="6" t="n">
        <x:f>RAND()</x:f>
        <x:v>0.8376155230332134</x:v>
      </x:c>
      <x:c r="D83" s="6" t="n">
        <x:f>B83^2+C83^2</x:f>
        <x:v>1.1010329173624158</x:v>
      </x:c>
      <x:c r="E83" s="5" t="n">
        <x:f>IF(D83&lt;=1,1,0)</x:f>
        <x:v>0</x:v>
      </x:c>
      <x:c r="F83" s="6" t="n">
        <x:f>4*SUM($E$9:E83)/A83</x:f>
        <x:v>3.04</x:v>
      </x:c>
      <x:c r="G83" s="1"/>
      <x:c r="H83" s="1"/>
    </x:row>
    <x:row r="84" ht="22" customHeight="1">
      <x:c r="A84" s="1" t="n">
        <x:v>76</x:v>
      </x:c>
      <x:c r="B84" s="6" t="n">
        <x:f>RAND()</x:f>
        <x:v>0.34121634112499655</x:v>
      </x:c>
      <x:c r="C84" s="6" t="n">
        <x:f>RAND()</x:f>
        <x:v>0.8884118061300265</x:v>
      </x:c>
      <x:c r="D84" s="6" t="n">
        <x:f>B84^2+C84^2</x:f>
        <x:v>0.9057041287219457</x:v>
      </x:c>
      <x:c r="E84" s="5" t="n">
        <x:f>IF(D84&lt;=1,1,0)</x:f>
        <x:v>1</x:v>
      </x:c>
      <x:c r="F84" s="6" t="n">
        <x:f>4*SUM($E$9:E84)/A84</x:f>
        <x:v>3.0526315789473686</x:v>
      </x:c>
      <x:c r="G84" s="1"/>
      <x:c r="H84" s="1"/>
    </x:row>
    <x:row r="85" ht="22" customHeight="1">
      <x:c r="A85" s="1" t="n">
        <x:v>77</x:v>
      </x:c>
      <x:c r="B85" s="6" t="n">
        <x:f>RAND()</x:f>
        <x:v>0.2731187277754633</x:v>
      </x:c>
      <x:c r="C85" s="6" t="n">
        <x:f>RAND()</x:f>
        <x:v>0.3410985403889383</x:v>
      </x:c>
      <x:c r="D85" s="6" t="n">
        <x:f>B85^2+C85^2</x:f>
        <x:v>0.19094205371715178</x:v>
      </x:c>
      <x:c r="E85" s="5" t="n">
        <x:f>IF(D85&lt;=1,1,0)</x:f>
        <x:v>1</x:v>
      </x:c>
      <x:c r="F85" s="6" t="n">
        <x:f>4*SUM($E$9:E85)/A85</x:f>
        <x:v>3.064935064935065</x:v>
      </x:c>
      <x:c r="G85" s="1"/>
      <x:c r="H85" s="1"/>
    </x:row>
    <x:row r="86" ht="22" customHeight="1">
      <x:c r="A86" s="1" t="n">
        <x:v>78</x:v>
      </x:c>
      <x:c r="B86" s="6" t="n">
        <x:f>RAND()</x:f>
        <x:v>0.2953716931594099</x:v>
      </x:c>
      <x:c r="C86" s="6" t="n">
        <x:f>RAND()</x:f>
        <x:v>0.5286939868659748</x:v>
      </x:c>
      <x:c r="D86" s="6" t="n">
        <x:f>B86^2+C86^2</x:f>
        <x:v>0.3667617688680961</x:v>
      </x:c>
      <x:c r="E86" s="5" t="n">
        <x:f>IF(D86&lt;=1,1,0)</x:f>
        <x:v>1</x:v>
      </x:c>
      <x:c r="F86" s="6" t="n">
        <x:f>4*SUM($E$9:E86)/A86</x:f>
        <x:v>3.076923076923077</x:v>
      </x:c>
      <x:c r="G86" s="1"/>
      <x:c r="H86" s="1"/>
    </x:row>
    <x:row r="87" ht="22" customHeight="1">
      <x:c r="A87" s="1" t="n">
        <x:v>79</x:v>
      </x:c>
      <x:c r="B87" s="6" t="n">
        <x:f>RAND()</x:f>
        <x:v>0.7850874682155776</x:v>
      </x:c>
      <x:c r="C87" s="6" t="n">
        <x:f>RAND()</x:f>
        <x:v>0.6893969773654272</x:v>
      </x:c>
      <x:c r="D87" s="6" t="n">
        <x:f>B87^2+C87^2</x:f>
        <x:v>1.091630525149733</x:v>
      </x:c>
      <x:c r="E87" s="5" t="n">
        <x:f>IF(D87&lt;=1,1,0)</x:f>
        <x:v>0</x:v>
      </x:c>
      <x:c r="F87" s="6" t="n">
        <x:f>4*SUM($E$9:E87)/A87</x:f>
        <x:v>3.037974683544304</x:v>
      </x:c>
      <x:c r="G87" s="1"/>
      <x:c r="H87" s="1"/>
    </x:row>
    <x:row r="88" ht="22" customHeight="1">
      <x:c r="A88" s="1" t="n">
        <x:v>80</x:v>
      </x:c>
      <x:c r="B88" s="6" t="n">
        <x:f>RAND()</x:f>
        <x:v>0.8409627302576635</x:v>
      </x:c>
      <x:c r="C88" s="6" t="n">
        <x:f>RAND()</x:f>
        <x:v>0.6652210715671641</x:v>
      </x:c>
      <x:c r="D88" s="6" t="n">
        <x:f>B88^2+C88^2</x:f>
        <x:v>1.14973738773939</x:v>
      </x:c>
      <x:c r="E88" s="5" t="n">
        <x:f>IF(D88&lt;=1,1,0)</x:f>
        <x:v>0</x:v>
      </x:c>
      <x:c r="F88" s="6" t="n">
        <x:f>4*SUM($E$9:E88)/A88</x:f>
        <x:v>3</x:v>
      </x:c>
      <x:c r="G88" s="1"/>
      <x:c r="H88" s="1"/>
    </x:row>
    <x:row r="89" ht="22" customHeight="1">
      <x:c r="A89" s="1" t="n">
        <x:v>81</x:v>
      </x:c>
      <x:c r="B89" s="6" t="n">
        <x:f>RAND()</x:f>
        <x:v>0.42488075130400416</x:v>
      </x:c>
      <x:c r="C89" s="6" t="n">
        <x:f>RAND()</x:f>
        <x:v>0.6455033289690144</x:v>
      </x:c>
      <x:c r="D89" s="6" t="n">
        <x:f>B89^2+C89^2</x:f>
        <x:v>0.5971982005387346</x:v>
      </x:c>
      <x:c r="E89" s="5" t="n">
        <x:f>IF(D89&lt;=1,1,0)</x:f>
        <x:v>1</x:v>
      </x:c>
      <x:c r="F89" s="6" t="n">
        <x:f>4*SUM($E$9:E89)/A89</x:f>
        <x:v>3.0123456790123457</x:v>
      </x:c>
      <x:c r="G89" s="1"/>
      <x:c r="H89" s="1"/>
    </x:row>
    <x:row r="90" ht="22" customHeight="1">
      <x:c r="A90" s="1" t="n">
        <x:v>82</x:v>
      </x:c>
      <x:c r="B90" s="6" t="n">
        <x:f>RAND()</x:f>
        <x:v>0.6751200431891033</x:v>
      </x:c>
      <x:c r="C90" s="6" t="n">
        <x:f>RAND()</x:f>
        <x:v>0.8131787598965827</x:v>
      </x:c>
      <x:c r="D90" s="6" t="n">
        <x:f>B90^2+C90^2</x:f>
        <x:v>1.1170467682626009</x:v>
      </x:c>
      <x:c r="E90" s="5" t="n">
        <x:f>IF(D90&lt;=1,1,0)</x:f>
        <x:v>0</x:v>
      </x:c>
      <x:c r="F90" s="6" t="n">
        <x:f>4*SUM($E$9:E90)/A90</x:f>
        <x:v>2.975609756097561</x:v>
      </x:c>
      <x:c r="G90" s="1"/>
      <x:c r="H90" s="1"/>
    </x:row>
    <x:row r="91" ht="22" customHeight="1">
      <x:c r="A91" s="1" t="n">
        <x:v>83</x:v>
      </x:c>
      <x:c r="B91" s="6" t="n">
        <x:f>RAND()</x:f>
        <x:v>0.65451501098622</x:v>
      </x:c>
      <x:c r="C91" s="6" t="n">
        <x:f>RAND()</x:f>
        <x:v>0.4417567284343984</x:v>
      </x:c>
      <x:c r="D91" s="6" t="n">
        <x:f>B91^2+C91^2</x:f>
        <x:v>0.6235389067233545</x:v>
      </x:c>
      <x:c r="E91" s="5" t="n">
        <x:f>IF(D91&lt;=1,1,0)</x:f>
        <x:v>1</x:v>
      </x:c>
      <x:c r="F91" s="6" t="n">
        <x:f>4*SUM($E$9:E91)/A91</x:f>
        <x:v>2.9879518072289155</x:v>
      </x:c>
      <x:c r="G91" s="1"/>
      <x:c r="H91" s="1"/>
    </x:row>
    <x:row r="92" ht="22" customHeight="1">
      <x:c r="A92" s="1" t="n">
        <x:v>84</x:v>
      </x:c>
      <x:c r="B92" s="6" t="n">
        <x:f>RAND()</x:f>
        <x:v>0.929236082117673</x:v>
      </x:c>
      <x:c r="C92" s="6" t="n">
        <x:f>RAND()</x:f>
        <x:v>0.7549456794236171</x:v>
      </x:c>
      <x:c r="D92" s="6" t="n">
        <x:f>B92^2+C92^2</x:f>
        <x:v>1.4334226751897896</x:v>
      </x:c>
      <x:c r="E92" s="5" t="n">
        <x:f>IF(D92&lt;=1,1,0)</x:f>
        <x:v>0</x:v>
      </x:c>
      <x:c r="F92" s="6" t="n">
        <x:f>4*SUM($E$9:E92)/A92</x:f>
        <x:v>2.9523809523809526</x:v>
      </x:c>
      <x:c r="G92" s="1"/>
      <x:c r="H92" s="1"/>
    </x:row>
    <x:row r="93" ht="22" customHeight="1">
      <x:c r="A93" s="1" t="n">
        <x:v>85</x:v>
      </x:c>
      <x:c r="B93" s="6" t="n">
        <x:f>RAND()</x:f>
        <x:v>0.2525326516544656</x:v>
      </x:c>
      <x:c r="C93" s="6" t="n">
        <x:f>RAND()</x:f>
        <x:v>0.3967648616303825</x:v>
      </x:c>
      <x:c r="D93" s="6" t="n">
        <x:f>B93^2+C93^2</x:f>
        <x:v>0.2211950955762122</x:v>
      </x:c>
      <x:c r="E93" s="5" t="n">
        <x:f>IF(D93&lt;=1,1,0)</x:f>
        <x:v>1</x:v>
      </x:c>
      <x:c r="F93" s="6" t="n">
        <x:f>4*SUM($E$9:E93)/A93</x:f>
        <x:v>2.9647058823529413</x:v>
      </x:c>
      <x:c r="G93" s="1"/>
      <x:c r="H93" s="1"/>
    </x:row>
    <x:row r="94" ht="22" customHeight="1">
      <x:c r="A94" s="1" t="n">
        <x:v>86</x:v>
      </x:c>
      <x:c r="B94" s="6" t="n">
        <x:f>RAND()</x:f>
        <x:v>0.14941764039342031</x:v>
      </x:c>
      <x:c r="C94" s="6" t="n">
        <x:f>RAND()</x:f>
        <x:v>0.1869202163224838</x:v>
      </x:c>
      <x:c r="D94" s="6" t="n">
        <x:f>B94^2+C94^2</x:f>
        <x:v>0.057264798530781605</x:v>
      </x:c>
      <x:c r="E94" s="5" t="n">
        <x:f>IF(D94&lt;=1,1,0)</x:f>
        <x:v>1</x:v>
      </x:c>
      <x:c r="F94" s="6" t="n">
        <x:f>4*SUM($E$9:E94)/A94</x:f>
        <x:v>2.9767441860465116</x:v>
      </x:c>
      <x:c r="G94" s="1"/>
      <x:c r="H94" s="1"/>
    </x:row>
    <x:row r="95" ht="22" customHeight="1">
      <x:c r="A95" s="1" t="n">
        <x:v>87</x:v>
      </x:c>
      <x:c r="B95" s="6" t="n">
        <x:f>RAND()</x:f>
        <x:v>0.7333788509214364</x:v>
      </x:c>
      <x:c r="C95" s="6" t="n">
        <x:f>RAND()</x:f>
        <x:v>0.9302130314873504</x:v>
      </x:c>
      <x:c r="D95" s="6" t="n">
        <x:f>B95^2+C95^2</x:f>
        <x:v>1.4031408229277327</x:v>
      </x:c>
      <x:c r="E95" s="5" t="n">
        <x:f>IF(D95&lt;=1,1,0)</x:f>
        <x:v>0</x:v>
      </x:c>
      <x:c r="F95" s="6" t="n">
        <x:f>4*SUM($E$9:E95)/A95</x:f>
        <x:v>2.942528735632184</x:v>
      </x:c>
      <x:c r="G95" s="1"/>
      <x:c r="H95" s="1"/>
    </x:row>
    <x:row r="96" ht="22" customHeight="1">
      <x:c r="A96" s="1" t="n">
        <x:v>88</x:v>
      </x:c>
      <x:c r="B96" s="6" t="n">
        <x:f>RAND()</x:f>
        <x:v>0.35547972405826633</x:v>
      </x:c>
      <x:c r="C96" s="6" t="n">
        <x:f>RAND()</x:f>
        <x:v>0.8216823821336776</x:v>
      </x:c>
      <x:c r="D96" s="6" t="n">
        <x:f>B96^2+C96^2</x:f>
        <x:v>0.8015277713254161</x:v>
      </x:c>
      <x:c r="E96" s="5" t="n">
        <x:f>IF(D96&lt;=1,1,0)</x:f>
        <x:v>1</x:v>
      </x:c>
      <x:c r="F96" s="6" t="n">
        <x:f>4*SUM($E$9:E96)/A96</x:f>
        <x:v>2.9545454545454546</x:v>
      </x:c>
      <x:c r="G96" s="1"/>
      <x:c r="H96" s="1"/>
    </x:row>
    <x:row r="97" ht="22" customHeight="1">
      <x:c r="A97" s="1" t="n">
        <x:v>89</x:v>
      </x:c>
      <x:c r="B97" s="6" t="n">
        <x:f>RAND()</x:f>
        <x:v>0.3304797251538214</x:v>
      </x:c>
      <x:c r="C97" s="6" t="n">
        <x:f>RAND()</x:f>
        <x:v>0.009710373705651643</x:v>
      </x:c>
      <x:c r="D97" s="6" t="n">
        <x:f>B97^2+C97^2</x:f>
        <x:v>0.10931114009524874</x:v>
      </x:c>
      <x:c r="E97" s="5" t="n">
        <x:f>IF(D97&lt;=1,1,0)</x:f>
        <x:v>1</x:v>
      </x:c>
      <x:c r="F97" s="6" t="n">
        <x:f>4*SUM($E$9:E97)/A97</x:f>
        <x:v>2.966292134831461</x:v>
      </x:c>
      <x:c r="G97" s="1"/>
      <x:c r="H97" s="1"/>
    </x:row>
    <x:row r="98" ht="22" customHeight="1">
      <x:c r="A98" s="1" t="n">
        <x:v>90</x:v>
      </x:c>
      <x:c r="B98" s="6" t="n">
        <x:f>RAND()</x:f>
        <x:v>0.9684596811619208</x:v>
      </x:c>
      <x:c r="C98" s="6" t="n">
        <x:f>RAND()</x:f>
        <x:v>0.15244326860993662</x:v>
      </x:c>
      <x:c r="D98" s="6" t="n">
        <x:f>B98^2+C98^2</x:f>
        <x:v>0.9611531041807306</x:v>
      </x:c>
      <x:c r="E98" s="5" t="n">
        <x:f>IF(D98&lt;=1,1,0)</x:f>
        <x:v>1</x:v>
      </x:c>
      <x:c r="F98" s="6" t="n">
        <x:f>4*SUM($E$9:E98)/A98</x:f>
        <x:v>2.977777777777778</x:v>
      </x:c>
      <x:c r="G98" s="1"/>
      <x:c r="H98" s="1"/>
    </x:row>
    <x:row r="99" ht="22" customHeight="1">
      <x:c r="A99" s="1" t="n">
        <x:v>91</x:v>
      </x:c>
      <x:c r="B99" s="6" t="n">
        <x:f>RAND()</x:f>
        <x:v>0.4580711897837362</x:v>
      </x:c>
      <x:c r="C99" s="6" t="n">
        <x:f>RAND()</x:f>
        <x:v>0.9023007996141013</x:v>
      </x:c>
      <x:c r="D99" s="6" t="n">
        <x:f>B99^2+C99^2</x:f>
        <x:v>1.0239759478941342</x:v>
      </x:c>
      <x:c r="E99" s="5" t="n">
        <x:f>IF(D99&lt;=1,1,0)</x:f>
        <x:v>0</x:v>
      </x:c>
      <x:c r="F99" s="6" t="n">
        <x:f>4*SUM($E$9:E99)/A99</x:f>
        <x:v>2.9450549450549453</x:v>
      </x:c>
      <x:c r="G99" s="1"/>
      <x:c r="H99" s="1"/>
    </x:row>
    <x:row r="100" ht="22" customHeight="1">
      <x:c r="A100" s="1" t="n">
        <x:v>92</x:v>
      </x:c>
      <x:c r="B100" s="6" t="n">
        <x:f>RAND()</x:f>
        <x:v>0.8319512937514679</x:v>
      </x:c>
      <x:c r="C100" s="6" t="n">
        <x:f>RAND()</x:f>
        <x:v>0.6746139073303249</x:v>
      </x:c>
      <x:c r="D100" s="6" t="n">
        <x:f>B100^2+C100^2</x:f>
        <x:v>1.1472468791382293</x:v>
      </x:c>
      <x:c r="E100" s="5" t="n">
        <x:f>IF(D100&lt;=1,1,0)</x:f>
        <x:v>0</x:v>
      </x:c>
      <x:c r="F100" s="6" t="n">
        <x:f>4*SUM($E$9:E100)/A100</x:f>
        <x:v>2.9130434782608696</x:v>
      </x:c>
      <x:c r="G100" s="1"/>
      <x:c r="H100" s="1"/>
    </x:row>
    <x:row r="101" ht="22" customHeight="1">
      <x:c r="A101" s="1" t="n">
        <x:v>93</x:v>
      </x:c>
      <x:c r="B101" s="6" t="n">
        <x:f>RAND()</x:f>
        <x:v>0.528000473689703</x:v>
      </x:c>
      <x:c r="C101" s="6" t="n">
        <x:f>RAND()</x:f>
        <x:v>0.24604095024717065</x:v>
      </x:c>
      <x:c r="D101" s="6" t="n">
        <x:f>B101^2+C101^2</x:f>
        <x:v>0.33932064941508144</x:v>
      </x:c>
      <x:c r="E101" s="5" t="n">
        <x:f>IF(D101&lt;=1,1,0)</x:f>
        <x:v>1</x:v>
      </x:c>
      <x:c r="F101" s="6" t="n">
        <x:f>4*SUM($E$9:E101)/A101</x:f>
        <x:v>2.924731182795699</x:v>
      </x:c>
      <x:c r="G101" s="1"/>
      <x:c r="H101" s="1"/>
    </x:row>
    <x:row r="102" ht="22" customHeight="1">
      <x:c r="A102" s="1" t="n">
        <x:v>94</x:v>
      </x:c>
      <x:c r="B102" s="6" t="n">
        <x:f>RAND()</x:f>
        <x:v>0.17173213610928484</x:v>
      </x:c>
      <x:c r="C102" s="6" t="n">
        <x:f>RAND()</x:f>
        <x:v>0.26302735059267357</x:v>
      </x:c>
      <x:c r="D102" s="6" t="n">
        <x:f>B102^2+C102^2</x:f>
        <x:v>0.09867531373245915</x:v>
      </x:c>
      <x:c r="E102" s="5" t="n">
        <x:f>IF(D102&lt;=1,1,0)</x:f>
        <x:v>1</x:v>
      </x:c>
      <x:c r="F102" s="6" t="n">
        <x:f>4*SUM($E$9:E102)/A102</x:f>
        <x:v>2.9361702127659575</x:v>
      </x:c>
      <x:c r="G102" s="1"/>
      <x:c r="H102" s="1"/>
    </x:row>
    <x:row r="103" ht="22" customHeight="1">
      <x:c r="A103" s="1" t="n">
        <x:v>95</x:v>
      </x:c>
      <x:c r="B103" s="6" t="n">
        <x:f>RAND()</x:f>
        <x:v>0.03953568764762172</x:v>
      </x:c>
      <x:c r="C103" s="6" t="n">
        <x:f>RAND()</x:f>
        <x:v>0.8312378663229506</x:v>
      </x:c>
      <x:c r="D103" s="6" t="n">
        <x:f>B103^2+C103^2</x:f>
        <x:v>0.6925194610069018</x:v>
      </x:c>
      <x:c r="E103" s="5" t="n">
        <x:f>IF(D103&lt;=1,1,0)</x:f>
        <x:v>1</x:v>
      </x:c>
      <x:c r="F103" s="6" t="n">
        <x:f>4*SUM($E$9:E103)/A103</x:f>
        <x:v>2.9473684210526314</x:v>
      </x:c>
      <x:c r="G103" s="1"/>
      <x:c r="H103" s="1"/>
    </x:row>
    <x:row r="104" ht="22" customHeight="1">
      <x:c r="A104" s="1" t="n">
        <x:v>96</x:v>
      </x:c>
      <x:c r="B104" s="6" t="n">
        <x:f>RAND()</x:f>
        <x:v>0.7460893840413574</x:v>
      </x:c>
      <x:c r="C104" s="6" t="n">
        <x:f>RAND()</x:f>
        <x:v>0.055522488439649575</x:v>
      </x:c>
      <x:c r="D104" s="6" t="n">
        <x:f>B104^2+C104^2</x:f>
        <x:v>0.5597321157017431</x:v>
      </x:c>
      <x:c r="E104" s="5" t="n">
        <x:f>IF(D104&lt;=1,1,0)</x:f>
        <x:v>1</x:v>
      </x:c>
      <x:c r="F104" s="6" t="n">
        <x:f>4*SUM($E$9:E104)/A104</x:f>
        <x:v>2.9583333333333335</x:v>
      </x:c>
      <x:c r="G104" s="1"/>
      <x:c r="H104" s="1"/>
    </x:row>
    <x:row r="105" ht="22" customHeight="1">
      <x:c r="A105" s="1" t="n">
        <x:v>97</x:v>
      </x:c>
      <x:c r="B105" s="6" t="n">
        <x:f>RAND()</x:f>
        <x:v>0.8383328199082358</x:v>
      </x:c>
      <x:c r="C105" s="6" t="n">
        <x:f>RAND()</x:f>
        <x:v>0.5906294954935516</x:v>
      </x:c>
      <x:c r="D105" s="6" t="n">
        <x:f>B105^2+C105^2</x:f>
        <x:v>1.051645117882262</x:v>
      </x:c>
      <x:c r="E105" s="5" t="n">
        <x:f>IF(D105&lt;=1,1,0)</x:f>
        <x:v>0</x:v>
      </x:c>
      <x:c r="F105" s="6" t="n">
        <x:f>4*SUM($E$9:E105)/A105</x:f>
        <x:v>2.9278350515463916</x:v>
      </x:c>
      <x:c r="G105" s="1"/>
      <x:c r="H105" s="1"/>
    </x:row>
    <x:row r="106" ht="22" customHeight="1">
      <x:c r="A106" s="1" t="n">
        <x:v>98</x:v>
      </x:c>
      <x:c r="B106" s="6" t="n">
        <x:f>RAND()</x:f>
        <x:v>0.8908557471017666</x:v>
      </x:c>
      <x:c r="C106" s="6" t="n">
        <x:f>RAND()</x:f>
        <x:v>0.3645255781845277</x:v>
      </x:c>
      <x:c r="D106" s="6" t="n">
        <x:f>B106^2+C106^2</x:f>
        <x:v>0.926502859295011</x:v>
      </x:c>
      <x:c r="E106" s="5" t="n">
        <x:f>IF(D106&lt;=1,1,0)</x:f>
        <x:v>1</x:v>
      </x:c>
      <x:c r="F106" s="6" t="n">
        <x:f>4*SUM($E$9:E106)/A106</x:f>
        <x:v>2.938775510204082</x:v>
      </x:c>
      <x:c r="G106" s="1"/>
      <x:c r="H106" s="1"/>
    </x:row>
    <x:row r="107" ht="22" customHeight="1">
      <x:c r="A107" s="1" t="n">
        <x:v>99</x:v>
      </x:c>
      <x:c r="B107" s="6" t="n">
        <x:f>RAND()</x:f>
        <x:v>0.7374645497560951</x:v>
      </x:c>
      <x:c r="C107" s="6" t="n">
        <x:f>RAND()</x:f>
        <x:v>0.4933398514113174</x:v>
      </x:c>
      <x:c r="D107" s="6" t="n">
        <x:f>B107^2+C107^2</x:f>
        <x:v>0.7872381711375007</x:v>
      </x:c>
      <x:c r="E107" s="5" t="n">
        <x:f>IF(D107&lt;=1,1,0)</x:f>
        <x:v>1</x:v>
      </x:c>
      <x:c r="F107" s="6" t="n">
        <x:f>4*SUM($E$9:E107)/A107</x:f>
        <x:v>2.9494949494949494</x:v>
      </x:c>
      <x:c r="G107" s="1"/>
      <x:c r="H107" s="1"/>
    </x:row>
    <x:row r="108" ht="22" customHeight="1">
      <x:c r="A108" s="1" t="n">
        <x:v>100</x:v>
      </x:c>
      <x:c r="B108" s="6" t="n">
        <x:f>RAND()</x:f>
        <x:v>0.7855111414516819</x:v>
      </x:c>
      <x:c r="C108" s="6" t="n">
        <x:f>RAND()</x:f>
        <x:v>0.6544002373018044</x:v>
      </x:c>
      <x:c r="D108" s="6" t="n">
        <x:f>B108^2+C108^2</x:f>
        <x:v>1.045267423925382</x:v>
      </x:c>
      <x:c r="E108" s="5" t="n">
        <x:f>IF(D108&lt;=1,1,0)</x:f>
        <x:v>0</x:v>
      </x:c>
      <x:c r="F108" s="6" t="n">
        <x:f>4*SUM($E$9:E108)/A108</x:f>
        <x:v>2.92</x:v>
      </x:c>
      <x:c r="G108" s="1"/>
      <x:c r="H108" s="1"/>
    </x:row>
    <x:row r="109" ht="22" customHeight="1">
      <x:c r="A109" s="1" t="n">
        <x:v>101</x:v>
      </x:c>
      <x:c r="B109" s="6" t="n">
        <x:f>RAND()</x:f>
        <x:v>0.15474656645673524</x:v>
      </x:c>
      <x:c r="C109" s="6" t="n">
        <x:f>RAND()</x:f>
        <x:v>0.046892946634810584</x:v>
      </x:c>
      <x:c r="D109" s="6" t="n">
        <x:f>B109^2+C109^2</x:f>
        <x:v>0.02614544827424397</x:v>
      </x:c>
      <x:c r="E109" s="5" t="n">
        <x:f>IF(D109&lt;=1,1,0)</x:f>
        <x:v>1</x:v>
      </x:c>
      <x:c r="F109" s="6" t="n">
        <x:f>4*SUM($E$9:E109)/A109</x:f>
        <x:v>2.9306930693069306</x:v>
      </x:c>
      <x:c r="G109" s="1"/>
      <x:c r="H109" s="1"/>
    </x:row>
    <x:row r="110" ht="22" customHeight="1">
      <x:c r="A110" s="1" t="n">
        <x:v>102</x:v>
      </x:c>
      <x:c r="B110" s="6" t="n">
        <x:f>RAND()</x:f>
        <x:v>0.050997513612714096</x:v>
      </x:c>
      <x:c r="C110" s="6" t="n">
        <x:f>RAND()</x:f>
        <x:v>0.7720308027579559</x:v>
      </x:c>
      <x:c r="D110" s="6" t="n">
        <x:f>B110^2+C110^2</x:f>
        <x:v>0.5986323068017728</x:v>
      </x:c>
      <x:c r="E110" s="5" t="n">
        <x:f>IF(D110&lt;=1,1,0)</x:f>
        <x:v>1</x:v>
      </x:c>
      <x:c r="F110" s="6" t="n">
        <x:f>4*SUM($E$9:E110)/A110</x:f>
        <x:v>2.9411764705882355</x:v>
      </x:c>
      <x:c r="G110" s="1"/>
      <x:c r="H110" s="1"/>
    </x:row>
    <x:row r="111" ht="22" customHeight="1">
      <x:c r="A111" s="1" t="n">
        <x:v>103</x:v>
      </x:c>
      <x:c r="B111" s="6" t="n">
        <x:f>RAND()</x:f>
        <x:v>0.6965096569109855</x:v>
      </x:c>
      <x:c r="C111" s="6" t="n">
        <x:f>RAND()</x:f>
        <x:v>0.20771184691894096</x:v>
      </x:c>
      <x:c r="D111" s="6" t="n">
        <x:f>B111^2+C111^2</x:f>
        <x:v>0.5282699135207364</x:v>
      </x:c>
      <x:c r="E111" s="5" t="n">
        <x:f>IF(D111&lt;=1,1,0)</x:f>
        <x:v>1</x:v>
      </x:c>
      <x:c r="F111" s="6" t="n">
        <x:f>4*SUM($E$9:E111)/A111</x:f>
        <x:v>2.9514563106796117</x:v>
      </x:c>
      <x:c r="G111" s="1"/>
      <x:c r="H111" s="1"/>
    </x:row>
    <x:row r="112" ht="22" customHeight="1">
      <x:c r="A112" s="1" t="n">
        <x:v>104</x:v>
      </x:c>
      <x:c r="B112" s="6" t="n">
        <x:f>RAND()</x:f>
        <x:v>0.9716170429479205</x:v>
      </x:c>
      <x:c r="C112" s="6" t="n">
        <x:f>RAND()</x:f>
        <x:v>0.5660767573747777</x:v>
      </x:c>
      <x:c r="D112" s="6" t="n">
        <x:f>B112^2+C112^2</x:f>
        <x:v>1.2644825733868041</x:v>
      </x:c>
      <x:c r="E112" s="5" t="n">
        <x:f>IF(D112&lt;=1,1,0)</x:f>
        <x:v>0</x:v>
      </x:c>
      <x:c r="F112" s="6" t="n">
        <x:f>4*SUM($E$9:E112)/A112</x:f>
        <x:v>2.923076923076923</x:v>
      </x:c>
      <x:c r="G112" s="1"/>
      <x:c r="H112" s="1"/>
    </x:row>
    <x:row r="113" ht="22" customHeight="1">
      <x:c r="A113" s="1" t="n">
        <x:v>105</x:v>
      </x:c>
      <x:c r="B113" s="6" t="n">
        <x:f>RAND()</x:f>
        <x:v>0.5296183731297747</x:v>
      </x:c>
      <x:c r="C113" s="6" t="n">
        <x:f>RAND()</x:f>
        <x:v>0.12142718230217298</x:v>
      </x:c>
      <x:c r="D113" s="6" t="n">
        <x:f>B113^2+C113^2</x:f>
        <x:v>0.2952401817584744</x:v>
      </x:c>
      <x:c r="E113" s="5" t="n">
        <x:f>IF(D113&lt;=1,1,0)</x:f>
        <x:v>1</x:v>
      </x:c>
      <x:c r="F113" s="6" t="n">
        <x:f>4*SUM($E$9:E113)/A113</x:f>
        <x:v>2.933333333333333</x:v>
      </x:c>
      <x:c r="G113" s="1"/>
      <x:c r="H113" s="1"/>
    </x:row>
    <x:row r="114" ht="22" customHeight="1">
      <x:c r="A114" s="1" t="n">
        <x:v>106</x:v>
      </x:c>
      <x:c r="B114" s="6" t="n">
        <x:f>RAND()</x:f>
        <x:v>0.4573485765509726</x:v>
      </x:c>
      <x:c r="C114" s="6" t="n">
        <x:f>RAND()</x:f>
        <x:v>0.48224521496246775</x:v>
      </x:c>
      <x:c r="D114" s="6" t="n">
        <x:f>B114^2+C114^2</x:f>
        <x:v>0.44172816782739754</x:v>
      </x:c>
      <x:c r="E114" s="5" t="n">
        <x:f>IF(D114&lt;=1,1,0)</x:f>
        <x:v>1</x:v>
      </x:c>
      <x:c r="F114" s="6" t="n">
        <x:f>4*SUM($E$9:E114)/A114</x:f>
        <x:v>2.943396226415094</x:v>
      </x:c>
      <x:c r="G114" s="1"/>
      <x:c r="H114" s="1"/>
    </x:row>
    <x:row r="115" ht="22" customHeight="1">
      <x:c r="A115" s="1" t="n">
        <x:v>107</x:v>
      </x:c>
      <x:c r="B115" s="6" t="n">
        <x:f>RAND()</x:f>
        <x:v>0.1001412979139571</x:v>
      </x:c>
      <x:c r="C115" s="6" t="n">
        <x:f>RAND()</x:f>
        <x:v>0.12020820196533744</x:v>
      </x:c>
      <x:c r="D115" s="6" t="n">
        <x:f>B115^2+C115^2</x:f>
        <x:v>0.024478291367631265</x:v>
      </x:c>
      <x:c r="E115" s="5" t="n">
        <x:f>IF(D115&lt;=1,1,0)</x:f>
        <x:v>1</x:v>
      </x:c>
      <x:c r="F115" s="6" t="n">
        <x:f>4*SUM($E$9:E115)/A115</x:f>
        <x:v>2.953271028037383</x:v>
      </x:c>
      <x:c r="G115" s="1"/>
      <x:c r="H115" s="1"/>
    </x:row>
    <x:row r="116" ht="22" customHeight="1">
      <x:c r="A116" s="1" t="n">
        <x:v>108</x:v>
      </x:c>
      <x:c r="B116" s="6" t="n">
        <x:f>RAND()</x:f>
        <x:v>0.09973551283369886</x:v>
      </x:c>
      <x:c r="C116" s="6" t="n">
        <x:f>RAND()</x:f>
        <x:v>0.2402226003806267</x:v>
      </x:c>
      <x:c r="D116" s="6" t="n">
        <x:f>B116^2+C116^2</x:f>
        <x:v>0.06765407025383119</x:v>
      </x:c>
      <x:c r="E116" s="5" t="n">
        <x:f>IF(D116&lt;=1,1,0)</x:f>
        <x:v>1</x:v>
      </x:c>
      <x:c r="F116" s="6" t="n">
        <x:f>4*SUM($E$9:E116)/A116</x:f>
        <x:v>2.962962962962963</x:v>
      </x:c>
      <x:c r="G116" s="1"/>
      <x:c r="H116" s="1"/>
    </x:row>
    <x:row r="117" ht="22" customHeight="1">
      <x:c r="A117" s="1" t="n">
        <x:v>109</x:v>
      </x:c>
      <x:c r="B117" s="6" t="n">
        <x:f>RAND()</x:f>
        <x:v>0.06599249880592828</x:v>
      </x:c>
      <x:c r="C117" s="6" t="n">
        <x:f>RAND()</x:f>
        <x:v>0.4392987927097666</x:v>
      </x:c>
      <x:c r="D117" s="6" t="n">
        <x:f>B117^2+C117^2</x:f>
        <x:v>0.19733843917490893</x:v>
      </x:c>
      <x:c r="E117" s="5" t="n">
        <x:f>IF(D117&lt;=1,1,0)</x:f>
        <x:v>1</x:v>
      </x:c>
      <x:c r="F117" s="6" t="n">
        <x:f>4*SUM($E$9:E117)/A117</x:f>
        <x:v>2.9724770642201834</x:v>
      </x:c>
      <x:c r="G117" s="1"/>
      <x:c r="H117" s="1"/>
    </x:row>
    <x:row r="118" ht="22" customHeight="1">
      <x:c r="A118" s="1" t="n">
        <x:v>110</x:v>
      </x:c>
      <x:c r="B118" s="6" t="n">
        <x:f>RAND()</x:f>
        <x:v>0.9795922759653855</x:v>
      </x:c>
      <x:c r="C118" s="6" t="n">
        <x:f>RAND()</x:f>
        <x:v>0.9131479726478927</x:v>
      </x:c>
      <x:c r="D118" s="6" t="n">
        <x:f>B118^2+C118^2</x:f>
        <x:v>1.7934402470820006</x:v>
      </x:c>
      <x:c r="E118" s="5" t="n">
        <x:f>IF(D118&lt;=1,1,0)</x:f>
        <x:v>0</x:v>
      </x:c>
      <x:c r="F118" s="6" t="n">
        <x:f>4*SUM($E$9:E118)/A118</x:f>
        <x:v>2.9454545454545453</x:v>
      </x:c>
      <x:c r="G118" s="1"/>
      <x:c r="H118" s="1"/>
    </x:row>
    <x:row r="119" ht="22" customHeight="1">
      <x:c r="A119" s="1" t="n">
        <x:v>111</x:v>
      </x:c>
      <x:c r="B119" s="6" t="n">
        <x:f>RAND()</x:f>
        <x:v>0.8515740376939778</x:v>
      </x:c>
      <x:c r="C119" s="6" t="n">
        <x:f>RAND()</x:f>
        <x:v>0.569665865072862</x:v>
      </x:c>
      <x:c r="D119" s="6" t="n">
        <x:f>B119^2+C119^2</x:f>
        <x:v>1.0496975395036365</x:v>
      </x:c>
      <x:c r="E119" s="5" t="n">
        <x:f>IF(D119&lt;=1,1,0)</x:f>
        <x:v>0</x:v>
      </x:c>
      <x:c r="F119" s="6" t="n">
        <x:f>4*SUM($E$9:E119)/A119</x:f>
        <x:v>2.918918918918919</x:v>
      </x:c>
      <x:c r="G119" s="1"/>
      <x:c r="H119" s="1"/>
    </x:row>
    <x:row r="120" ht="22" customHeight="1">
      <x:c r="A120" s="1" t="n">
        <x:v>112</x:v>
      </x:c>
      <x:c r="B120" s="6" t="n">
        <x:f>RAND()</x:f>
        <x:v>0.13117306412088536</x:v>
      </x:c>
      <x:c r="C120" s="6" t="n">
        <x:f>RAND()</x:f>
        <x:v>0.535382535919082</x:v>
      </x:c>
      <x:c r="D120" s="6" t="n">
        <x:f>B120^2+C120^2</x:f>
        <x:v>0.30384083251800903</x:v>
      </x:c>
      <x:c r="E120" s="5" t="n">
        <x:f>IF(D120&lt;=1,1,0)</x:f>
        <x:v>1</x:v>
      </x:c>
      <x:c r="F120" s="6" t="n">
        <x:f>4*SUM($E$9:E120)/A120</x:f>
        <x:v>2.9285714285714284</x:v>
      </x:c>
      <x:c r="G120" s="1"/>
      <x:c r="H120" s="1"/>
    </x:row>
    <x:row r="121" ht="22" customHeight="1">
      <x:c r="A121" s="1" t="n">
        <x:v>113</x:v>
      </x:c>
      <x:c r="B121" s="6" t="n">
        <x:f>RAND()</x:f>
        <x:v>0.6380394752131967</x:v>
      </x:c>
      <x:c r="C121" s="6" t="n">
        <x:f>RAND()</x:f>
        <x:v>0.8095948570877785</x:v>
      </x:c>
      <x:c r="D121" s="6" t="n">
        <x:f>B121^2+C121^2</x:f>
        <x:v>1.0625382045533118</x:v>
      </x:c>
      <x:c r="E121" s="5" t="n">
        <x:f>IF(D121&lt;=1,1,0)</x:f>
        <x:v>0</x:v>
      </x:c>
      <x:c r="F121" s="6" t="n">
        <x:f>4*SUM($E$9:E121)/A121</x:f>
        <x:v>2.9026548672566372</x:v>
      </x:c>
      <x:c r="G121" s="1"/>
      <x:c r="H121" s="1"/>
    </x:row>
    <x:row r="122" ht="22" customHeight="1">
      <x:c r="A122" s="1" t="n">
        <x:v>114</x:v>
      </x:c>
      <x:c r="B122" s="6" t="n">
        <x:f>RAND()</x:f>
        <x:v>0.6470564350936346</x:v>
      </x:c>
      <x:c r="C122" s="6" t="n">
        <x:f>RAND()</x:f>
        <x:v>0.08844321791711685</x:v>
      </x:c>
      <x:c r="D122" s="6" t="n">
        <x:f>B122^2+C122^2</x:f>
        <x:v>0.42650423299161766</x:v>
      </x:c>
      <x:c r="E122" s="5" t="n">
        <x:f>IF(D122&lt;=1,1,0)</x:f>
        <x:v>1</x:v>
      </x:c>
      <x:c r="F122" s="6" t="n">
        <x:f>4*SUM($E$9:E122)/A122</x:f>
        <x:v>2.912280701754386</x:v>
      </x:c>
      <x:c r="G122" s="1"/>
      <x:c r="H122" s="1"/>
    </x:row>
    <x:row r="123" ht="22" customHeight="1">
      <x:c r="A123" s="1" t="n">
        <x:v>115</x:v>
      </x:c>
      <x:c r="B123" s="6" t="n">
        <x:f>RAND()</x:f>
        <x:v>0.7086002856518041</x:v>
      </x:c>
      <x:c r="C123" s="6" t="n">
        <x:f>RAND()</x:f>
        <x:v>0.9786799369766721</x:v>
      </x:c>
      <x:c r="D123" s="6" t="n">
        <x:f>B123^2+C123^2</x:f>
        <x:v>1.4599287838664812</x:v>
      </x:c>
      <x:c r="E123" s="5" t="n">
        <x:f>IF(D123&lt;=1,1,0)</x:f>
        <x:v>0</x:v>
      </x:c>
      <x:c r="F123" s="6" t="n">
        <x:f>4*SUM($E$9:E123)/A123</x:f>
        <x:v>2.8869565217391306</x:v>
      </x:c>
      <x:c r="G123" s="1"/>
      <x:c r="H123" s="1"/>
    </x:row>
    <x:row r="124" ht="22" customHeight="1">
      <x:c r="A124" s="1" t="n">
        <x:v>116</x:v>
      </x:c>
      <x:c r="B124" s="6" t="n">
        <x:f>RAND()</x:f>
        <x:v>0.8401033398644434</x:v>
      </x:c>
      <x:c r="C124" s="6" t="n">
        <x:f>RAND()</x:f>
        <x:v>0.17592501667011695</x:v>
      </x:c>
      <x:c r="D124" s="6" t="n">
        <x:f>B124^2+C124^2</x:f>
        <x:v>0.7367232331417733</x:v>
      </x:c>
      <x:c r="E124" s="5" t="n">
        <x:f>IF(D124&lt;=1,1,0)</x:f>
        <x:v>1</x:v>
      </x:c>
      <x:c r="F124" s="6" t="n">
        <x:f>4*SUM($E$9:E124)/A124</x:f>
        <x:v>2.896551724137931</x:v>
      </x:c>
      <x:c r="G124" s="1"/>
      <x:c r="H124" s="1"/>
    </x:row>
    <x:row r="125" ht="22" customHeight="1">
      <x:c r="A125" s="1" t="n">
        <x:v>117</x:v>
      </x:c>
      <x:c r="B125" s="6" t="n">
        <x:f>RAND()</x:f>
        <x:v>0.30453082543256005</x:v>
      </x:c>
      <x:c r="C125" s="6" t="n">
        <x:f>RAND()</x:f>
        <x:v>0.22253064440726922</x:v>
      </x:c>
      <x:c r="D125" s="6" t="n">
        <x:f>B125^2+C125^2</x:f>
        <x:v>0.14225891133895086</x:v>
      </x:c>
      <x:c r="E125" s="5" t="n">
        <x:f>IF(D125&lt;=1,1,0)</x:f>
        <x:v>1</x:v>
      </x:c>
      <x:c r="F125" s="6" t="n">
        <x:f>4*SUM($E$9:E125)/A125</x:f>
        <x:v>2.905982905982906</x:v>
      </x:c>
      <x:c r="G125" s="1"/>
      <x:c r="H125" s="1"/>
    </x:row>
    <x:row r="126" ht="22" customHeight="1">
      <x:c r="A126" s="1" t="n">
        <x:v>118</x:v>
      </x:c>
      <x:c r="B126" s="6" t="n">
        <x:f>RAND()</x:f>
        <x:v>0.9764310777921301</x:v>
      </x:c>
      <x:c r="C126" s="6" t="n">
        <x:f>RAND()</x:f>
        <x:v>0.47770949979153254</x:v>
      </x:c>
      <x:c r="D126" s="6" t="n">
        <x:f>B126^2+C126^2</x:f>
        <x:v>1.1816240158693772</x:v>
      </x:c>
      <x:c r="E126" s="5" t="n">
        <x:f>IF(D126&lt;=1,1,0)</x:f>
        <x:v>0</x:v>
      </x:c>
      <x:c r="F126" s="6" t="n">
        <x:f>4*SUM($E$9:E126)/A126</x:f>
        <x:v>2.8813559322033897</x:v>
      </x:c>
      <x:c r="G126" s="1"/>
      <x:c r="H126" s="1"/>
    </x:row>
    <x:row r="127" ht="22" customHeight="1">
      <x:c r="A127" s="1" t="n">
        <x:v>119</x:v>
      </x:c>
      <x:c r="B127" s="6" t="n">
        <x:f>RAND()</x:f>
        <x:v>0.04088289001678003</x:v>
      </x:c>
      <x:c r="C127" s="6" t="n">
        <x:f>RAND()</x:f>
        <x:v>0.7702523121026776</x:v>
      </x:c>
      <x:c r="D127" s="6" t="n">
        <x:f>B127^2+C127^2</x:f>
        <x:v>0.5949600349956448</x:v>
      </x:c>
      <x:c r="E127" s="5" t="n">
        <x:f>IF(D127&lt;=1,1,0)</x:f>
        <x:v>1</x:v>
      </x:c>
      <x:c r="F127" s="6" t="n">
        <x:f>4*SUM($E$9:E127)/A127</x:f>
        <x:v>2.8907563025210083</x:v>
      </x:c>
      <x:c r="G127" s="1"/>
      <x:c r="H127" s="1"/>
    </x:row>
    <x:row r="128" ht="22" customHeight="1">
      <x:c r="A128" s="1" t="n">
        <x:v>120</x:v>
      </x:c>
      <x:c r="B128" s="6" t="n">
        <x:f>RAND()</x:f>
        <x:v>0.3973942598746212</x:v>
      </x:c>
      <x:c r="C128" s="6" t="n">
        <x:f>RAND()</x:f>
        <x:v>0.7813040505120251</x:v>
      </x:c>
      <x:c r="D128" s="6" t="n">
        <x:f>B128^2+C128^2</x:f>
        <x:v>0.768358217127795</x:v>
      </x:c>
      <x:c r="E128" s="5" t="n">
        <x:f>IF(D128&lt;=1,1,0)</x:f>
        <x:v>1</x:v>
      </x:c>
      <x:c r="F128" s="6" t="n">
        <x:f>4*SUM($E$9:E128)/A128</x:f>
        <x:v>2.9</x:v>
      </x:c>
      <x:c r="G128" s="1"/>
      <x:c r="H128" s="1"/>
    </x:row>
    <x:row r="129" ht="22" customHeight="1">
      <x:c r="A129" s="1" t="n">
        <x:v>121</x:v>
      </x:c>
      <x:c r="B129" s="6" t="n">
        <x:f>RAND()</x:f>
        <x:v>0.9113716208227904</x:v>
      </x:c>
      <x:c r="C129" s="6" t="n">
        <x:f>RAND()</x:f>
        <x:v>0.08394386814578547</x:v>
      </x:c>
      <x:c r="D129" s="6" t="n">
        <x:f>B129^2+C129^2</x:f>
        <x:v>0.8376448042404372</x:v>
      </x:c>
      <x:c r="E129" s="5" t="n">
        <x:f>IF(D129&lt;=1,1,0)</x:f>
        <x:v>1</x:v>
      </x:c>
      <x:c r="F129" s="6" t="n">
        <x:f>4*SUM($E$9:E129)/A129</x:f>
        <x:v>2.909090909090909</x:v>
      </x:c>
      <x:c r="G129" s="1"/>
      <x:c r="H129" s="1"/>
    </x:row>
    <x:row r="130" ht="22" customHeight="1">
      <x:c r="A130" s="1" t="n">
        <x:v>122</x:v>
      </x:c>
      <x:c r="B130" s="6" t="n">
        <x:f>RAND()</x:f>
        <x:v>0.06976579778469116</x:v>
      </x:c>
      <x:c r="C130" s="6" t="n">
        <x:f>RAND()</x:f>
        <x:v>0.3826982254867287</x:v>
      </x:c>
      <x:c r="D130" s="6" t="n">
        <x:f>B130^2+C130^2</x:f>
        <x:v>0.15132519833122549</x:v>
      </x:c>
      <x:c r="E130" s="5" t="n">
        <x:f>IF(D130&lt;=1,1,0)</x:f>
        <x:v>1</x:v>
      </x:c>
      <x:c r="F130" s="6" t="n">
        <x:f>4*SUM($E$9:E130)/A130</x:f>
        <x:v>2.918032786885246</x:v>
      </x:c>
      <x:c r="G130" s="1"/>
      <x:c r="H130" s="1"/>
    </x:row>
    <x:row r="131" ht="22" customHeight="1">
      <x:c r="A131" s="1" t="n">
        <x:v>123</x:v>
      </x:c>
      <x:c r="B131" s="6" t="n">
        <x:f>RAND()</x:f>
        <x:v>0.7496089710672217</x:v>
      </x:c>
      <x:c r="C131" s="6" t="n">
        <x:f>RAND()</x:f>
        <x:v>0.482305126917561</x:v>
      </x:c>
      <x:c r="D131" s="6" t="n">
        <x:f>B131^2+C131^2</x:f>
        <x:v>0.7945318449554234</x:v>
      </x:c>
      <x:c r="E131" s="5" t="n">
        <x:f>IF(D131&lt;=1,1,0)</x:f>
        <x:v>1</x:v>
      </x:c>
      <x:c r="F131" s="6" t="n">
        <x:f>4*SUM($E$9:E131)/A131</x:f>
        <x:v>2.926829268292683</x:v>
      </x:c>
      <x:c r="G131" s="1"/>
      <x:c r="H131" s="1"/>
    </x:row>
    <x:row r="132" ht="22" customHeight="1">
      <x:c r="A132" s="1" t="n">
        <x:v>124</x:v>
      </x:c>
      <x:c r="B132" s="6" t="n">
        <x:f>RAND()</x:f>
        <x:v>0.35595960903139967</x:v>
      </x:c>
      <x:c r="C132" s="6" t="n">
        <x:f>RAND()</x:f>
        <x:v>0.12217429239298516</x:v>
      </x:c>
      <x:c r="D132" s="6" t="n">
        <x:f>B132^2+C132^2</x:f>
        <x:v>0.14163380098351355</x:v>
      </x:c>
      <x:c r="E132" s="5" t="n">
        <x:f>IF(D132&lt;=1,1,0)</x:f>
        <x:v>1</x:v>
      </x:c>
      <x:c r="F132" s="6" t="n">
        <x:f>4*SUM($E$9:E132)/A132</x:f>
        <x:v>2.935483870967742</x:v>
      </x:c>
      <x:c r="G132" s="1"/>
      <x:c r="H132" s="1"/>
    </x:row>
    <x:row r="133" ht="22" customHeight="1">
      <x:c r="A133" s="1" t="n">
        <x:v>125</x:v>
      </x:c>
      <x:c r="B133" s="6" t="n">
        <x:f>RAND()</x:f>
        <x:v>0.514452192855934</x:v>
      </x:c>
      <x:c r="C133" s="6" t="n">
        <x:f>RAND()</x:f>
        <x:v>0.3783872109639099</x:v>
      </x:c>
      <x:c r="D133" s="6" t="n">
        <x:f>B133^2+C133^2</x:f>
        <x:v>0.4078379401553256</x:v>
      </x:c>
      <x:c r="E133" s="5" t="n">
        <x:f>IF(D133&lt;=1,1,0)</x:f>
        <x:v>1</x:v>
      </x:c>
      <x:c r="F133" s="6" t="n">
        <x:f>4*SUM($E$9:E133)/A133</x:f>
        <x:v>2.944</x:v>
      </x:c>
      <x:c r="G133" s="1"/>
      <x:c r="H133" s="1"/>
    </x:row>
    <x:row r="134" ht="22" customHeight="1">
      <x:c r="A134" s="1" t="n">
        <x:v>126</x:v>
      </x:c>
      <x:c r="B134" s="6" t="n">
        <x:f>RAND()</x:f>
        <x:v>0.9664781186833546</x:v>
      </x:c>
      <x:c r="C134" s="6" t="n">
        <x:f>RAND()</x:f>
        <x:v>0.2696715382619286</x:v>
      </x:c>
      <x:c r="D134" s="6" t="n">
        <x:f>B134^2+C134^2</x:f>
        <x:v>1.0068026924422713</x:v>
      </x:c>
      <x:c r="E134" s="5" t="n">
        <x:f>IF(D134&lt;=1,1,0)</x:f>
        <x:v>0</x:v>
      </x:c>
      <x:c r="F134" s="6" t="n">
        <x:f>4*SUM($E$9:E134)/A134</x:f>
        <x:v>2.9206349206349205</x:v>
      </x:c>
      <x:c r="G134" s="1"/>
      <x:c r="H134" s="1"/>
    </x:row>
    <x:row r="135" ht="22" customHeight="1">
      <x:c r="A135" s="1" t="n">
        <x:v>127</x:v>
      </x:c>
      <x:c r="B135" s="6" t="n">
        <x:f>RAND()</x:f>
        <x:v>0.43223677425229623</x:v>
      </x:c>
      <x:c r="C135" s="6" t="n">
        <x:f>RAND()</x:f>
        <x:v>0.5755784180786252</x:v>
      </x:c>
      <x:c r="D135" s="6" t="n">
        <x:f>B135^2+C135^2</x:f>
        <x:v>0.5181191443739231</x:v>
      </x:c>
      <x:c r="E135" s="5" t="n">
        <x:f>IF(D135&lt;=1,1,0)</x:f>
        <x:v>1</x:v>
      </x:c>
      <x:c r="F135" s="6" t="n">
        <x:f>4*SUM($E$9:E135)/A135</x:f>
        <x:v>2.9291338582677167</x:v>
      </x:c>
      <x:c r="G135" s="1"/>
      <x:c r="H135" s="1"/>
    </x:row>
    <x:row r="136" ht="22" customHeight="1">
      <x:c r="A136" s="1" t="n">
        <x:v>128</x:v>
      </x:c>
      <x:c r="B136" s="6" t="n">
        <x:f>RAND()</x:f>
        <x:v>0.9088263611023153</x:v>
      </x:c>
      <x:c r="C136" s="6" t="n">
        <x:f>RAND()</x:f>
        <x:v>0.7933541168035843</x:v>
      </x:c>
      <x:c r="D136" s="6" t="n">
        <x:f>B136^2+C136^2</x:f>
        <x:v>1.4553761092836712</x:v>
      </x:c>
      <x:c r="E136" s="5" t="n">
        <x:f>IF(D136&lt;=1,1,0)</x:f>
        <x:v>0</x:v>
      </x:c>
      <x:c r="F136" s="6" t="n">
        <x:f>4*SUM($E$9:E136)/A136</x:f>
        <x:v>2.90625</x:v>
      </x:c>
      <x:c r="G136" s="1"/>
      <x:c r="H136" s="1"/>
    </x:row>
    <x:row r="137" ht="22" customHeight="1">
      <x:c r="A137" s="1" t="n">
        <x:v>129</x:v>
      </x:c>
      <x:c r="B137" s="6" t="n">
        <x:f>RAND()</x:f>
        <x:v>0.6656205103928676</x:v>
      </x:c>
      <x:c r="C137" s="6" t="n">
        <x:f>RAND()</x:f>
        <x:v>0.4255750242393147</x:v>
      </x:c>
      <x:c r="D137" s="6" t="n">
        <x:f>B137^2+C137^2</x:f>
        <x:v>0.6241647651119548</x:v>
      </x:c>
      <x:c r="E137" s="5" t="n">
        <x:f>IF(D137&lt;=1,1,0)</x:f>
        <x:v>1</x:v>
      </x:c>
      <x:c r="F137" s="6" t="n">
        <x:f>4*SUM($E$9:E137)/A137</x:f>
        <x:v>2.9147286821705425</x:v>
      </x:c>
      <x:c r="G137" s="1"/>
      <x:c r="H137" s="1"/>
    </x:row>
    <x:row r="138" ht="22" customHeight="1">
      <x:c r="A138" s="1" t="n">
        <x:v>130</x:v>
      </x:c>
      <x:c r="B138" s="6" t="n">
        <x:f>RAND()</x:f>
        <x:v>0.7416320421318451</x:v>
      </x:c>
      <x:c r="C138" s="6" t="n">
        <x:f>RAND()</x:f>
        <x:v>0.602777516189553</x:v>
      </x:c>
      <x:c r="D138" s="6" t="n">
        <x:f>B138^2+C138^2</x:f>
        <x:v>0.9133588199402976</x:v>
      </x:c>
      <x:c r="E138" s="5" t="n">
        <x:f>IF(D138&lt;=1,1,0)</x:f>
        <x:v>1</x:v>
      </x:c>
      <x:c r="F138" s="6" t="n">
        <x:f>4*SUM($E$9:E138)/A138</x:f>
        <x:v>2.923076923076923</x:v>
      </x:c>
      <x:c r="G138" s="1"/>
      <x:c r="H138" s="1"/>
    </x:row>
    <x:row r="139" ht="22" customHeight="1">
      <x:c r="A139" s="1" t="n">
        <x:v>131</x:v>
      </x:c>
      <x:c r="B139" s="6" t="n">
        <x:f>RAND()</x:f>
        <x:v>0.27266006281052513</x:v>
      </x:c>
      <x:c r="C139" s="6" t="n">
        <x:f>RAND()</x:f>
        <x:v>0.3559919021218614</x:v>
      </x:c>
      <x:c r="D139" s="6" t="n">
        <x:f>B139^2+C139^2</x:f>
        <x:v>0.20107374422818042</x:v>
      </x:c>
      <x:c r="E139" s="5" t="n">
        <x:f>IF(D139&lt;=1,1,0)</x:f>
        <x:v>1</x:v>
      </x:c>
      <x:c r="F139" s="6" t="n">
        <x:f>4*SUM($E$9:E139)/A139</x:f>
        <x:v>2.931297709923664</x:v>
      </x:c>
      <x:c r="G139" s="1"/>
      <x:c r="H139" s="1"/>
    </x:row>
    <x:row r="140" ht="22" customHeight="1">
      <x:c r="A140" s="1" t="n">
        <x:v>132</x:v>
      </x:c>
      <x:c r="B140" s="6" t="n">
        <x:f>RAND()</x:f>
        <x:v>0.6650775320264285</x:v>
      </x:c>
      <x:c r="C140" s="6" t="n">
        <x:f>RAND()</x:f>
        <x:v>0.15581701254117297</x:v>
      </x:c>
      <x:c r="D140" s="6" t="n">
        <x:f>B140^2+C140^2</x:f>
        <x:v>0.4666070650036211</x:v>
      </x:c>
      <x:c r="E140" s="5" t="n">
        <x:f>IF(D140&lt;=1,1,0)</x:f>
        <x:v>1</x:v>
      </x:c>
      <x:c r="F140" s="6" t="n">
        <x:f>4*SUM($E$9:E140)/A140</x:f>
        <x:v>2.9393939393939394</x:v>
      </x:c>
      <x:c r="G140" s="1"/>
      <x:c r="H140" s="1"/>
    </x:row>
    <x:row r="141" ht="22" customHeight="1">
      <x:c r="A141" s="1" t="n">
        <x:v>133</x:v>
      </x:c>
      <x:c r="B141" s="6" t="n">
        <x:f>RAND()</x:f>
        <x:v>0.5687415731232487</x:v>
      </x:c>
      <x:c r="C141" s="6" t="n">
        <x:f>RAND()</x:f>
        <x:v>0.01585682596119331</x:v>
      </x:c>
      <x:c r="D141" s="6" t="n">
        <x:f>B141^2+C141^2</x:f>
        <x:v>0.3237184159282712</x:v>
      </x:c>
      <x:c r="E141" s="5" t="n">
        <x:f>IF(D141&lt;=1,1,0)</x:f>
        <x:v>1</x:v>
      </x:c>
      <x:c r="F141" s="6" t="n">
        <x:f>4*SUM($E$9:E141)/A141</x:f>
        <x:v>2.9473684210526314</x:v>
      </x:c>
      <x:c r="G141" s="1"/>
      <x:c r="H141" s="1"/>
    </x:row>
    <x:row r="142" ht="22" customHeight="1">
      <x:c r="A142" s="1" t="n">
        <x:v>134</x:v>
      </x:c>
      <x:c r="B142" s="6" t="n">
        <x:f>RAND()</x:f>
        <x:v>0.47683130927892337</x:v>
      </x:c>
      <x:c r="C142" s="6" t="n">
        <x:f>RAND()</x:f>
        <x:v>0.887967659770386</x:v>
      </x:c>
      <x:c r="D142" s="6" t="n">
        <x:f>B142^2+C142^2</x:f>
        <x:v>1.0158546623067484</x:v>
      </x:c>
      <x:c r="E142" s="5" t="n">
        <x:f>IF(D142&lt;=1,1,0)</x:f>
        <x:v>0</x:v>
      </x:c>
      <x:c r="F142" s="6" t="n">
        <x:f>4*SUM($E$9:E142)/A142</x:f>
        <x:v>2.925373134328358</x:v>
      </x:c>
      <x:c r="G142" s="1"/>
      <x:c r="H142" s="1"/>
    </x:row>
    <x:row r="143" ht="22" customHeight="1">
      <x:c r="A143" s="1" t="n">
        <x:v>135</x:v>
      </x:c>
      <x:c r="B143" s="6" t="n">
        <x:f>RAND()</x:f>
        <x:v>0.9410026565410922</x:v>
      </x:c>
      <x:c r="C143" s="6" t="n">
        <x:f>RAND()</x:f>
        <x:v>0.2436542724398999</x:v>
      </x:c>
      <x:c r="D143" s="6" t="n">
        <x:f>B143^2+C143^2</x:f>
        <x:v>0.9448534040956097</x:v>
      </x:c>
      <x:c r="E143" s="5" t="n">
        <x:f>IF(D143&lt;=1,1,0)</x:f>
        <x:v>1</x:v>
      </x:c>
      <x:c r="F143" s="6" t="n">
        <x:f>4*SUM($E$9:E143)/A143</x:f>
        <x:v>2.933333333333333</x:v>
      </x:c>
      <x:c r="G143" s="1"/>
      <x:c r="H143" s="1"/>
    </x:row>
    <x:row r="144" ht="22" customHeight="1">
      <x:c r="A144" s="1" t="n">
        <x:v>136</x:v>
      </x:c>
      <x:c r="B144" s="6" t="n">
        <x:f>RAND()</x:f>
        <x:v>0.9023899033323742</x:v>
      </x:c>
      <x:c r="C144" s="6" t="n">
        <x:f>RAND()</x:f>
        <x:v>0.08700134079365596</x:v>
      </x:c>
      <x:c r="D144" s="6" t="n">
        <x:f>B144^2+C144^2</x:f>
        <x:v>0.8218767709361056</x:v>
      </x:c>
      <x:c r="E144" s="5" t="n">
        <x:f>IF(D144&lt;=1,1,0)</x:f>
        <x:v>1</x:v>
      </x:c>
      <x:c r="F144" s="6" t="n">
        <x:f>4*SUM($E$9:E144)/A144</x:f>
        <x:v>2.9411764705882355</x:v>
      </x:c>
      <x:c r="G144" s="1"/>
      <x:c r="H144" s="1"/>
    </x:row>
    <x:row r="145" ht="22" customHeight="1">
      <x:c r="A145" s="1" t="n">
        <x:v>137</x:v>
      </x:c>
      <x:c r="B145" s="6" t="n">
        <x:f>RAND()</x:f>
        <x:v>0.9494555800717028</x:v>
      </x:c>
      <x:c r="C145" s="6" t="n">
        <x:f>RAND()</x:f>
        <x:v>0.9927607902497878</x:v>
      </x:c>
      <x:c r="D145" s="6" t="n">
        <x:f>B145^2+C145^2</x:f>
        <x:v>1.887039885186677</x:v>
      </x:c>
      <x:c r="E145" s="5" t="n">
        <x:f>IF(D145&lt;=1,1,0)</x:f>
        <x:v>0</x:v>
      </x:c>
      <x:c r="F145" s="6" t="n">
        <x:f>4*SUM($E$9:E145)/A145</x:f>
        <x:v>2.9197080291970803</x:v>
      </x:c>
      <x:c r="G145" s="1"/>
      <x:c r="H145" s="1"/>
    </x:row>
    <x:row r="146" ht="22" customHeight="1">
      <x:c r="A146" s="1" t="n">
        <x:v>138</x:v>
      </x:c>
      <x:c r="B146" s="6" t="n">
        <x:f>RAND()</x:f>
        <x:v>0.5340440895471147</x:v>
      </x:c>
      <x:c r="C146" s="6" t="n">
        <x:f>RAND()</x:f>
        <x:v>0.9052020987326689</x:v>
      </x:c>
      <x:c r="D146" s="6" t="n">
        <x:f>B146^2+C146^2</x:f>
        <x:v>1.1045939291302351</x:v>
      </x:c>
      <x:c r="E146" s="5" t="n">
        <x:f>IF(D146&lt;=1,1,0)</x:f>
        <x:v>0</x:v>
      </x:c>
      <x:c r="F146" s="6" t="n">
        <x:f>4*SUM($E$9:E146)/A146</x:f>
        <x:v>2.898550724637681</x:v>
      </x:c>
      <x:c r="G146" s="1"/>
      <x:c r="H146" s="1"/>
    </x:row>
    <x:row r="147" ht="22" customHeight="1">
      <x:c r="A147" s="1" t="n">
        <x:v>139</x:v>
      </x:c>
      <x:c r="B147" s="6" t="n">
        <x:f>RAND()</x:f>
        <x:v>0.6110171020989443</x:v>
      </x:c>
      <x:c r="C147" s="6" t="n">
        <x:f>RAND()</x:f>
        <x:v>0.8670311747795428</x:v>
      </x:c>
      <x:c r="D147" s="6" t="n">
        <x:f>B147^2+C147^2</x:f>
        <x:v>1.1250849570969859</x:v>
      </x:c>
      <x:c r="E147" s="5" t="n">
        <x:f>IF(D147&lt;=1,1,0)</x:f>
        <x:v>0</x:v>
      </x:c>
      <x:c r="F147" s="6" t="n">
        <x:f>4*SUM($E$9:E147)/A147</x:f>
        <x:v>2.8776978417266186</x:v>
      </x:c>
      <x:c r="G147" s="1"/>
      <x:c r="H147" s="1"/>
    </x:row>
    <x:row r="148" ht="22" customHeight="1">
      <x:c r="A148" s="1" t="n">
        <x:v>140</x:v>
      </x:c>
      <x:c r="B148" s="6" t="n">
        <x:f>RAND()</x:f>
        <x:v>0.2462086074992461</x:v>
      </x:c>
      <x:c r="C148" s="6" t="n">
        <x:f>RAND()</x:f>
        <x:v>0.4324187693433278</x:v>
      </x:c>
      <x:c r="D148" s="6" t="n">
        <x:f>B148^2+C148^2</x:f>
        <x:v>0.24760467048711596</x:v>
      </x:c>
      <x:c r="E148" s="5" t="n">
        <x:f>IF(D148&lt;=1,1,0)</x:f>
        <x:v>1</x:v>
      </x:c>
      <x:c r="F148" s="6" t="n">
        <x:f>4*SUM($E$9:E148)/A148</x:f>
        <x:v>2.8857142857142857</x:v>
      </x:c>
      <x:c r="G148" s="1"/>
      <x:c r="H148" s="1"/>
    </x:row>
    <x:row r="149" ht="22" customHeight="1">
      <x:c r="A149" s="1" t="n">
        <x:v>141</x:v>
      </x:c>
      <x:c r="B149" s="6" t="n">
        <x:f>RAND()</x:f>
        <x:v>0.11238030225221773</x:v>
      </x:c>
      <x:c r="C149" s="6" t="n">
        <x:f>RAND()</x:f>
        <x:v>0.6135549468014956</x:v>
      </x:c>
      <x:c r="D149" s="6" t="n">
        <x:f>B149^2+C149^2</x:f>
        <x:v>0.3890790050788859</x:v>
      </x:c>
      <x:c r="E149" s="5" t="n">
        <x:f>IF(D149&lt;=1,1,0)</x:f>
        <x:v>1</x:v>
      </x:c>
      <x:c r="F149" s="6" t="n">
        <x:f>4*SUM($E$9:E149)/A149</x:f>
        <x:v>2.893617021276596</x:v>
      </x:c>
      <x:c r="G149" s="1"/>
      <x:c r="H149" s="1"/>
    </x:row>
    <x:row r="150" ht="22" customHeight="1">
      <x:c r="A150" s="1" t="n">
        <x:v>142</x:v>
      </x:c>
      <x:c r="B150" s="6" t="n">
        <x:f>RAND()</x:f>
        <x:v>0.9340055504865697</x:v>
      </x:c>
      <x:c r="C150" s="6" t="n">
        <x:f>RAND()</x:f>
        <x:v>0.10678486962100153</x:v>
      </x:c>
      <x:c r="D150" s="6" t="n">
        <x:f>B150^2+C150^2</x:f>
        <x:v>0.8837693767196945</x:v>
      </x:c>
      <x:c r="E150" s="5" t="n">
        <x:f>IF(D150&lt;=1,1,0)</x:f>
        <x:v>1</x:v>
      </x:c>
      <x:c r="F150" s="6" t="n">
        <x:f>4*SUM($E$9:E150)/A150</x:f>
        <x:v>2.9014084507042255</x:v>
      </x:c>
      <x:c r="G150" s="1"/>
      <x:c r="H150" s="1"/>
    </x:row>
    <x:row r="151" ht="22" customHeight="1">
      <x:c r="A151" s="1" t="n">
        <x:v>143</x:v>
      </x:c>
      <x:c r="B151" s="6" t="n">
        <x:f>RAND()</x:f>
        <x:v>0.7548299084597706</x:v>
      </x:c>
      <x:c r="C151" s="6" t="n">
        <x:f>RAND()</x:f>
        <x:v>0.49983211123318194</x:v>
      </x:c>
      <x:c r="D151" s="6" t="n">
        <x:f>B151^2+C151^2</x:f>
        <x:v>0.8196003301252056</x:v>
      </x:c>
      <x:c r="E151" s="5" t="n">
        <x:f>IF(D151&lt;=1,1,0)</x:f>
        <x:v>1</x:v>
      </x:c>
      <x:c r="F151" s="6" t="n">
        <x:f>4*SUM($E$9:E151)/A151</x:f>
        <x:v>2.909090909090909</x:v>
      </x:c>
      <x:c r="G151" s="1"/>
      <x:c r="H151" s="1"/>
    </x:row>
    <x:row r="152" ht="22" customHeight="1">
      <x:c r="A152" s="1" t="n">
        <x:v>144</x:v>
      </x:c>
      <x:c r="B152" s="6" t="n">
        <x:f>RAND()</x:f>
        <x:v>0.46976408666954106</x:v>
      </x:c>
      <x:c r="C152" s="6" t="n">
        <x:f>RAND()</x:f>
        <x:v>0.13267137401323692</x:v>
      </x:c>
      <x:c r="D152" s="6" t="n">
        <x:f>B152^2+C152^2</x:f>
        <x:v>0.23827999060702826</x:v>
      </x:c>
      <x:c r="E152" s="5" t="n">
        <x:f>IF(D152&lt;=1,1,0)</x:f>
        <x:v>1</x:v>
      </x:c>
      <x:c r="F152" s="6" t="n">
        <x:f>4*SUM($E$9:E152)/A152</x:f>
        <x:v>2.9166666666666665</x:v>
      </x:c>
      <x:c r="G152" s="1"/>
      <x:c r="H152" s="1"/>
    </x:row>
    <x:row r="153" ht="22" customHeight="1">
      <x:c r="A153" s="1" t="n">
        <x:v>145</x:v>
      </x:c>
      <x:c r="B153" s="6" t="n">
        <x:f>RAND()</x:f>
        <x:v>0.9233790290709896</x:v>
      </x:c>
      <x:c r="C153" s="6" t="n">
        <x:f>RAND()</x:f>
        <x:v>0.43057735435722977</x:v>
      </x:c>
      <x:c r="D153" s="6" t="n">
        <x:f>B153^2+C153^2</x:f>
        <x:v>1.0380256894133548</x:v>
      </x:c>
      <x:c r="E153" s="5" t="n">
        <x:f>IF(D153&lt;=1,1,0)</x:f>
        <x:v>0</x:v>
      </x:c>
      <x:c r="F153" s="6" t="n">
        <x:f>4*SUM($E$9:E153)/A153</x:f>
        <x:v>2.896551724137931</x:v>
      </x:c>
      <x:c r="G153" s="1"/>
      <x:c r="H153" s="1"/>
    </x:row>
    <x:row r="154" ht="22" customHeight="1">
      <x:c r="A154" s="1" t="n">
        <x:v>146</x:v>
      </x:c>
      <x:c r="B154" s="6" t="n">
        <x:f>RAND()</x:f>
        <x:v>0.034540360122506164</x:v>
      </x:c>
      <x:c r="C154" s="6" t="n">
        <x:f>RAND()</x:f>
        <x:v>0.3501048382854133</x:v>
      </x:c>
      <x:c r="D154" s="6" t="n">
        <x:f>B154^2+C154^2</x:f>
        <x:v>0.1237664342682478</x:v>
      </x:c>
      <x:c r="E154" s="5" t="n">
        <x:f>IF(D154&lt;=1,1,0)</x:f>
        <x:v>1</x:v>
      </x:c>
      <x:c r="F154" s="6" t="n">
        <x:f>4*SUM($E$9:E154)/A154</x:f>
        <x:v>2.904109589041096</x:v>
      </x:c>
      <x:c r="G154" s="1"/>
      <x:c r="H154" s="1"/>
    </x:row>
    <x:row r="155" ht="22" customHeight="1">
      <x:c r="A155" s="1" t="n">
        <x:v>147</x:v>
      </x:c>
      <x:c r="B155" s="6" t="n">
        <x:f>RAND()</x:f>
        <x:v>0.3597921195553643</x:v>
      </x:c>
      <x:c r="C155" s="6" t="n">
        <x:f>RAND()</x:f>
        <x:v>0.6690703253027404</x:v>
      </x:c>
      <x:c r="D155" s="6" t="n">
        <x:f>B155^2+C155^2</x:f>
        <x:v>0.5771054694948563</x:v>
      </x:c>
      <x:c r="E155" s="5" t="n">
        <x:f>IF(D155&lt;=1,1,0)</x:f>
        <x:v>1</x:v>
      </x:c>
      <x:c r="F155" s="6" t="n">
        <x:f>4*SUM($E$9:E155)/A155</x:f>
        <x:v>2.9115646258503403</x:v>
      </x:c>
      <x:c r="G155" s="1"/>
      <x:c r="H155" s="1"/>
    </x:row>
    <x:row r="156" ht="22" customHeight="1">
      <x:c r="A156" s="1" t="n">
        <x:v>148</x:v>
      </x:c>
      <x:c r="B156" s="6" t="n">
        <x:f>RAND()</x:f>
        <x:v>0.10601161999613218</x:v>
      </x:c>
      <x:c r="C156" s="6" t="n">
        <x:f>RAND()</x:f>
        <x:v>0.40412471775071235</x:v>
      </x:c>
      <x:c r="D156" s="6" t="n">
        <x:f>B156^2+C156^2</x:f>
        <x:v>0.17455525107129724</x:v>
      </x:c>
      <x:c r="E156" s="5" t="n">
        <x:f>IF(D156&lt;=1,1,0)</x:f>
        <x:v>1</x:v>
      </x:c>
      <x:c r="F156" s="6" t="n">
        <x:f>4*SUM($E$9:E156)/A156</x:f>
        <x:v>2.918918918918919</x:v>
      </x:c>
      <x:c r="G156" s="1"/>
      <x:c r="H156" s="1"/>
    </x:row>
    <x:row r="157" ht="22" customHeight="1">
      <x:c r="A157" s="1" t="n">
        <x:v>149</x:v>
      </x:c>
      <x:c r="B157" s="6" t="n">
        <x:f>RAND()</x:f>
        <x:v>0.7159023038444006</x:v>
      </x:c>
      <x:c r="C157" s="6" t="n">
        <x:f>RAND()</x:f>
        <x:v>0.9215984623231213</x:v>
      </x:c>
      <x:c r="D157" s="6" t="n">
        <x:f>B157^2+C157^2</x:f>
        <x:v>1.361859834406062</x:v>
      </x:c>
      <x:c r="E157" s="5" t="n">
        <x:f>IF(D157&lt;=1,1,0)</x:f>
        <x:v>0</x:v>
      </x:c>
      <x:c r="F157" s="6" t="n">
        <x:f>4*SUM($E$9:E157)/A157</x:f>
        <x:v>2.8993288590604025</x:v>
      </x:c>
      <x:c r="G157" s="1"/>
      <x:c r="H157" s="1"/>
    </x:row>
    <x:row r="158" ht="22" customHeight="1">
      <x:c r="A158" s="1" t="n">
        <x:v>150</x:v>
      </x:c>
      <x:c r="B158" s="6" t="n">
        <x:f>RAND()</x:f>
        <x:v>0.6785609652847201</x:v>
      </x:c>
      <x:c r="C158" s="6" t="n">
        <x:f>RAND()</x:f>
        <x:v>0.8502246886268642</x:v>
      </x:c>
      <x:c r="D158" s="6" t="n">
        <x:f>B158^2+C158^2</x:f>
        <x:v>1.1833270047587794</x:v>
      </x:c>
      <x:c r="E158" s="5" t="n">
        <x:f>IF(D158&lt;=1,1,0)</x:f>
        <x:v>0</x:v>
      </x:c>
      <x:c r="F158" s="6" t="n">
        <x:f>4*SUM($E$9:E158)/A158</x:f>
        <x:v>2.88</x:v>
      </x:c>
      <x:c r="G158" s="1"/>
      <x:c r="H158" s="1"/>
    </x:row>
    <x:row r="159" ht="22" customHeight="1">
      <x:c r="A159" s="1" t="n">
        <x:v>151</x:v>
      </x:c>
      <x:c r="B159" s="6" t="n">
        <x:f>RAND()</x:f>
        <x:v>0.2790670634398289</x:v>
      </x:c>
      <x:c r="C159" s="6" t="n">
        <x:f>RAND()</x:f>
        <x:v>0.5610534034092184</x:v>
      </x:c>
      <x:c r="D159" s="6" t="n">
        <x:f>B159^2+C159^2</x:f>
        <x:v>0.39265934737399666</x:v>
      </x:c>
      <x:c r="E159" s="5" t="n">
        <x:f>IF(D159&lt;=1,1,0)</x:f>
        <x:v>1</x:v>
      </x:c>
      <x:c r="F159" s="6" t="n">
        <x:f>4*SUM($E$9:E159)/A159</x:f>
        <x:v>2.8874172185430464</x:v>
      </x:c>
      <x:c r="G159" s="1"/>
      <x:c r="H159" s="1"/>
    </x:row>
    <x:row r="160" ht="22" customHeight="1">
      <x:c r="A160" s="1" t="n">
        <x:v>152</x:v>
      </x:c>
      <x:c r="B160" s="6" t="n">
        <x:f>RAND()</x:f>
        <x:v>0.30398458475298906</x:v>
      </x:c>
      <x:c r="C160" s="6" t="n">
        <x:f>RAND()</x:f>
        <x:v>0.787808781426819</x:v>
      </x:c>
      <x:c r="D160" s="6" t="n">
        <x:f>B160^2+C160^2</x:f>
        <x:v>0.7130493038606567</x:v>
      </x:c>
      <x:c r="E160" s="5" t="n">
        <x:f>IF(D160&lt;=1,1,0)</x:f>
        <x:v>1</x:v>
      </x:c>
      <x:c r="F160" s="6" t="n">
        <x:f>4*SUM($E$9:E160)/A160</x:f>
        <x:v>2.8947368421052633</x:v>
      </x:c>
      <x:c r="G160" s="1"/>
      <x:c r="H160" s="1"/>
    </x:row>
    <x:row r="161" ht="22" customHeight="1">
      <x:c r="A161" s="1" t="n">
        <x:v>153</x:v>
      </x:c>
      <x:c r="B161" s="6" t="n">
        <x:f>RAND()</x:f>
        <x:v>0.8471321298891159</x:v>
      </x:c>
      <x:c r="C161" s="6" t="n">
        <x:f>RAND()</x:f>
        <x:v>0.6668998877458657</x:v>
      </x:c>
      <x:c r="D161" s="6" t="n">
        <x:f>B161^2+C161^2</x:f>
        <x:v>1.1623883057659183</x:v>
      </x:c>
      <x:c r="E161" s="5" t="n">
        <x:f>IF(D161&lt;=1,1,0)</x:f>
        <x:v>0</x:v>
      </x:c>
      <x:c r="F161" s="6" t="n">
        <x:f>4*SUM($E$9:E161)/A161</x:f>
        <x:v>2.8758169934640523</x:v>
      </x:c>
      <x:c r="G161" s="1"/>
      <x:c r="H161" s="1"/>
    </x:row>
    <x:row r="162" ht="22" customHeight="1">
      <x:c r="A162" s="1" t="n">
        <x:v>154</x:v>
      </x:c>
      <x:c r="B162" s="6" t="n">
        <x:f>RAND()</x:f>
        <x:v>0.5968238016014098</x:v>
      </x:c>
      <x:c r="C162" s="6" t="n">
        <x:f>RAND()</x:f>
        <x:v>0.30301362270773247</x:v>
      </x:c>
      <x:c r="D162" s="6" t="n">
        <x:f>B162^2+C162^2</x:f>
        <x:v>0.448015905704423</x:v>
      </x:c>
      <x:c r="E162" s="5" t="n">
        <x:f>IF(D162&lt;=1,1,0)</x:f>
        <x:v>1</x:v>
      </x:c>
      <x:c r="F162" s="6" t="n">
        <x:f>4*SUM($E$9:E162)/A162</x:f>
        <x:v>2.883116883116883</x:v>
      </x:c>
      <x:c r="G162" s="1"/>
      <x:c r="H162" s="1"/>
    </x:row>
    <x:row r="163" ht="22" customHeight="1">
      <x:c r="A163" s="1" t="n">
        <x:v>155</x:v>
      </x:c>
      <x:c r="B163" s="6" t="n">
        <x:f>RAND()</x:f>
        <x:v>0.4790984019589841</x:v>
      </x:c>
      <x:c r="C163" s="6" t="n">
        <x:f>RAND()</x:f>
        <x:v>0.37613062164472333</x:v>
      </x:c>
      <x:c r="D163" s="6" t="n">
        <x:f>B163^2+C163^2</x:f>
        <x:v>0.37100952329849834</x:v>
      </x:c>
      <x:c r="E163" s="5" t="n">
        <x:f>IF(D163&lt;=1,1,0)</x:f>
        <x:v>1</x:v>
      </x:c>
      <x:c r="F163" s="6" t="n">
        <x:f>4*SUM($E$9:E163)/A163</x:f>
        <x:v>2.890322580645161</x:v>
      </x:c>
      <x:c r="G163" s="1"/>
      <x:c r="H163" s="1"/>
    </x:row>
    <x:row r="164" ht="22" customHeight="1">
      <x:c r="A164" s="1" t="n">
        <x:v>156</x:v>
      </x:c>
      <x:c r="B164" s="6" t="n">
        <x:f>RAND()</x:f>
        <x:v>0.1236281419591917</x:v>
      </x:c>
      <x:c r="C164" s="6" t="n">
        <x:f>RAND()</x:f>
        <x:v>0.9130084022596383</x:v>
      </x:c>
      <x:c r="D164" s="6" t="n">
        <x:f>B164^2+C164^2</x:f>
        <x:v>0.8488682600809796</x:v>
      </x:c>
      <x:c r="E164" s="5" t="n">
        <x:f>IF(D164&lt;=1,1,0)</x:f>
        <x:v>1</x:v>
      </x:c>
      <x:c r="F164" s="6" t="n">
        <x:f>4*SUM($E$9:E164)/A164</x:f>
        <x:v>2.8974358974358974</x:v>
      </x:c>
      <x:c r="G164" s="1"/>
      <x:c r="H164" s="1"/>
    </x:row>
    <x:row r="165" ht="22" customHeight="1">
      <x:c r="A165" s="1" t="n">
        <x:v>157</x:v>
      </x:c>
      <x:c r="B165" s="6" t="n">
        <x:f>RAND()</x:f>
        <x:v>0.47612721472967967</x:v>
      </x:c>
      <x:c r="C165" s="6" t="n">
        <x:f>RAND()</x:f>
        <x:v>0.5150232405890885</x:v>
      </x:c>
      <x:c r="D165" s="6" t="n">
        <x:f>B165^2+C165^2</x:f>
        <x:v>0.4919460629531287</x:v>
      </x:c>
      <x:c r="E165" s="5" t="n">
        <x:f>IF(D165&lt;=1,1,0)</x:f>
        <x:v>1</x:v>
      </x:c>
      <x:c r="F165" s="6" t="n">
        <x:f>4*SUM($E$9:E165)/A165</x:f>
        <x:v>2.9044585987261144</x:v>
      </x:c>
      <x:c r="G165" s="1"/>
      <x:c r="H165" s="1"/>
    </x:row>
    <x:row r="166" ht="22" customHeight="1">
      <x:c r="A166" s="1" t="n">
        <x:v>158</x:v>
      </x:c>
      <x:c r="B166" s="6" t="n">
        <x:f>RAND()</x:f>
        <x:v>0.8401792259799689</x:v>
      </x:c>
      <x:c r="C166" s="6" t="n">
        <x:f>RAND()</x:f>
        <x:v>0.4916582298757709</x:v>
      </x:c>
      <x:c r="D166" s="6" t="n">
        <x:f>B166^2+C166^2</x:f>
        <x:v>0.947628946772876</x:v>
      </x:c>
      <x:c r="E166" s="5" t="n">
        <x:f>IF(D166&lt;=1,1,0)</x:f>
        <x:v>1</x:v>
      </x:c>
      <x:c r="F166" s="6" t="n">
        <x:f>4*SUM($E$9:E166)/A166</x:f>
        <x:v>2.911392405063291</x:v>
      </x:c>
      <x:c r="G166" s="1"/>
      <x:c r="H166" s="1"/>
    </x:row>
    <x:row r="167" ht="22" customHeight="1">
      <x:c r="A167" s="1" t="n">
        <x:v>159</x:v>
      </x:c>
      <x:c r="B167" s="6" t="n">
        <x:f>RAND()</x:f>
        <x:v>0.4118910747225254</x:v>
      </x:c>
      <x:c r="C167" s="6" t="n">
        <x:f>RAND()</x:f>
        <x:v>0.6681388316934466</x:v>
      </x:c>
      <x:c r="D167" s="6" t="n">
        <x:f>B167^2+C167^2</x:f>
        <x:v>0.6160637558527607</x:v>
      </x:c>
      <x:c r="E167" s="5" t="n">
        <x:f>IF(D167&lt;=1,1,0)</x:f>
        <x:v>1</x:v>
      </x:c>
      <x:c r="F167" s="6" t="n">
        <x:f>4*SUM($E$9:E167)/A167</x:f>
        <x:v>2.9182389937106916</x:v>
      </x:c>
      <x:c r="G167" s="1"/>
      <x:c r="H167" s="1"/>
    </x:row>
    <x:row r="168" ht="22" customHeight="1">
      <x:c r="A168" s="1" t="n">
        <x:v>160</x:v>
      </x:c>
      <x:c r="B168" s="6" t="n">
        <x:f>RAND()</x:f>
        <x:v>0.6091678559470876</x:v>
      </x:c>
      <x:c r="C168" s="6" t="n">
        <x:f>RAND()</x:f>
        <x:v>0.174845589433969</x:v>
      </x:c>
      <x:c r="D168" s="6" t="n">
        <x:f>B168^2+C168^2</x:f>
        <x:v>0.4016564568636837</x:v>
      </x:c>
      <x:c r="E168" s="5" t="n">
        <x:f>IF(D168&lt;=1,1,0)</x:f>
        <x:v>1</x:v>
      </x:c>
      <x:c r="F168" s="6" t="n">
        <x:f>4*SUM($E$9:E168)/A168</x:f>
        <x:v>2.925</x:v>
      </x:c>
      <x:c r="G168" s="1"/>
      <x:c r="H168" s="1"/>
    </x:row>
    <x:row r="169" ht="22" customHeight="1">
      <x:c r="A169" s="1" t="n">
        <x:v>161</x:v>
      </x:c>
      <x:c r="B169" s="6" t="n">
        <x:f>RAND()</x:f>
        <x:v>0.6350619893709477</x:v>
      </x:c>
      <x:c r="C169" s="6" t="n">
        <x:f>RAND()</x:f>
        <x:v>0.8792442601545915</x:v>
      </x:c>
      <x:c r="D169" s="6" t="n">
        <x:f>B169^2+C169^2</x:f>
        <x:v>1.1763741993585806</x:v>
      </x:c>
      <x:c r="E169" s="5" t="n">
        <x:f>IF(D169&lt;=1,1,0)</x:f>
        <x:v>0</x:v>
      </x:c>
      <x:c r="F169" s="6" t="n">
        <x:f>4*SUM($E$9:E169)/A169</x:f>
        <x:v>2.906832298136646</x:v>
      </x:c>
      <x:c r="G169" s="1"/>
      <x:c r="H169" s="1"/>
    </x:row>
    <x:row r="170" ht="22" customHeight="1">
      <x:c r="A170" s="1" t="n">
        <x:v>162</x:v>
      </x:c>
      <x:c r="B170" s="6" t="n">
        <x:f>RAND()</x:f>
        <x:v>0.1939656073860896</x:v>
      </x:c>
      <x:c r="C170" s="6" t="n">
        <x:f>RAND()</x:f>
        <x:v>0.5690409248297706</x:v>
      </x:c>
      <x:c r="D170" s="6" t="n">
        <x:f>B170^2+C170^2</x:f>
        <x:v>0.36143023097977534</x:v>
      </x:c>
      <x:c r="E170" s="5" t="n">
        <x:f>IF(D170&lt;=1,1,0)</x:f>
        <x:v>1</x:v>
      </x:c>
      <x:c r="F170" s="6" t="n">
        <x:f>4*SUM($E$9:E170)/A170</x:f>
        <x:v>2.9135802469135803</x:v>
      </x:c>
      <x:c r="G170" s="1"/>
      <x:c r="H170" s="1"/>
    </x:row>
    <x:row r="171" ht="22" customHeight="1">
      <x:c r="A171" s="1" t="n">
        <x:v>163</x:v>
      </x:c>
      <x:c r="B171" s="6" t="n">
        <x:f>RAND()</x:f>
        <x:v>0.37108302067653454</x:v>
      </x:c>
      <x:c r="C171" s="6" t="n">
        <x:f>RAND()</x:f>
        <x:v>0.5567442485285898</x:v>
      </x:c>
      <x:c r="D171" s="6" t="n">
        <x:f>B171^2+C171^2</x:f>
        <x:v>0.44766676650408554</x:v>
      </x:c>
      <x:c r="E171" s="5" t="n">
        <x:f>IF(D171&lt;=1,1,0)</x:f>
        <x:v>1</x:v>
      </x:c>
      <x:c r="F171" s="6" t="n">
        <x:f>4*SUM($E$9:E171)/A171</x:f>
        <x:v>2.920245398773006</x:v>
      </x:c>
      <x:c r="G171" s="1"/>
      <x:c r="H171" s="1"/>
    </x:row>
    <x:row r="172" ht="22" customHeight="1">
      <x:c r="A172" s="1" t="n">
        <x:v>164</x:v>
      </x:c>
      <x:c r="B172" s="6" t="n">
        <x:f>RAND()</x:f>
        <x:v>0.08626458347958221</x:v>
      </x:c>
      <x:c r="C172" s="6" t="n">
        <x:f>RAND()</x:f>
        <x:v>0.9627627650706331</x:v>
      </x:c>
      <x:c r="D172" s="6" t="n">
        <x:f>B172^2+C172^2</x:f>
        <x:v>0.9343537201693568</x:v>
      </x:c>
      <x:c r="E172" s="5" t="n">
        <x:f>IF(D172&lt;=1,1,0)</x:f>
        <x:v>1</x:v>
      </x:c>
      <x:c r="F172" s="6" t="n">
        <x:f>4*SUM($E$9:E172)/A172</x:f>
        <x:v>2.926829268292683</x:v>
      </x:c>
      <x:c r="G172" s="1"/>
      <x:c r="H172" s="1"/>
    </x:row>
    <x:row r="173" ht="22" customHeight="1">
      <x:c r="A173" s="1" t="n">
        <x:v>165</x:v>
      </x:c>
      <x:c r="B173" s="6" t="n">
        <x:f>RAND()</x:f>
        <x:v>0.6379254177110585</x:v>
      </x:c>
      <x:c r="C173" s="6" t="n">
        <x:f>RAND()</x:f>
        <x:v>0.6658532616238166</x:v>
      </x:c>
      <x:c r="D173" s="6" t="n">
        <x:f>B173^2+C173^2</x:f>
        <x:v>0.8503094045769033</x:v>
      </x:c>
      <x:c r="E173" s="5" t="n">
        <x:f>IF(D173&lt;=1,1,0)</x:f>
        <x:v>1</x:v>
      </x:c>
      <x:c r="F173" s="6" t="n">
        <x:f>4*SUM($E$9:E173)/A173</x:f>
        <x:v>2.933333333333333</x:v>
      </x:c>
      <x:c r="G173" s="1"/>
      <x:c r="H173" s="1"/>
    </x:row>
    <x:row r="174" ht="22" customHeight="1">
      <x:c r="A174" s="1" t="n">
        <x:v>166</x:v>
      </x:c>
      <x:c r="B174" s="6" t="n">
        <x:f>RAND()</x:f>
        <x:v>0.8571241881403922</x:v>
      </x:c>
      <x:c r="C174" s="6" t="n">
        <x:f>RAND()</x:f>
        <x:v>0.4148466713567901</x:v>
      </x:c>
      <x:c r="D174" s="6" t="n">
        <x:f>B174^2+C174^2</x:f>
        <x:v>0.906759634631135</x:v>
      </x:c>
      <x:c r="E174" s="5" t="n">
        <x:f>IF(D174&lt;=1,1,0)</x:f>
        <x:v>1</x:v>
      </x:c>
      <x:c r="F174" s="6" t="n">
        <x:f>4*SUM($E$9:E174)/A174</x:f>
        <x:v>2.9397590361445785</x:v>
      </x:c>
      <x:c r="G174" s="1"/>
      <x:c r="H174" s="1"/>
    </x:row>
    <x:row r="175" ht="22" customHeight="1">
      <x:c r="A175" s="1" t="n">
        <x:v>167</x:v>
      </x:c>
      <x:c r="B175" s="6" t="n">
        <x:f>RAND()</x:f>
        <x:v>0.7723947115681099</x:v>
      </x:c>
      <x:c r="C175" s="6" t="n">
        <x:f>RAND()</x:f>
        <x:v>0.435870617682075</x:v>
      </x:c>
      <x:c r="D175" s="6" t="n">
        <x:f>B175^2+C175^2</x:f>
        <x:v>0.7865767858169372</x:v>
      </x:c>
      <x:c r="E175" s="5" t="n">
        <x:f>IF(D175&lt;=1,1,0)</x:f>
        <x:v>1</x:v>
      </x:c>
      <x:c r="F175" s="6" t="n">
        <x:f>4*SUM($E$9:E175)/A175</x:f>
        <x:v>2.946107784431138</x:v>
      </x:c>
      <x:c r="G175" s="1"/>
      <x:c r="H175" s="1"/>
    </x:row>
    <x:row r="176" ht="22" customHeight="1">
      <x:c r="A176" s="1" t="n">
        <x:v>168</x:v>
      </x:c>
      <x:c r="B176" s="6" t="n">
        <x:f>RAND()</x:f>
        <x:v>0.9864302085051888</x:v>
      </x:c>
      <x:c r="C176" s="6" t="n">
        <x:f>RAND()</x:f>
        <x:v>0.5092710692208509</x:v>
      </x:c>
      <x:c r="D176" s="6" t="n">
        <x:f>B176^2+C176^2</x:f>
        <x:v>1.2324015781969389</x:v>
      </x:c>
      <x:c r="E176" s="5" t="n">
        <x:f>IF(D176&lt;=1,1,0)</x:f>
        <x:v>0</x:v>
      </x:c>
      <x:c r="F176" s="6" t="n">
        <x:f>4*SUM($E$9:E176)/A176</x:f>
        <x:v>2.9285714285714284</x:v>
      </x:c>
      <x:c r="G176" s="1"/>
      <x:c r="H176" s="1"/>
    </x:row>
    <x:row r="177" ht="22" customHeight="1">
      <x:c r="A177" s="1" t="n">
        <x:v>169</x:v>
      </x:c>
      <x:c r="B177" s="6" t="n">
        <x:f>RAND()</x:f>
        <x:v>0.987248629310631</x:v>
      </x:c>
      <x:c r="C177" s="6" t="n">
        <x:f>RAND()</x:f>
        <x:v>0.04332297572691157</x:v>
      </x:c>
      <x:c r="D177" s="6" t="n">
        <x:f>B177^2+C177^2</x:f>
        <x:v>0.9765367363015541</x:v>
      </x:c>
      <x:c r="E177" s="5" t="n">
        <x:f>IF(D177&lt;=1,1,0)</x:f>
        <x:v>1</x:v>
      </x:c>
      <x:c r="F177" s="6" t="n">
        <x:f>4*SUM($E$9:E177)/A177</x:f>
        <x:v>2.93491124260355</x:v>
      </x:c>
      <x:c r="G177" s="1"/>
      <x:c r="H177" s="1"/>
    </x:row>
    <x:row r="178" ht="22" customHeight="1">
      <x:c r="A178" s="1" t="n">
        <x:v>170</x:v>
      </x:c>
      <x:c r="B178" s="6" t="n">
        <x:f>RAND()</x:f>
        <x:v>0.8528613066264377</x:v>
      </x:c>
      <x:c r="C178" s="6" t="n">
        <x:f>RAND()</x:f>
        <x:v>0.9357170158935328</x:v>
      </x:c>
      <x:c r="D178" s="6" t="n">
        <x:f>B178^2+C178^2</x:f>
        <x:v>1.6029387421732526</x:v>
      </x:c>
      <x:c r="E178" s="5" t="n">
        <x:f>IF(D178&lt;=1,1,0)</x:f>
        <x:v>0</x:v>
      </x:c>
      <x:c r="F178" s="6" t="n">
        <x:f>4*SUM($E$9:E178)/A178</x:f>
        <x:v>2.9176470588235293</x:v>
      </x:c>
      <x:c r="G178" s="1"/>
      <x:c r="H178" s="1"/>
    </x:row>
    <x:row r="179" ht="22" customHeight="1">
      <x:c r="A179" s="1" t="n">
        <x:v>171</x:v>
      </x:c>
      <x:c r="B179" s="6" t="n">
        <x:f>RAND()</x:f>
        <x:v>0.3501718549432422</x:v>
      </x:c>
      <x:c r="C179" s="6" t="n">
        <x:f>RAND()</x:f>
        <x:v>0.039921490519040925</x:v>
      </x:c>
      <x:c r="D179" s="6" t="n">
        <x:f>B179^2+C179^2</x:f>
        <x:v>0.12421405339965294</x:v>
      </x:c>
      <x:c r="E179" s="5" t="n">
        <x:f>IF(D179&lt;=1,1,0)</x:f>
        <x:v>1</x:v>
      </x:c>
      <x:c r="F179" s="6" t="n">
        <x:f>4*SUM($E$9:E179)/A179</x:f>
        <x:v>2.9239766081871346</x:v>
      </x:c>
      <x:c r="G179" s="1"/>
      <x:c r="H179" s="1"/>
    </x:row>
    <x:row r="180" ht="22" customHeight="1">
      <x:c r="A180" s="1" t="n">
        <x:v>172</x:v>
      </x:c>
      <x:c r="B180" s="6" t="n">
        <x:f>RAND()</x:f>
        <x:v>0.15708499944962706</x:v>
      </x:c>
      <x:c r="C180" s="6" t="n">
        <x:f>RAND()</x:f>
        <x:v>0.5597225042422156</x:v>
      </x:c>
      <x:c r="D180" s="6" t="n">
        <x:f>B180^2+C180^2</x:f>
        <x:v>0.3379649788072664</x:v>
      </x:c>
      <x:c r="E180" s="5" t="n">
        <x:f>IF(D180&lt;=1,1,0)</x:f>
        <x:v>1</x:v>
      </x:c>
      <x:c r="F180" s="6" t="n">
        <x:f>4*SUM($E$9:E180)/A180</x:f>
        <x:v>2.9302325581395348</x:v>
      </x:c>
      <x:c r="G180" s="1"/>
      <x:c r="H180" s="1"/>
    </x:row>
    <x:row r="181" ht="22" customHeight="1">
      <x:c r="A181" s="1" t="n">
        <x:v>173</x:v>
      </x:c>
      <x:c r="B181" s="6" t="n">
        <x:f>RAND()</x:f>
        <x:v>0.7337644233647185</x:v>
      </x:c>
      <x:c r="C181" s="6" t="n">
        <x:f>RAND()</x:f>
        <x:v>0.853631368884712</x:v>
      </x:c>
      <x:c r="D181" s="6" t="n">
        <x:f>B181^2+C181^2</x:f>
        <x:v>1.2670967429397453</x:v>
      </x:c>
      <x:c r="E181" s="5" t="n">
        <x:f>IF(D181&lt;=1,1,0)</x:f>
        <x:v>0</x:v>
      </x:c>
      <x:c r="F181" s="6" t="n">
        <x:f>4*SUM($E$9:E181)/A181</x:f>
        <x:v>2.913294797687861</x:v>
      </x:c>
      <x:c r="G181" s="1"/>
      <x:c r="H181" s="1"/>
    </x:row>
    <x:row r="182" ht="22" customHeight="1">
      <x:c r="A182" s="1" t="n">
        <x:v>174</x:v>
      </x:c>
      <x:c r="B182" s="6" t="n">
        <x:f>RAND()</x:f>
        <x:v>0.5935908512433953</x:v>
      </x:c>
      <x:c r="C182" s="6" t="n">
        <x:f>RAND()</x:f>
        <x:v>0.5767131889321822</x:v>
      </x:c>
      <x:c r="D182" s="6" t="n">
        <x:f>B182^2+C182^2</x:f>
        <x:v>0.6849482009681854</x:v>
      </x:c>
      <x:c r="E182" s="5" t="n">
        <x:f>IF(D182&lt;=1,1,0)</x:f>
        <x:v>1</x:v>
      </x:c>
      <x:c r="F182" s="6" t="n">
        <x:f>4*SUM($E$9:E182)/A182</x:f>
        <x:v>2.9195402298850577</x:v>
      </x:c>
      <x:c r="G182" s="1"/>
      <x:c r="H182" s="1"/>
    </x:row>
    <x:row r="183" ht="22" customHeight="1">
      <x:c r="A183" s="1" t="n">
        <x:v>175</x:v>
      </x:c>
      <x:c r="B183" s="6" t="n">
        <x:f>RAND()</x:f>
        <x:v>0.6167793989655722</x:v>
      </x:c>
      <x:c r="C183" s="6" t="n">
        <x:f>RAND()</x:f>
        <x:v>0.6967395227906859</x:v>
      </x:c>
      <x:c r="D183" s="6" t="n">
        <x:f>B183^2+C183^2</x:f>
        <x:v>0.8658627896069251</x:v>
      </x:c>
      <x:c r="E183" s="5" t="n">
        <x:f>IF(D183&lt;=1,1,0)</x:f>
        <x:v>1</x:v>
      </x:c>
      <x:c r="F183" s="6" t="n">
        <x:f>4*SUM($E$9:E183)/A183</x:f>
        <x:v>2.9257142857142857</x:v>
      </x:c>
      <x:c r="G183" s="1"/>
      <x:c r="H183" s="1"/>
    </x:row>
    <x:row r="184" ht="22" customHeight="1">
      <x:c r="A184" s="1" t="n">
        <x:v>176</x:v>
      </x:c>
      <x:c r="B184" s="6" t="n">
        <x:f>RAND()</x:f>
        <x:v>0.12299897557397688</x:v>
      </x:c>
      <x:c r="C184" s="6" t="n">
        <x:f>RAND()</x:f>
        <x:v>0.894046937001442</x:v>
      </x:c>
      <x:c r="D184" s="6" t="n">
        <x:f>B184^2+C184^2</x:f>
        <x:v>0.8144486735539082</x:v>
      </x:c>
      <x:c r="E184" s="5" t="n">
        <x:f>IF(D184&lt;=1,1,0)</x:f>
        <x:v>1</x:v>
      </x:c>
      <x:c r="F184" s="6" t="n">
        <x:f>4*SUM($E$9:E184)/A184</x:f>
        <x:v>2.9318181818181817</x:v>
      </x:c>
      <x:c r="G184" s="1"/>
      <x:c r="H184" s="1"/>
    </x:row>
    <x:row r="185" ht="22" customHeight="1">
      <x:c r="A185" s="1" t="n">
        <x:v>177</x:v>
      </x:c>
      <x:c r="B185" s="6" t="n">
        <x:f>RAND()</x:f>
        <x:v>0.6084962339856174</x:v>
      </x:c>
      <x:c r="C185" s="6" t="n">
        <x:f>RAND()</x:f>
        <x:v>0.7094444980470089</x:v>
      </x:c>
      <x:c r="D185" s="6" t="n">
        <x:f>B185^2+C185^2</x:f>
        <x:v>0.8735791625838516</x:v>
      </x:c>
      <x:c r="E185" s="5" t="n">
        <x:f>IF(D185&lt;=1,1,0)</x:f>
        <x:v>1</x:v>
      </x:c>
      <x:c r="F185" s="6" t="n">
        <x:f>4*SUM($E$9:E185)/A185</x:f>
        <x:v>2.937853107344633</x:v>
      </x:c>
      <x:c r="G185" s="1"/>
      <x:c r="H185" s="1"/>
    </x:row>
    <x:row r="186" ht="22" customHeight="1">
      <x:c r="A186" s="1" t="n">
        <x:v>178</x:v>
      </x:c>
      <x:c r="B186" s="6" t="n">
        <x:f>RAND()</x:f>
        <x:v>0.21764279619521</x:v>
      </x:c>
      <x:c r="C186" s="6" t="n">
        <x:f>RAND()</x:f>
        <x:v>0.17798312740589406</x:v>
      </x:c>
      <x:c r="D186" s="6" t="n">
        <x:f>B186^2+C186^2</x:f>
        <x:v>0.07904638037685244</x:v>
      </x:c>
      <x:c r="E186" s="5" t="n">
        <x:f>IF(D186&lt;=1,1,0)</x:f>
        <x:v>1</x:v>
      </x:c>
      <x:c r="F186" s="6" t="n">
        <x:f>4*SUM($E$9:E186)/A186</x:f>
        <x:v>2.943820224719101</x:v>
      </x:c>
      <x:c r="G186" s="1"/>
      <x:c r="H186" s="1"/>
    </x:row>
    <x:row r="187" ht="22" customHeight="1">
      <x:c r="A187" s="1" t="n">
        <x:v>179</x:v>
      </x:c>
      <x:c r="B187" s="6" t="n">
        <x:f>RAND()</x:f>
        <x:v>0.734693008569417</x:v>
      </x:c>
      <x:c r="C187" s="6" t="n">
        <x:f>RAND()</x:f>
        <x:v>0.22312613232152267</x:v>
      </x:c>
      <x:c r="D187" s="6" t="n">
        <x:f>B187^2+C187^2</x:f>
        <x:v>0.589559087765543</x:v>
      </x:c>
      <x:c r="E187" s="5" t="n">
        <x:f>IF(D187&lt;=1,1,0)</x:f>
        <x:v>1</x:v>
      </x:c>
      <x:c r="F187" s="6" t="n">
        <x:f>4*SUM($E$9:E187)/A187</x:f>
        <x:v>2.9497206703910615</x:v>
      </x:c>
      <x:c r="G187" s="1"/>
      <x:c r="H187" s="1"/>
    </x:row>
    <x:row r="188" ht="22" customHeight="1">
      <x:c r="A188" s="1" t="n">
        <x:v>180</x:v>
      </x:c>
      <x:c r="B188" s="6" t="n">
        <x:f>RAND()</x:f>
        <x:v>0.9681566296262818</x:v>
      </x:c>
      <x:c r="C188" s="6" t="n">
        <x:f>RAND()</x:f>
        <x:v>0.7977820648752848</x:v>
      </x:c>
      <x:c r="D188" s="6" t="n">
        <x:f>B188^2+C188^2</x:f>
        <x:v>1.5737834825259944</x:v>
      </x:c>
      <x:c r="E188" s="5" t="n">
        <x:f>IF(D188&lt;=1,1,0)</x:f>
        <x:v>0</x:v>
      </x:c>
      <x:c r="F188" s="6" t="n">
        <x:f>4*SUM($E$9:E188)/A188</x:f>
        <x:v>2.933333333333333</x:v>
      </x:c>
      <x:c r="G188" s="1"/>
      <x:c r="H188" s="1"/>
    </x:row>
    <x:row r="189" ht="22" customHeight="1">
      <x:c r="A189" s="1" t="n">
        <x:v>181</x:v>
      </x:c>
      <x:c r="B189" s="6" t="n">
        <x:f>RAND()</x:f>
        <x:v>0.5387585992255471</x:v>
      </x:c>
      <x:c r="C189" s="6" t="n">
        <x:f>RAND()</x:f>
        <x:v>0.5801244756808901</x:v>
      </x:c>
      <x:c r="D189" s="6" t="n">
        <x:f>B189^2+C189^2</x:f>
        <x:v>0.6268052355235014</x:v>
      </x:c>
      <x:c r="E189" s="5" t="n">
        <x:f>IF(D189&lt;=1,1,0)</x:f>
        <x:v>1</x:v>
      </x:c>
      <x:c r="F189" s="6" t="n">
        <x:f>4*SUM($E$9:E189)/A189</x:f>
        <x:v>2.9392265193370166</x:v>
      </x:c>
      <x:c r="G189" s="1"/>
      <x:c r="H189" s="1"/>
    </x:row>
    <x:row r="190" ht="22" customHeight="1">
      <x:c r="A190" s="1" t="n">
        <x:v>182</x:v>
      </x:c>
      <x:c r="B190" s="6" t="n">
        <x:f>RAND()</x:f>
        <x:v>0.03339458531194228</x:v>
      </x:c>
      <x:c r="C190" s="6" t="n">
        <x:f>RAND()</x:f>
        <x:v>0.2164370619714251</x:v>
      </x:c>
      <x:c r="D190" s="6" t="n">
        <x:f>B190^2+C190^2</x:f>
        <x:v>0.047960200122979094</x:v>
      </x:c>
      <x:c r="E190" s="5" t="n">
        <x:f>IF(D190&lt;=1,1,0)</x:f>
        <x:v>1</x:v>
      </x:c>
      <x:c r="F190" s="6" t="n">
        <x:f>4*SUM($E$9:E190)/A190</x:f>
        <x:v>2.9450549450549453</x:v>
      </x:c>
      <x:c r="G190" s="1"/>
      <x:c r="H190" s="1"/>
    </x:row>
    <x:row r="191" ht="22" customHeight="1">
      <x:c r="A191" s="1" t="n">
        <x:v>183</x:v>
      </x:c>
      <x:c r="B191" s="6" t="n">
        <x:f>RAND()</x:f>
        <x:v>0.7998912274512363</x:v>
      </x:c>
      <x:c r="C191" s="6" t="n">
        <x:f>RAND()</x:f>
        <x:v>0.6112241036400092</x:v>
      </x:c>
      <x:c r="D191" s="6" t="n">
        <x:f>B191^2+C191^2</x:f>
        <x:v>1.0134208806239782</x:v>
      </x:c>
      <x:c r="E191" s="5" t="n">
        <x:f>IF(D191&lt;=1,1,0)</x:f>
        <x:v>0</x:v>
      </x:c>
      <x:c r="F191" s="6" t="n">
        <x:f>4*SUM($E$9:E191)/A191</x:f>
        <x:v>2.92896174863388</x:v>
      </x:c>
      <x:c r="G191" s="1"/>
      <x:c r="H191" s="1"/>
    </x:row>
    <x:row r="192" ht="22" customHeight="1">
      <x:c r="A192" s="1" t="n">
        <x:v>184</x:v>
      </x:c>
      <x:c r="B192" s="6" t="n">
        <x:f>RAND()</x:f>
        <x:v>0.49768235526551796</x:v>
      </x:c>
      <x:c r="C192" s="6" t="n">
        <x:f>RAND()</x:f>
        <x:v>0.003153072611672414</x:v>
      </x:c>
      <x:c r="D192" s="6" t="n">
        <x:f>B192^2+C192^2</x:f>
        <x:v>0.24769766860952772</x:v>
      </x:c>
      <x:c r="E192" s="5" t="n">
        <x:f>IF(D192&lt;=1,1,0)</x:f>
        <x:v>1</x:v>
      </x:c>
      <x:c r="F192" s="6" t="n">
        <x:f>4*SUM($E$9:E192)/A192</x:f>
        <x:v>2.9347826086956523</x:v>
      </x:c>
      <x:c r="G192" s="1"/>
      <x:c r="H192" s="1"/>
    </x:row>
    <x:row r="193" ht="22" customHeight="1">
      <x:c r="A193" s="1" t="n">
        <x:v>185</x:v>
      </x:c>
      <x:c r="B193" s="6" t="n">
        <x:f>RAND()</x:f>
        <x:v>0.926469275050461</x:v>
      </x:c>
      <x:c r="C193" s="6" t="n">
        <x:f>RAND()</x:f>
        <x:v>0.3622911802319726</x:v>
      </x:c>
      <x:c r="D193" s="6" t="n">
        <x:f>B193^2+C193^2</x:f>
        <x:v>0.9896002168864023</x:v>
      </x:c>
      <x:c r="E193" s="5" t="n">
        <x:f>IF(D193&lt;=1,1,0)</x:f>
        <x:v>1</x:v>
      </x:c>
      <x:c r="F193" s="6" t="n">
        <x:f>4*SUM($E$9:E193)/A193</x:f>
        <x:v>2.9405405405405407</x:v>
      </x:c>
      <x:c r="G193" s="1"/>
      <x:c r="H193" s="1"/>
    </x:row>
    <x:row r="194" ht="22" customHeight="1">
      <x:c r="A194" s="1" t="n">
        <x:v>186</x:v>
      </x:c>
      <x:c r="B194" s="6" t="n">
        <x:f>RAND()</x:f>
        <x:v>0.04702946431699129</x:v>
      </x:c>
      <x:c r="C194" s="6" t="n">
        <x:f>RAND()</x:f>
        <x:v>0.815565765132769</x:v>
      </x:c>
      <x:c r="D194" s="6" t="n">
        <x:f>B194^2+C194^2</x:f>
        <x:v>0.6673592877705421</x:v>
      </x:c>
      <x:c r="E194" s="5" t="n">
        <x:f>IF(D194&lt;=1,1,0)</x:f>
        <x:v>1</x:v>
      </x:c>
      <x:c r="F194" s="6" t="n">
        <x:f>4*SUM($E$9:E194)/A194</x:f>
        <x:v>2.946236559139785</x:v>
      </x:c>
      <x:c r="G194" s="1"/>
      <x:c r="H194" s="1"/>
    </x:row>
    <x:row r="195" ht="22" customHeight="1">
      <x:c r="A195" s="1" t="n">
        <x:v>187</x:v>
      </x:c>
      <x:c r="B195" s="6" t="n">
        <x:f>RAND()</x:f>
        <x:v>0.9850959931170168</x:v>
      </x:c>
      <x:c r="C195" s="6" t="n">
        <x:f>RAND()</x:f>
        <x:v>0.5289581620862716</x:v>
      </x:c>
      <x:c r="D195" s="6" t="n">
        <x:f>B195^2+C195^2</x:f>
        <x:v>1.250210852892888</x:v>
      </x:c>
      <x:c r="E195" s="5" t="n">
        <x:f>IF(D195&lt;=1,1,0)</x:f>
        <x:v>0</x:v>
      </x:c>
      <x:c r="F195" s="6" t="n">
        <x:f>4*SUM($E$9:E195)/A195</x:f>
        <x:v>2.93048128342246</x:v>
      </x:c>
      <x:c r="G195" s="1"/>
      <x:c r="H195" s="1"/>
    </x:row>
    <x:row r="196" ht="22" customHeight="1">
      <x:c r="A196" s="1" t="n">
        <x:v>188</x:v>
      </x:c>
      <x:c r="B196" s="6" t="n">
        <x:f>RAND()</x:f>
        <x:v>0.4628185095461287</x:v>
      </x:c>
      <x:c r="C196" s="6" t="n">
        <x:f>RAND()</x:f>
        <x:v>0.14881775855991786</x:v>
      </x:c>
      <x:c r="D196" s="6" t="n">
        <x:f>B196^2+C196^2</x:f>
        <x:v>0.23634769804129802</x:v>
      </x:c>
      <x:c r="E196" s="5" t="n">
        <x:f>IF(D196&lt;=1,1,0)</x:f>
        <x:v>1</x:v>
      </x:c>
      <x:c r="F196" s="6" t="n">
        <x:f>4*SUM($E$9:E196)/A196</x:f>
        <x:v>2.9361702127659575</x:v>
      </x:c>
      <x:c r="G196" s="1"/>
      <x:c r="H196" s="1"/>
    </x:row>
    <x:row r="197" ht="22" customHeight="1">
      <x:c r="A197" s="1" t="n">
        <x:v>189</x:v>
      </x:c>
      <x:c r="B197" s="6" t="n">
        <x:f>RAND()</x:f>
        <x:v>0.8326123381367588</x:v>
      </x:c>
      <x:c r="C197" s="6" t="n">
        <x:f>RAND()</x:f>
        <x:v>0.5581788410677998</x:v>
      </x:c>
      <x:c r="D197" s="6" t="n">
        <x:f>B197^2+C197^2</x:f>
        <x:v>1.0048069242333526</x:v>
      </x:c>
      <x:c r="E197" s="5" t="n">
        <x:f>IF(D197&lt;=1,1,0)</x:f>
        <x:v>0</x:v>
      </x:c>
      <x:c r="F197" s="6" t="n">
        <x:f>4*SUM($E$9:E197)/A197</x:f>
        <x:v>2.9206349206349205</x:v>
      </x:c>
      <x:c r="G197" s="1"/>
      <x:c r="H197" s="1"/>
    </x:row>
    <x:row r="198" ht="22" customHeight="1">
      <x:c r="A198" s="1" t="n">
        <x:v>190</x:v>
      </x:c>
      <x:c r="B198" s="6" t="n">
        <x:f>RAND()</x:f>
        <x:v>0.4217030034456877</x:v>
      </x:c>
      <x:c r="C198" s="6" t="n">
        <x:f>RAND()</x:f>
        <x:v>0.6878904500218868</x:v>
      </x:c>
      <x:c r="D198" s="6" t="n">
        <x:f>B198^2+C198^2</x:f>
        <x:v>0.6510266943464276</x:v>
      </x:c>
      <x:c r="E198" s="5" t="n">
        <x:f>IF(D198&lt;=1,1,0)</x:f>
        <x:v>1</x:v>
      </x:c>
      <x:c r="F198" s="6" t="n">
        <x:f>4*SUM($E$9:E198)/A198</x:f>
        <x:v>2.9263157894736844</x:v>
      </x:c>
      <x:c r="G198" s="1"/>
      <x:c r="H198" s="1"/>
    </x:row>
    <x:row r="199" ht="22" customHeight="1">
      <x:c r="A199" s="1" t="n">
        <x:v>191</x:v>
      </x:c>
      <x:c r="B199" s="6" t="n">
        <x:f>RAND()</x:f>
        <x:v>0.3529116519296882</x:v>
      </x:c>
      <x:c r="C199" s="6" t="n">
        <x:f>RAND()</x:f>
        <x:v>0.6592650723251843</x:v>
      </x:c>
      <x:c r="D199" s="6" t="n">
        <x:f>B199^2+C199^2</x:f>
        <x:v>0.5591770696556718</x:v>
      </x:c>
      <x:c r="E199" s="5" t="n">
        <x:f>IF(D199&lt;=1,1,0)</x:f>
        <x:v>1</x:v>
      </x:c>
      <x:c r="F199" s="6" t="n">
        <x:f>4*SUM($E$9:E199)/A199</x:f>
        <x:v>2.931937172774869</x:v>
      </x:c>
      <x:c r="G199" s="1"/>
      <x:c r="H199" s="1"/>
    </x:row>
    <x:row r="200" ht="22" customHeight="1">
      <x:c r="A200" s="1" t="n">
        <x:v>192</x:v>
      </x:c>
      <x:c r="B200" s="6" t="n">
        <x:f>RAND()</x:f>
        <x:v>0.3652722458936192</x:v>
      </x:c>
      <x:c r="C200" s="6" t="n">
        <x:f>RAND()</x:f>
        <x:v>0.8410899797858431</x:v>
      </x:c>
      <x:c r="D200" s="6" t="n">
        <x:f>B200^2+C200^2</x:f>
        <x:v>0.8408561677163184</x:v>
      </x:c>
      <x:c r="E200" s="5" t="n">
        <x:f>IF(D200&lt;=1,1,0)</x:f>
        <x:v>1</x:v>
      </x:c>
      <x:c r="F200" s="6" t="n">
        <x:f>4*SUM($E$9:E200)/A200</x:f>
        <x:v>2.9375</x:v>
      </x:c>
      <x:c r="G200" s="1"/>
      <x:c r="H200" s="1"/>
    </x:row>
    <x:row r="201" ht="22" customHeight="1">
      <x:c r="A201" s="1" t="n">
        <x:v>193</x:v>
      </x:c>
      <x:c r="B201" s="6" t="n">
        <x:f>RAND()</x:f>
        <x:v>0.9052917273122646</x:v>
      </x:c>
      <x:c r="C201" s="6" t="n">
        <x:f>RAND()</x:f>
        <x:v>0.27496045406456915</x:v>
      </x:c>
      <x:c r="D201" s="6" t="n">
        <x:f>B201^2+C201^2</x:f>
        <x:v>0.8951563628394177</x:v>
      </x:c>
      <x:c r="E201" s="5" t="n">
        <x:f>IF(D201&lt;=1,1,0)</x:f>
        <x:v>1</x:v>
      </x:c>
      <x:c r="F201" s="6" t="n">
        <x:f>4*SUM($E$9:E201)/A201</x:f>
        <x:v>2.94300518134715</x:v>
      </x:c>
      <x:c r="G201" s="1"/>
      <x:c r="H201" s="1"/>
    </x:row>
    <x:row r="202" ht="22" customHeight="1">
      <x:c r="A202" s="1" t="n">
        <x:v>194</x:v>
      </x:c>
      <x:c r="B202" s="6" t="n">
        <x:f>RAND()</x:f>
        <x:v>0.6031914035710066</x:v>
      </x:c>
      <x:c r="C202" s="6" t="n">
        <x:f>RAND()</x:f>
        <x:v>0.8033782325861878</x:v>
      </x:c>
      <x:c r="D202" s="6" t="n">
        <x:f>B202^2+C202^2</x:f>
        <x:v>1.0092564539352677</x:v>
      </x:c>
      <x:c r="E202" s="5" t="n">
        <x:f>IF(D202&lt;=1,1,0)</x:f>
        <x:v>0</x:v>
      </x:c>
      <x:c r="F202" s="6" t="n">
        <x:f>4*SUM($E$9:E202)/A202</x:f>
        <x:v>2.9278350515463916</x:v>
      </x:c>
      <x:c r="G202" s="1"/>
      <x:c r="H202" s="1"/>
    </x:row>
    <x:row r="203" ht="22" customHeight="1">
      <x:c r="A203" s="1" t="n">
        <x:v>195</x:v>
      </x:c>
      <x:c r="B203" s="6" t="n">
        <x:f>RAND()</x:f>
        <x:v>0.2572174175181321</x:v>
      </x:c>
      <x:c r="C203" s="6" t="n">
        <x:f>RAND()</x:f>
        <x:v>0.8231291020272422</x:v>
      </x:c>
      <x:c r="D203" s="6" t="n">
        <x:f>B203^2+C203^2</x:f>
        <x:v>0.7437023184788711</x:v>
      </x:c>
      <x:c r="E203" s="5" t="n">
        <x:f>IF(D203&lt;=1,1,0)</x:f>
        <x:v>1</x:v>
      </x:c>
      <x:c r="F203" s="6" t="n">
        <x:f>4*SUM($E$9:E203)/A203</x:f>
        <x:v>2.933333333333333</x:v>
      </x:c>
      <x:c r="G203" s="1"/>
      <x:c r="H203" s="1"/>
    </x:row>
    <x:row r="204" ht="22" customHeight="1">
      <x:c r="A204" s="1" t="n">
        <x:v>196</x:v>
      </x:c>
      <x:c r="B204" s="6" t="n">
        <x:f>RAND()</x:f>
        <x:v>0.3382560936555351</x:v>
      </x:c>
      <x:c r="C204" s="6" t="n">
        <x:f>RAND()</x:f>
        <x:v>0.6781593755385799</x:v>
      </x:c>
      <x:c r="D204" s="6" t="n">
        <x:f>B204^2+C204^2</x:f>
        <x:v>0.5743173235259788</x:v>
      </x:c>
      <x:c r="E204" s="5" t="n">
        <x:f>IF(D204&lt;=1,1,0)</x:f>
        <x:v>1</x:v>
      </x:c>
      <x:c r="F204" s="6" t="n">
        <x:f>4*SUM($E$9:E204)/A204</x:f>
        <x:v>2.938775510204082</x:v>
      </x:c>
      <x:c r="G204" s="1"/>
      <x:c r="H204" s="1"/>
    </x:row>
    <x:row r="205" ht="22" customHeight="1">
      <x:c r="A205" s="1" t="n">
        <x:v>197</x:v>
      </x:c>
      <x:c r="B205" s="6" t="n">
        <x:f>RAND()</x:f>
        <x:v>0.13045333065605114</x:v>
      </x:c>
      <x:c r="C205" s="6" t="n">
        <x:f>RAND()</x:f>
        <x:v>0.24710830475034806</x:v>
      </x:c>
      <x:c r="D205" s="6" t="n">
        <x:f>B205^2+C205^2</x:f>
        <x:v>0.07808058575584789</x:v>
      </x:c>
      <x:c r="E205" s="5" t="n">
        <x:f>IF(D205&lt;=1,1,0)</x:f>
        <x:v>1</x:v>
      </x:c>
      <x:c r="F205" s="6" t="n">
        <x:f>4*SUM($E$9:E205)/A205</x:f>
        <x:v>2.9441624365482233</x:v>
      </x:c>
      <x:c r="G205" s="1"/>
      <x:c r="H205" s="1"/>
    </x:row>
    <x:row r="206" ht="22" customHeight="1">
      <x:c r="A206" s="1" t="n">
        <x:v>198</x:v>
      </x:c>
      <x:c r="B206" s="6" t="n">
        <x:f>RAND()</x:f>
        <x:v>0.291821996018892</x:v>
      </x:c>
      <x:c r="C206" s="6" t="n">
        <x:f>RAND()</x:f>
        <x:v>0.32673301097083685</x:v>
      </x:c>
      <x:c r="D206" s="6" t="n">
        <x:f>B206^2+C206^2</x:f>
        <x:v>0.19191453781851925</x:v>
      </x:c>
      <x:c r="E206" s="5" t="n">
        <x:f>IF(D206&lt;=1,1,0)</x:f>
        <x:v>1</x:v>
      </x:c>
      <x:c r="F206" s="6" t="n">
        <x:f>4*SUM($E$9:E206)/A206</x:f>
        <x:v>2.9494949494949494</x:v>
      </x:c>
      <x:c r="G206" s="1"/>
      <x:c r="H206" s="1"/>
    </x:row>
    <x:row r="207" ht="22" customHeight="1">
      <x:c r="A207" s="1" t="n">
        <x:v>199</x:v>
      </x:c>
      <x:c r="B207" s="6" t="n">
        <x:f>RAND()</x:f>
        <x:v>0.42151289571545625</x:v>
      </x:c>
      <x:c r="C207" s="6" t="n">
        <x:f>RAND()</x:f>
        <x:v>0.4806859806460726</x:v>
      </x:c>
      <x:c r="D207" s="6" t="n">
        <x:f>B207^2+C207^2</x:f>
        <x:v>0.4087321332441056</x:v>
      </x:c>
      <x:c r="E207" s="5" t="n">
        <x:f>IF(D207&lt;=1,1,0)</x:f>
        <x:v>1</x:v>
      </x:c>
      <x:c r="F207" s="6" t="n">
        <x:f>4*SUM($E$9:E207)/A207</x:f>
        <x:v>2.9547738693467336</x:v>
      </x:c>
      <x:c r="G207" s="1"/>
      <x:c r="H207" s="1"/>
    </x:row>
    <x:row r="208" ht="22" customHeight="1">
      <x:c r="A208" s="1" t="n">
        <x:v>200</x:v>
      </x:c>
      <x:c r="B208" s="6" t="n">
        <x:f>RAND()</x:f>
        <x:v>0.28904346800243796</x:v>
      </x:c>
      <x:c r="C208" s="6" t="n">
        <x:f>RAND()</x:f>
        <x:v>0.5232807113826096</x:v>
      </x:c>
      <x:c r="D208" s="6" t="n">
        <x:f>B208^2+C208^2</x:f>
        <x:v>0.3573688292999663</x:v>
      </x:c>
      <x:c r="E208" s="5" t="n">
        <x:f>IF(D208&lt;=1,1,0)</x:f>
        <x:v>1</x:v>
      </x:c>
      <x:c r="F208" s="6" t="n">
        <x:f>4*SUM($E$9:E208)/A208</x:f>
        <x:v>2.96</x:v>
      </x:c>
      <x:c r="G208" s="1"/>
      <x:c r="H208" s="1"/>
    </x:row>
    <x:row r="209" ht="22" customHeight="1">
      <x:c r="A209" s="1" t="n">
        <x:v>201</x:v>
      </x:c>
      <x:c r="B209" s="6" t="n">
        <x:f>RAND()</x:f>
        <x:v>0.4205015228295177</x:v>
      </x:c>
      <x:c r="C209" s="6" t="n">
        <x:f>RAND()</x:f>
        <x:v>0.00020372046386918363</x:v>
      </x:c>
      <x:c r="D209" s="6" t="n">
        <x:f>B209^2+C209^2</x:f>
        <x:v>0.1768215722039708</x:v>
      </x:c>
      <x:c r="E209" s="5" t="n">
        <x:f>IF(D209&lt;=1,1,0)</x:f>
        <x:v>1</x:v>
      </x:c>
      <x:c r="F209" s="6" t="n">
        <x:f>4*SUM($E$9:E209)/A209</x:f>
        <x:v>2.9651741293532337</x:v>
      </x:c>
      <x:c r="G209" s="1"/>
      <x:c r="H209" s="1"/>
    </x:row>
    <x:row r="210" ht="22" customHeight="1">
      <x:c r="A210" s="1" t="n">
        <x:v>202</x:v>
      </x:c>
      <x:c r="B210" s="6" t="n">
        <x:f>RAND()</x:f>
        <x:v>0.18310752757078586</x:v>
      </x:c>
      <x:c r="C210" s="6" t="n">
        <x:f>RAND()</x:f>
        <x:v>0.5095898716701259</x:v>
      </x:c>
      <x:c r="D210" s="6" t="n">
        <x:f>B210^2+C210^2</x:f>
        <x:v>0.29321020396186154</x:v>
      </x:c>
      <x:c r="E210" s="5" t="n">
        <x:f>IF(D210&lt;=1,1,0)</x:f>
        <x:v>1</x:v>
      </x:c>
      <x:c r="F210" s="6" t="n">
        <x:f>4*SUM($E$9:E210)/A210</x:f>
        <x:v>2.9702970297029703</x:v>
      </x:c>
      <x:c r="G210" s="1"/>
      <x:c r="H210" s="1"/>
    </x:row>
    <x:row r="211" ht="22" customHeight="1">
      <x:c r="A211" s="1" t="n">
        <x:v>203</x:v>
      </x:c>
      <x:c r="B211" s="6" t="n">
        <x:f>RAND()</x:f>
        <x:v>0.4167029588589074</x:v>
      </x:c>
      <x:c r="C211" s="6" t="n">
        <x:f>RAND()</x:f>
        <x:v>0.8091143555850161</x:v>
      </x:c>
      <x:c r="D211" s="6" t="n">
        <x:f>B211^2+C211^2</x:f>
        <x:v>0.8283073963355241</x:v>
      </x:c>
      <x:c r="E211" s="5" t="n">
        <x:f>IF(D211&lt;=1,1,0)</x:f>
        <x:v>1</x:v>
      </x:c>
      <x:c r="F211" s="6" t="n">
        <x:f>4*SUM($E$9:E211)/A211</x:f>
        <x:v>2.9753694581280787</x:v>
      </x:c>
      <x:c r="G211" s="1"/>
      <x:c r="H211" s="1"/>
    </x:row>
    <x:row r="212" ht="22" customHeight="1">
      <x:c r="A212" s="1" t="n">
        <x:v>204</x:v>
      </x:c>
      <x:c r="B212" s="6" t="n">
        <x:f>RAND()</x:f>
        <x:v>0.29507207033487437</x:v>
      </x:c>
      <x:c r="C212" s="6" t="n">
        <x:f>RAND()</x:f>
        <x:v>0.5436219049175135</x:v>
      </x:c>
      <x:c r="D212" s="6" t="n">
        <x:f>B212^2+C212^2</x:f>
        <x:v>0.3825923021978551</x:v>
      </x:c>
      <x:c r="E212" s="5" t="n">
        <x:f>IF(D212&lt;=1,1,0)</x:f>
        <x:v>1</x:v>
      </x:c>
      <x:c r="F212" s="6" t="n">
        <x:f>4*SUM($E$9:E212)/A212</x:f>
        <x:v>2.980392156862745</x:v>
      </x:c>
      <x:c r="G212" s="1"/>
      <x:c r="H212" s="1"/>
    </x:row>
    <x:row r="213" ht="22" customHeight="1">
      <x:c r="A213" s="1" t="n">
        <x:v>205</x:v>
      </x:c>
      <x:c r="B213" s="6" t="n">
        <x:f>RAND()</x:f>
        <x:v>0.3995605292345842</x:v>
      </x:c>
      <x:c r="C213" s="6" t="n">
        <x:f>RAND()</x:f>
        <x:v>0.27086694920700904</x:v>
      </x:c>
      <x:c r="D213" s="6" t="n">
        <x:f>B213^2+C213^2</x:f>
        <x:v>0.23301752069493342</x:v>
      </x:c>
      <x:c r="E213" s="5" t="n">
        <x:f>IF(D213&lt;=1,1,0)</x:f>
        <x:v>1</x:v>
      </x:c>
      <x:c r="F213" s="6" t="n">
        <x:f>4*SUM($E$9:E213)/A213</x:f>
        <x:v>2.9853658536585366</x:v>
      </x:c>
      <x:c r="G213" s="1"/>
      <x:c r="H213" s="1"/>
    </x:row>
    <x:row r="214" ht="22" customHeight="1">
      <x:c r="A214" s="1" t="n">
        <x:v>206</x:v>
      </x:c>
      <x:c r="B214" s="6" t="n">
        <x:f>RAND()</x:f>
        <x:v>0.13016271698206705</x:v>
      </x:c>
      <x:c r="C214" s="6" t="n">
        <x:f>RAND()</x:f>
        <x:v>0.09026425477064293</x:v>
      </x:c>
      <x:c r="D214" s="6" t="n">
        <x:f>B214^2+C214^2</x:f>
        <x:v>0.02508996858145322</x:v>
      </x:c>
      <x:c r="E214" s="5" t="n">
        <x:f>IF(D214&lt;=1,1,0)</x:f>
        <x:v>1</x:v>
      </x:c>
      <x:c r="F214" s="6" t="n">
        <x:f>4*SUM($E$9:E214)/A214</x:f>
        <x:v>2.9902912621359223</x:v>
      </x:c>
      <x:c r="G214" s="1"/>
      <x:c r="H214" s="1"/>
    </x:row>
    <x:row r="215" ht="22" customHeight="1">
      <x:c r="A215" s="1" t="n">
        <x:v>207</x:v>
      </x:c>
      <x:c r="B215" s="6" t="n">
        <x:f>RAND()</x:f>
        <x:v>0.33950762479836527</x:v>
      </x:c>
      <x:c r="C215" s="6" t="n">
        <x:f>RAND()</x:f>
        <x:v>0.5349695426440728</x:v>
      </x:c>
      <x:c r="D215" s="6" t="n">
        <x:f>B215^2+C215^2</x:f>
        <x:v>0.40145783885303604</x:v>
      </x:c>
      <x:c r="E215" s="5" t="n">
        <x:f>IF(D215&lt;=1,1,0)</x:f>
        <x:v>1</x:v>
      </x:c>
      <x:c r="F215" s="6" t="n">
        <x:f>4*SUM($E$9:E215)/A215</x:f>
        <x:v>2.995169082125604</x:v>
      </x:c>
      <x:c r="G215" s="1"/>
      <x:c r="H215" s="1"/>
    </x:row>
    <x:row r="216" ht="22" customHeight="1">
      <x:c r="A216" s="1" t="n">
        <x:v>208</x:v>
      </x:c>
      <x:c r="B216" s="6" t="n">
        <x:f>RAND()</x:f>
        <x:v>0.4929821045048416</x:v>
      </x:c>
      <x:c r="C216" s="6" t="n">
        <x:f>RAND()</x:f>
        <x:v>0.9057130893260957</x:v>
      </x:c>
      <x:c r="D216" s="6" t="n">
        <x:f>B216^2+C216^2</x:f>
        <x:v>1.0633475555386427</x:v>
      </x:c>
      <x:c r="E216" s="5" t="n">
        <x:f>IF(D216&lt;=1,1,0)</x:f>
        <x:v>0</x:v>
      </x:c>
      <x:c r="F216" s="6" t="n">
        <x:f>4*SUM($E$9:E216)/A216</x:f>
        <x:v>2.980769230769231</x:v>
      </x:c>
      <x:c r="G216" s="1"/>
      <x:c r="H216" s="1"/>
    </x:row>
    <x:row r="217" ht="22" customHeight="1">
      <x:c r="A217" s="1" t="n">
        <x:v>209</x:v>
      </x:c>
      <x:c r="B217" s="6" t="n">
        <x:f>RAND()</x:f>
        <x:v>0.935203726638159</x:v>
      </x:c>
      <x:c r="C217" s="6" t="n">
        <x:f>RAND()</x:f>
        <x:v>0.8692700668419562</x:v>
      </x:c>
      <x:c r="D217" s="6" t="n">
        <x:f>B217^2+C217^2</x:f>
        <x:v>1.6302364594253194</x:v>
      </x:c>
      <x:c r="E217" s="5" t="n">
        <x:f>IF(D217&lt;=1,1,0)</x:f>
        <x:v>0</x:v>
      </x:c>
      <x:c r="F217" s="6" t="n">
        <x:f>4*SUM($E$9:E217)/A217</x:f>
        <x:v>2.9665071770334928</x:v>
      </x:c>
      <x:c r="G217" s="1"/>
      <x:c r="H217" s="1"/>
    </x:row>
    <x:row r="218" ht="22" customHeight="1">
      <x:c r="A218" s="1" t="n">
        <x:v>210</x:v>
      </x:c>
      <x:c r="B218" s="6" t="n">
        <x:f>RAND()</x:f>
        <x:v>0.6760739818906724</x:v>
      </x:c>
      <x:c r="C218" s="6" t="n">
        <x:f>RAND()</x:f>
        <x:v>0.5429263084194709</x:v>
      </x:c>
      <x:c r="D218" s="6" t="n">
        <x:f>B218^2+C218^2</x:f>
        <x:v>0.7518450053635035</x:v>
      </x:c>
      <x:c r="E218" s="5" t="n">
        <x:f>IF(D218&lt;=1,1,0)</x:f>
        <x:v>1</x:v>
      </x:c>
      <x:c r="F218" s="6" t="n">
        <x:f>4*SUM($E$9:E218)/A218</x:f>
        <x:v>2.9714285714285715</x:v>
      </x:c>
      <x:c r="G218" s="1"/>
      <x:c r="H218" s="1"/>
    </x:row>
    <x:row r="219" ht="22" customHeight="1">
      <x:c r="A219" s="1" t="n">
        <x:v>211</x:v>
      </x:c>
      <x:c r="B219" s="6" t="n">
        <x:f>RAND()</x:f>
        <x:v>0.10451498496596934</x:v>
      </x:c>
      <x:c r="C219" s="6" t="n">
        <x:f>RAND()</x:f>
        <x:v>0.2867377816503742</x:v>
      </x:c>
      <x:c r="D219" s="6" t="n">
        <x:f>B219^2+C219^2</x:f>
        <x:v>0.09314193750821448</x:v>
      </x:c>
      <x:c r="E219" s="5" t="n">
        <x:f>IF(D219&lt;=1,1,0)</x:f>
        <x:v>1</x:v>
      </x:c>
      <x:c r="F219" s="6" t="n">
        <x:f>4*SUM($E$9:E219)/A219</x:f>
        <x:v>2.976303317535545</x:v>
      </x:c>
      <x:c r="G219" s="1"/>
      <x:c r="H219" s="1"/>
    </x:row>
    <x:row r="220" ht="22" customHeight="1">
      <x:c r="A220" s="1" t="n">
        <x:v>212</x:v>
      </x:c>
      <x:c r="B220" s="6" t="n">
        <x:f>RAND()</x:f>
        <x:v>0.5875943628096216</x:v>
      </x:c>
      <x:c r="C220" s="6" t="n">
        <x:f>RAND()</x:f>
        <x:v>0.7253480435960521</x:v>
      </x:c>
      <x:c r="D220" s="6" t="n">
        <x:f>B220^2+C220^2</x:f>
        <x:v>0.8713969195542656</x:v>
      </x:c>
      <x:c r="E220" s="5" t="n">
        <x:f>IF(D220&lt;=1,1,0)</x:f>
        <x:v>1</x:v>
      </x:c>
      <x:c r="F220" s="6" t="n">
        <x:f>4*SUM($E$9:E220)/A220</x:f>
        <x:v>2.981132075471698</x:v>
      </x:c>
      <x:c r="G220" s="1"/>
      <x:c r="H220" s="1"/>
    </x:row>
    <x:row r="221" ht="22" customHeight="1">
      <x:c r="A221" s="1" t="n">
        <x:v>213</x:v>
      </x:c>
      <x:c r="B221" s="6" t="n">
        <x:f>RAND()</x:f>
        <x:v>0.3284773210980094</x:v>
      </x:c>
      <x:c r="C221" s="6" t="n">
        <x:f>RAND()</x:f>
        <x:v>0.8844813181973938</x:v>
      </x:c>
      <x:c r="D221" s="6" t="n">
        <x:f>B221^2+C221^2</x:f>
        <x:v>0.8902045527159242</x:v>
      </x:c>
      <x:c r="E221" s="5" t="n">
        <x:f>IF(D221&lt;=1,1,0)</x:f>
        <x:v>1</x:v>
      </x:c>
      <x:c r="F221" s="6" t="n">
        <x:f>4*SUM($E$9:E221)/A221</x:f>
        <x:v>2.9859154929577465</x:v>
      </x:c>
      <x:c r="G221" s="1"/>
      <x:c r="H221" s="1"/>
    </x:row>
    <x:row r="222" ht="22" customHeight="1">
      <x:c r="A222" s="1" t="n">
        <x:v>214</x:v>
      </x:c>
      <x:c r="B222" s="6" t="n">
        <x:f>RAND()</x:f>
        <x:v>0.35243855987842354</x:v>
      </x:c>
      <x:c r="C222" s="6" t="n">
        <x:f>RAND()</x:f>
        <x:v>0.7745183101264886</x:v>
      </x:c>
      <x:c r="D222" s="6" t="n">
        <x:f>B222^2+C222^2</x:f>
        <x:v>0.7240915512103687</x:v>
      </x:c>
      <x:c r="E222" s="5" t="n">
        <x:f>IF(D222&lt;=1,1,0)</x:f>
        <x:v>1</x:v>
      </x:c>
      <x:c r="F222" s="6" t="n">
        <x:f>4*SUM($E$9:E222)/A222</x:f>
        <x:v>2.9906542056074765</x:v>
      </x:c>
      <x:c r="G222" s="1"/>
      <x:c r="H222" s="1"/>
    </x:row>
    <x:row r="223" ht="22" customHeight="1">
      <x:c r="A223" s="1" t="n">
        <x:v>215</x:v>
      </x:c>
      <x:c r="B223" s="6" t="n">
        <x:f>RAND()</x:f>
        <x:v>0.5268691902148611</x:v>
      </x:c>
      <x:c r="C223" s="6" t="n">
        <x:f>RAND()</x:f>
        <x:v>0.02872148528030183</x:v>
      </x:c>
      <x:c r="D223" s="6" t="n">
        <x:f>B223^2+C223^2</x:f>
        <x:v>0.27841606731437013</x:v>
      </x:c>
      <x:c r="E223" s="5" t="n">
        <x:f>IF(D223&lt;=1,1,0)</x:f>
        <x:v>1</x:v>
      </x:c>
      <x:c r="F223" s="6" t="n">
        <x:f>4*SUM($E$9:E223)/A223</x:f>
        <x:v>2.9953488372093022</x:v>
      </x:c>
      <x:c r="G223" s="1"/>
      <x:c r="H223" s="1"/>
    </x:row>
    <x:row r="224" ht="22" customHeight="1">
      <x:c r="A224" s="1" t="n">
        <x:v>216</x:v>
      </x:c>
      <x:c r="B224" s="6" t="n">
        <x:f>RAND()</x:f>
        <x:v>0.26322469247746394</x:v>
      </x:c>
      <x:c r="C224" s="6" t="n">
        <x:f>RAND()</x:f>
        <x:v>0.9193617922202459</x:v>
      </x:c>
      <x:c r="D224" s="6" t="n">
        <x:f>B224^2+C224^2</x:f>
        <x:v>0.9145133437242781</x:v>
      </x:c>
      <x:c r="E224" s="5" t="n">
        <x:f>IF(D224&lt;=1,1,0)</x:f>
        <x:v>1</x:v>
      </x:c>
      <x:c r="F224" s="6" t="n">
        <x:f>4*SUM($E$9:E224)/A224</x:f>
        <x:v>3</x:v>
      </x:c>
      <x:c r="G224" s="1"/>
      <x:c r="H224" s="1"/>
    </x:row>
    <x:row r="225" ht="22" customHeight="1">
      <x:c r="A225" s="1" t="n">
        <x:v>217</x:v>
      </x:c>
      <x:c r="B225" s="6" t="n">
        <x:f>RAND()</x:f>
        <x:v>0.06394144539053703</x:v>
      </x:c>
      <x:c r="C225" s="6" t="n">
        <x:f>RAND()</x:f>
        <x:v>0.6461934290886054</x:v>
      </x:c>
      <x:c r="D225" s="6" t="n">
        <x:f>B225^2+C225^2</x:f>
        <x:v>0.42165445623592157</x:v>
      </x:c>
      <x:c r="E225" s="5" t="n">
        <x:f>IF(D225&lt;=1,1,0)</x:f>
        <x:v>1</x:v>
      </x:c>
      <x:c r="F225" s="6" t="n">
        <x:f>4*SUM($E$9:E225)/A225</x:f>
        <x:v>3.0046082949308754</x:v>
      </x:c>
      <x:c r="G225" s="1"/>
      <x:c r="H225" s="1"/>
    </x:row>
    <x:row r="226" ht="22" customHeight="1">
      <x:c r="A226" s="1" t="n">
        <x:v>218</x:v>
      </x:c>
      <x:c r="B226" s="6" t="n">
        <x:f>RAND()</x:f>
        <x:v>0.15935464109080233</x:v>
      </x:c>
      <x:c r="C226" s="6" t="n">
        <x:f>RAND()</x:f>
        <x:v>0.1526220639750735</x:v>
      </x:c>
      <x:c r="D226" s="6" t="n">
        <x:f>B226^2+C226^2</x:f>
        <x:v>0.048687396049189854</x:v>
      </x:c>
      <x:c r="E226" s="5" t="n">
        <x:f>IF(D226&lt;=1,1,0)</x:f>
        <x:v>1</x:v>
      </x:c>
      <x:c r="F226" s="6" t="n">
        <x:f>4*SUM($E$9:E226)/A226</x:f>
        <x:v>3.0091743119266057</x:v>
      </x:c>
      <x:c r="G226" s="1"/>
      <x:c r="H226" s="1"/>
    </x:row>
    <x:row r="227" ht="22" customHeight="1">
      <x:c r="A227" s="1" t="n">
        <x:v>219</x:v>
      </x:c>
      <x:c r="B227" s="6" t="n">
        <x:f>RAND()</x:f>
        <x:v>0.2736777411027098</x:v>
      </x:c>
      <x:c r="C227" s="6" t="n">
        <x:f>RAND()</x:f>
        <x:v>0.6192247865695936</x:v>
      </x:c>
      <x:c r="D227" s="6" t="n">
        <x:f>B227^2+C227^2</x:f>
        <x:v>0.4583388422772406</x:v>
      </x:c>
      <x:c r="E227" s="5" t="n">
        <x:f>IF(D227&lt;=1,1,0)</x:f>
        <x:v>1</x:v>
      </x:c>
      <x:c r="F227" s="6" t="n">
        <x:f>4*SUM($E$9:E227)/A227</x:f>
        <x:v>3.0136986301369864</x:v>
      </x:c>
      <x:c r="G227" s="1"/>
      <x:c r="H227" s="1"/>
    </x:row>
    <x:row r="228" ht="22" customHeight="1">
      <x:c r="A228" s="1" t="n">
        <x:v>220</x:v>
      </x:c>
      <x:c r="B228" s="6" t="n">
        <x:f>RAND()</x:f>
        <x:v>0.49027832086847145</x:v>
      </x:c>
      <x:c r="C228" s="6" t="n">
        <x:f>RAND()</x:f>
        <x:v>0.16825899857956528</x:v>
      </x:c>
      <x:c r="D228" s="6" t="n">
        <x:f>B228^2+C228^2</x:f>
        <x:v>0.268683922516606</x:v>
      </x:c>
      <x:c r="E228" s="5" t="n">
        <x:f>IF(D228&lt;=1,1,0)</x:f>
        <x:v>1</x:v>
      </x:c>
      <x:c r="F228" s="6" t="n">
        <x:f>4*SUM($E$9:E228)/A228</x:f>
        <x:v>3.018181818181818</x:v>
      </x:c>
      <x:c r="G228" s="1"/>
      <x:c r="H228" s="1"/>
    </x:row>
    <x:row r="229" ht="22" customHeight="1">
      <x:c r="A229" s="1" t="n">
        <x:v>221</x:v>
      </x:c>
      <x:c r="B229" s="6" t="n">
        <x:f>RAND()</x:f>
        <x:v>0.7427511106745917</x:v>
      </x:c>
      <x:c r="C229" s="6" t="n">
        <x:f>RAND()</x:f>
        <x:v>0.7871278956128428</x:v>
      </x:c>
      <x:c r="D229" s="6" t="n">
        <x:f>B229^2+C229^2</x:f>
        <x:v>1.171249536460242</x:v>
      </x:c>
      <x:c r="E229" s="5" t="n">
        <x:f>IF(D229&lt;=1,1,0)</x:f>
        <x:v>0</x:v>
      </x:c>
      <x:c r="F229" s="6" t="n">
        <x:f>4*SUM($E$9:E229)/A229</x:f>
        <x:v>3.004524886877828</x:v>
      </x:c>
      <x:c r="G229" s="1"/>
      <x:c r="H229" s="1"/>
    </x:row>
    <x:row r="230" ht="22" customHeight="1">
      <x:c r="A230" s="1" t="n">
        <x:v>222</x:v>
      </x:c>
      <x:c r="B230" s="6" t="n">
        <x:f>RAND()</x:f>
        <x:v>0.2820978460703355</x:v>
      </x:c>
      <x:c r="C230" s="6" t="n">
        <x:f>RAND()</x:f>
        <x:v>0.22986146595000512</x:v>
      </x:c>
      <x:c r="D230" s="6" t="n">
        <x:f>B230^2+C230^2</x:f>
        <x:v>0.13241548828620806</x:v>
      </x:c>
      <x:c r="E230" s="5" t="n">
        <x:f>IF(D230&lt;=1,1,0)</x:f>
        <x:v>1</x:v>
      </x:c>
      <x:c r="F230" s="6" t="n">
        <x:f>4*SUM($E$9:E230)/A230</x:f>
        <x:v>3.009009009009009</x:v>
      </x:c>
      <x:c r="G230" s="1"/>
      <x:c r="H230" s="1"/>
    </x:row>
    <x:row r="231" ht="22" customHeight="1">
      <x:c r="A231" s="1" t="n">
        <x:v>223</x:v>
      </x:c>
      <x:c r="B231" s="6" t="n">
        <x:f>RAND()</x:f>
        <x:v>0.6665062719543879</x:v>
      </x:c>
      <x:c r="C231" s="6" t="n">
        <x:f>RAND()</x:f>
        <x:v>0.7792666363645288</x:v>
      </x:c>
      <x:c r="D231" s="6" t="n">
        <x:f>B231^2+C231^2</x:f>
        <x:v>1.0514871011054232</x:v>
      </x:c>
      <x:c r="E231" s="5" t="n">
        <x:f>IF(D231&lt;=1,1,0)</x:f>
        <x:v>0</x:v>
      </x:c>
      <x:c r="F231" s="6" t="n">
        <x:f>4*SUM($E$9:E231)/A231</x:f>
        <x:v>2.995515695067265</x:v>
      </x:c>
      <x:c r="G231" s="1"/>
      <x:c r="H231" s="1"/>
    </x:row>
    <x:row r="232" ht="22" customHeight="1">
      <x:c r="A232" s="1" t="n">
        <x:v>224</x:v>
      </x:c>
      <x:c r="B232" s="6" t="n">
        <x:f>RAND()</x:f>
        <x:v>0.06497579695921174</x:v>
      </x:c>
      <x:c r="C232" s="6" t="n">
        <x:f>RAND()</x:f>
        <x:v>0.4854663217477857</x:v>
      </x:c>
      <x:c r="D232" s="6" t="n">
        <x:f>B232^2+C232^2</x:f>
        <x:v>0.2398994037418093</x:v>
      </x:c>
      <x:c r="E232" s="5" t="n">
        <x:f>IF(D232&lt;=1,1,0)</x:f>
        <x:v>1</x:v>
      </x:c>
      <x:c r="F232" s="6" t="n">
        <x:f>4*SUM($E$9:E232)/A232</x:f>
        <x:v>3</x:v>
      </x:c>
      <x:c r="G232" s="1"/>
      <x:c r="H232" s="1"/>
    </x:row>
    <x:row r="233" ht="22" customHeight="1">
      <x:c r="A233" s="1" t="n">
        <x:v>225</x:v>
      </x:c>
      <x:c r="B233" s="6" t="n">
        <x:f>RAND()</x:f>
        <x:v>0.20647506054683218</x:v>
      </x:c>
      <x:c r="C233" s="6" t="n">
        <x:f>RAND()</x:f>
        <x:v>0.06272701573252759</x:v>
      </x:c>
      <x:c r="D233" s="6" t="n">
        <x:f>B233^2+C233^2</x:f>
        <x:v>0.04656662913052678</x:v>
      </x:c>
      <x:c r="E233" s="5" t="n">
        <x:f>IF(D233&lt;=1,1,0)</x:f>
        <x:v>1</x:v>
      </x:c>
      <x:c r="F233" s="6" t="n">
        <x:f>4*SUM($E$9:E233)/A233</x:f>
        <x:v>3.0044444444444443</x:v>
      </x:c>
      <x:c r="G233" s="1"/>
      <x:c r="H233" s="1"/>
    </x:row>
    <x:row r="234" ht="22" customHeight="1">
      <x:c r="A234" s="1" t="n">
        <x:v>226</x:v>
      </x:c>
      <x:c r="B234" s="6" t="n">
        <x:f>RAND()</x:f>
        <x:v>0.8359687267065221</x:v>
      </x:c>
      <x:c r="C234" s="6" t="n">
        <x:f>RAND()</x:f>
        <x:v>0.9279046261356156</x:v>
      </x:c>
      <x:c r="D234" s="6" t="n">
        <x:f>B234^2+C234^2</x:f>
        <x:v>1.5598507072352006</x:v>
      </x:c>
      <x:c r="E234" s="5" t="n">
        <x:f>IF(D234&lt;=1,1,0)</x:f>
        <x:v>0</x:v>
      </x:c>
      <x:c r="F234" s="6" t="n">
        <x:f>4*SUM($E$9:E234)/A234</x:f>
        <x:v>2.9911504424778763</x:v>
      </x:c>
      <x:c r="G234" s="1"/>
      <x:c r="H234" s="1"/>
    </x:row>
    <x:row r="235" ht="22" customHeight="1">
      <x:c r="A235" s="1" t="n">
        <x:v>227</x:v>
      </x:c>
      <x:c r="B235" s="6" t="n">
        <x:f>RAND()</x:f>
        <x:v>0.9330271283759252</x:v>
      </x:c>
      <x:c r="C235" s="6" t="n">
        <x:f>RAND()</x:f>
        <x:v>0.8509058777799783</x:v>
      </x:c>
      <x:c r="D235" s="6" t="n">
        <x:f>B235^2+C235^2</x:f>
        <x:v>1.5945804351259405</x:v>
      </x:c>
      <x:c r="E235" s="5" t="n">
        <x:f>IF(D235&lt;=1,1,0)</x:f>
        <x:v>0</x:v>
      </x:c>
      <x:c r="F235" s="6" t="n">
        <x:f>4*SUM($E$9:E235)/A235</x:f>
        <x:v>2.9779735682819384</x:v>
      </x:c>
      <x:c r="G235" s="1"/>
      <x:c r="H235" s="1"/>
    </x:row>
    <x:row r="236" ht="22" customHeight="1">
      <x:c r="A236" s="1" t="n">
        <x:v>228</x:v>
      </x:c>
      <x:c r="B236" s="6" t="n">
        <x:f>RAND()</x:f>
        <x:v>0.36403112590611975</x:v>
      </x:c>
      <x:c r="C236" s="6" t="n">
        <x:f>RAND()</x:f>
        <x:v>0.5212231881659123</x:v>
      </x:c>
      <x:c r="D236" s="6" t="n">
        <x:f>B236^2+C236^2</x:f>
        <x:v>0.4041922725103152</x:v>
      </x:c>
      <x:c r="E236" s="5" t="n">
        <x:f>IF(D236&lt;=1,1,0)</x:f>
        <x:v>1</x:v>
      </x:c>
      <x:c r="F236" s="6" t="n">
        <x:f>4*SUM($E$9:E236)/A236</x:f>
        <x:v>2.982456140350877</x:v>
      </x:c>
      <x:c r="G236" s="1"/>
      <x:c r="H236" s="1"/>
    </x:row>
    <x:row r="237" ht="22" customHeight="1">
      <x:c r="A237" s="1" t="n">
        <x:v>229</x:v>
      </x:c>
      <x:c r="B237" s="6" t="n">
        <x:f>RAND()</x:f>
        <x:v>0.5896438726582308</x:v>
      </x:c>
      <x:c r="C237" s="6" t="n">
        <x:f>RAND()</x:f>
        <x:v>0.874274468188552</x:v>
      </x:c>
      <x:c r="D237" s="6" t="n">
        <x:f>B237^2+C237^2</x:f>
        <x:v>1.1120357422897715</x:v>
      </x:c>
      <x:c r="E237" s="5" t="n">
        <x:f>IF(D237&lt;=1,1,0)</x:f>
        <x:v>0</x:v>
      </x:c>
      <x:c r="F237" s="6" t="n">
        <x:f>4*SUM($E$9:E237)/A237</x:f>
        <x:v>2.96943231441048</x:v>
      </x:c>
      <x:c r="G237" s="1"/>
      <x:c r="H237" s="1"/>
    </x:row>
    <x:row r="238" ht="22" customHeight="1">
      <x:c r="A238" s="1" t="n">
        <x:v>230</x:v>
      </x:c>
      <x:c r="B238" s="6" t="n">
        <x:f>RAND()</x:f>
        <x:v>0.5942443390428309</x:v>
      </x:c>
      <x:c r="C238" s="6" t="n">
        <x:f>RAND()</x:f>
        <x:v>0.03275553117168406</x:v>
      </x:c>
      <x:c r="D238" s="6" t="n">
        <x:f>B238^2+C238^2</x:f>
        <x:v>0.35419925930679014</x:v>
      </x:c>
      <x:c r="E238" s="5" t="n">
        <x:f>IF(D238&lt;=1,1,0)</x:f>
        <x:v>1</x:v>
      </x:c>
      <x:c r="F238" s="6" t="n">
        <x:f>4*SUM($E$9:E238)/A238</x:f>
        <x:v>2.973913043478261</x:v>
      </x:c>
      <x:c r="G238" s="1"/>
      <x:c r="H238" s="1"/>
    </x:row>
    <x:row r="239" ht="22" customHeight="1">
      <x:c r="A239" s="1" t="n">
        <x:v>231</x:v>
      </x:c>
      <x:c r="B239" s="6" t="n">
        <x:f>RAND()</x:f>
        <x:v>0.7679995693490135</x:v>
      </x:c>
      <x:c r="C239" s="6" t="n">
        <x:f>RAND()</x:f>
        <x:v>0.12020073190100689</x:v>
      </x:c>
      <x:c r="D239" s="6" t="n">
        <x:f>B239^2+C239^2</x:f>
        <x:v>0.6042715544698078</x:v>
      </x:c>
      <x:c r="E239" s="5" t="n">
        <x:f>IF(D239&lt;=1,1,0)</x:f>
        <x:v>1</x:v>
      </x:c>
      <x:c r="F239" s="6" t="n">
        <x:f>4*SUM($E$9:E239)/A239</x:f>
        <x:v>2.9783549783549783</x:v>
      </x:c>
      <x:c r="G239" s="1"/>
      <x:c r="H239" s="1"/>
    </x:row>
    <x:row r="240" ht="22" customHeight="1">
      <x:c r="A240" s="1" t="n">
        <x:v>232</x:v>
      </x:c>
      <x:c r="B240" s="6" t="n">
        <x:f>RAND()</x:f>
        <x:v>0.7542666323880955</x:v>
      </x:c>
      <x:c r="C240" s="6" t="n">
        <x:f>RAND()</x:f>
        <x:v>0.26603161822377674</x:v>
      </x:c>
      <x:c r="D240" s="6" t="n">
        <x:f>B240^2+C240^2</x:f>
        <x:v>0.6396909746288397</x:v>
      </x:c>
      <x:c r="E240" s="5" t="n">
        <x:f>IF(D240&lt;=1,1,0)</x:f>
        <x:v>1</x:v>
      </x:c>
      <x:c r="F240" s="6" t="n">
        <x:f>4*SUM($E$9:E240)/A240</x:f>
        <x:v>2.9827586206896552</x:v>
      </x:c>
      <x:c r="G240" s="1"/>
      <x:c r="H240" s="1"/>
    </x:row>
    <x:row r="241" ht="22" customHeight="1">
      <x:c r="A241" s="1" t="n">
        <x:v>233</x:v>
      </x:c>
      <x:c r="B241" s="6" t="n">
        <x:f>RAND()</x:f>
        <x:v>0.7465796768714148</x:v>
      </x:c>
      <x:c r="C241" s="6" t="n">
        <x:f>RAND()</x:f>
        <x:v>0.5602555817056908</x:v>
      </x:c>
      <x:c r="D241" s="6" t="n">
        <x:f>B241^2+C241^2</x:f>
        <x:v>0.8712675307498081</x:v>
      </x:c>
      <x:c r="E241" s="5" t="n">
        <x:f>IF(D241&lt;=1,1,0)</x:f>
        <x:v>1</x:v>
      </x:c>
      <x:c r="F241" s="6" t="n">
        <x:f>4*SUM($E$9:E241)/A241</x:f>
        <x:v>2.9871244635193133</x:v>
      </x:c>
      <x:c r="G241" s="1"/>
      <x:c r="H241" s="1"/>
    </x:row>
    <x:row r="242" ht="22" customHeight="1">
      <x:c r="A242" s="1" t="n">
        <x:v>234</x:v>
      </x:c>
      <x:c r="B242" s="6" t="n">
        <x:f>RAND()</x:f>
        <x:v>0.4012936757790645</x:v>
      </x:c>
      <x:c r="C242" s="6" t="n">
        <x:f>RAND()</x:f>
        <x:v>0.7760899288012333</x:v>
      </x:c>
      <x:c r="D242" s="6" t="n">
        <x:f>B242^2+C242^2</x:f>
        <x:v>0.7633521918069763</x:v>
      </x:c>
      <x:c r="E242" s="5" t="n">
        <x:f>IF(D242&lt;=1,1,0)</x:f>
        <x:v>1</x:v>
      </x:c>
      <x:c r="F242" s="6" t="n">
        <x:f>4*SUM($E$9:E242)/A242</x:f>
        <x:v>2.9914529914529915</x:v>
      </x:c>
      <x:c r="G242" s="1"/>
      <x:c r="H242" s="1"/>
    </x:row>
    <x:row r="243" ht="22" customHeight="1">
      <x:c r="A243" s="1" t="n">
        <x:v>235</x:v>
      </x:c>
      <x:c r="B243" s="6" t="n">
        <x:f>RAND()</x:f>
        <x:v>0.6603089613429975</x:v>
      </x:c>
      <x:c r="C243" s="6" t="n">
        <x:f>RAND()</x:f>
        <x:v>0.13651672626499456</x:v>
      </x:c>
      <x:c r="D243" s="6" t="n">
        <x:f>B243^2+C243^2</x:f>
        <x:v>0.4546447409799797</x:v>
      </x:c>
      <x:c r="E243" s="5" t="n">
        <x:f>IF(D243&lt;=1,1,0)</x:f>
        <x:v>1</x:v>
      </x:c>
      <x:c r="F243" s="6" t="n">
        <x:f>4*SUM($E$9:E243)/A243</x:f>
        <x:v>2.9957446808510637</x:v>
      </x:c>
      <x:c r="G243" s="1"/>
      <x:c r="H243" s="1"/>
    </x:row>
    <x:row r="244" ht="22" customHeight="1">
      <x:c r="A244" s="1" t="n">
        <x:v>236</x:v>
      </x:c>
      <x:c r="B244" s="6" t="n">
        <x:f>RAND()</x:f>
        <x:v>0.42182217539093425</x:v>
      </x:c>
      <x:c r="C244" s="6" t="n">
        <x:f>RAND()</x:f>
        <x:v>0.07104687171215174</x:v>
      </x:c>
      <x:c r="D244" s="6" t="n">
        <x:f>B244^2+C244^2</x:f>
        <x:v>0.18298160563162305</x:v>
      </x:c>
      <x:c r="E244" s="5" t="n">
        <x:f>IF(D244&lt;=1,1,0)</x:f>
        <x:v>1</x:v>
      </x:c>
      <x:c r="F244" s="6" t="n">
        <x:f>4*SUM($E$9:E244)/A244</x:f>
        <x:v>3</x:v>
      </x:c>
      <x:c r="G244" s="1"/>
      <x:c r="H244" s="1"/>
    </x:row>
    <x:row r="245" ht="22" customHeight="1">
      <x:c r="A245" s="1" t="n">
        <x:v>237</x:v>
      </x:c>
      <x:c r="B245" s="6" t="n">
        <x:f>RAND()</x:f>
        <x:v>0.7813028925154623</x:v>
      </x:c>
      <x:c r="C245" s="6" t="n">
        <x:f>RAND()</x:f>
        <x:v>0.874866845909288</x:v>
      </x:c>
      <x:c r="D245" s="6" t="n">
        <x:f>B245^2+C245^2</x:f>
        <x:v>1.3758262079242938</x:v>
      </x:c>
      <x:c r="E245" s="5" t="n">
        <x:f>IF(D245&lt;=1,1,0)</x:f>
        <x:v>0</x:v>
      </x:c>
      <x:c r="F245" s="6" t="n">
        <x:f>4*SUM($E$9:E245)/A245</x:f>
        <x:v>2.9873417721518987</x:v>
      </x:c>
      <x:c r="G245" s="1"/>
      <x:c r="H245" s="1"/>
    </x:row>
    <x:row r="246" ht="22" customHeight="1">
      <x:c r="A246" s="1" t="n">
        <x:v>238</x:v>
      </x:c>
      <x:c r="B246" s="6" t="n">
        <x:f>RAND()</x:f>
        <x:v>0.6022551720259325</x:v>
      </x:c>
      <x:c r="C246" s="6" t="n">
        <x:f>RAND()</x:f>
        <x:v>0.16550021596089703</x:v>
      </x:c>
      <x:c r="D246" s="6" t="n">
        <x:f>B246^2+C246^2</x:f>
        <x:v>0.39010161371508906</x:v>
      </x:c>
      <x:c r="E246" s="5" t="n">
        <x:f>IF(D246&lt;=1,1,0)</x:f>
        <x:v>1</x:v>
      </x:c>
      <x:c r="F246" s="6" t="n">
        <x:f>4*SUM($E$9:E246)/A246</x:f>
        <x:v>2.991596638655462</x:v>
      </x:c>
      <x:c r="G246" s="1"/>
      <x:c r="H246" s="1"/>
    </x:row>
    <x:row r="247" ht="22" customHeight="1">
      <x:c r="A247" s="1" t="n">
        <x:v>239</x:v>
      </x:c>
      <x:c r="B247" s="6" t="n">
        <x:f>RAND()</x:f>
        <x:v>0.433061226587798</x:v>
      </x:c>
      <x:c r="C247" s="6" t="n">
        <x:f>RAND()</x:f>
        <x:v>0.9065024464280809</x:v>
      </x:c>
      <x:c r="D247" s="6" t="n">
        <x:f>B247^2+C247^2</x:f>
        <x:v>1.0092887113538238</x:v>
      </x:c>
      <x:c r="E247" s="5" t="n">
        <x:f>IF(D247&lt;=1,1,0)</x:f>
        <x:v>0</x:v>
      </x:c>
      <x:c r="F247" s="6" t="n">
        <x:f>4*SUM($E$9:E247)/A247</x:f>
        <x:v>2.9790794979079496</x:v>
      </x:c>
      <x:c r="G247" s="1"/>
      <x:c r="H247" s="1"/>
    </x:row>
    <x:row r="248" ht="22" customHeight="1">
      <x:c r="A248" s="1" t="n">
        <x:v>240</x:v>
      </x:c>
      <x:c r="B248" s="6" t="n">
        <x:f>RAND()</x:f>
        <x:v>0.9070698539588548</x:v>
      </x:c>
      <x:c r="C248" s="6" t="n">
        <x:f>RAND()</x:f>
        <x:v>0.4434441857169936</x:v>
      </x:c>
      <x:c r="D248" s="6" t="n">
        <x:f>B248^2+C248^2</x:f>
        <x:v>1.0194184658071457</x:v>
      </x:c>
      <x:c r="E248" s="5" t="n">
        <x:f>IF(D248&lt;=1,1,0)</x:f>
        <x:v>0</x:v>
      </x:c>
      <x:c r="F248" s="6" t="n">
        <x:f>4*SUM($E$9:E248)/A248</x:f>
        <x:v>2.966666666666667</x:v>
      </x:c>
      <x:c r="G248" s="1"/>
      <x:c r="H248" s="1"/>
    </x:row>
    <x:row r="249" ht="22" customHeight="1">
      <x:c r="A249" s="1" t="n">
        <x:v>241</x:v>
      </x:c>
      <x:c r="B249" s="6" t="n">
        <x:f>RAND()</x:f>
        <x:v>0.25913832890838717</x:v>
      </x:c>
      <x:c r="C249" s="6" t="n">
        <x:f>RAND()</x:f>
        <x:v>0.918394547320667</x:v>
      </x:c>
      <x:c r="D249" s="6" t="n">
        <x:f>B249^2+C249^2</x:f>
        <x:v>0.9106012180577644</x:v>
      </x:c>
      <x:c r="E249" s="5" t="n">
        <x:f>IF(D249&lt;=1,1,0)</x:f>
        <x:v>1</x:v>
      </x:c>
      <x:c r="F249" s="6" t="n">
        <x:f>4*SUM($E$9:E249)/A249</x:f>
        <x:v>2.970954356846473</x:v>
      </x:c>
      <x:c r="G249" s="1"/>
      <x:c r="H249" s="1"/>
    </x:row>
    <x:row r="250" ht="22" customHeight="1">
      <x:c r="A250" s="1" t="n">
        <x:v>242</x:v>
      </x:c>
      <x:c r="B250" s="6" t="n">
        <x:f>RAND()</x:f>
        <x:v>0.9436036762150632</x:v>
      </x:c>
      <x:c r="C250" s="6" t="n">
        <x:f>RAND()</x:f>
        <x:v>0.6324343362009518</x:v>
      </x:c>
      <x:c r="D250" s="6" t="n">
        <x:f>B250^2+C250^2</x:f>
        <x:v>1.2903610873725204</x:v>
      </x:c>
      <x:c r="E250" s="5" t="n">
        <x:f>IF(D250&lt;=1,1,0)</x:f>
        <x:v>0</x:v>
      </x:c>
      <x:c r="F250" s="6" t="n">
        <x:f>4*SUM($E$9:E250)/A250</x:f>
        <x:v>2.958677685950413</x:v>
      </x:c>
      <x:c r="G250" s="1"/>
      <x:c r="H250" s="1"/>
    </x:row>
    <x:row r="251" ht="22" customHeight="1">
      <x:c r="A251" s="1" t="n">
        <x:v>243</x:v>
      </x:c>
      <x:c r="B251" s="6" t="n">
        <x:f>RAND()</x:f>
        <x:v>0.8032533665339011</x:v>
      </x:c>
      <x:c r="C251" s="6" t="n">
        <x:f>RAND()</x:f>
        <x:v>0.07362490827670332</x:v>
      </x:c>
      <x:c r="D251" s="6" t="n">
        <x:f>B251^2+C251^2</x:f>
        <x:v>0.6506365979667987</x:v>
      </x:c>
      <x:c r="E251" s="5" t="n">
        <x:f>IF(D251&lt;=1,1,0)</x:f>
        <x:v>1</x:v>
      </x:c>
      <x:c r="F251" s="6" t="n">
        <x:f>4*SUM($E$9:E251)/A251</x:f>
        <x:v>2.962962962962963</x:v>
      </x:c>
      <x:c r="G251" s="1"/>
      <x:c r="H251" s="1"/>
    </x:row>
    <x:row r="252" ht="22" customHeight="1">
      <x:c r="A252" s="1" t="n">
        <x:v>244</x:v>
      </x:c>
      <x:c r="B252" s="6" t="n">
        <x:f>RAND()</x:f>
        <x:v>0.48107226396124647</x:v>
      </x:c>
      <x:c r="C252" s="6" t="n">
        <x:f>RAND()</x:f>
        <x:v>0.37467064991647603</x:v>
      </x:c>
      <x:c r="D252" s="6" t="n">
        <x:f>B252^2+C252^2</x:f>
        <x:v>0.37180861906163376</x:v>
      </x:c>
      <x:c r="E252" s="5" t="n">
        <x:f>IF(D252&lt;=1,1,0)</x:f>
        <x:v>1</x:v>
      </x:c>
      <x:c r="F252" s="6" t="n">
        <x:f>4*SUM($E$9:E252)/A252</x:f>
        <x:v>2.9672131147540983</x:v>
      </x:c>
      <x:c r="G252" s="1"/>
      <x:c r="H252" s="1"/>
    </x:row>
    <x:row r="253" ht="22" customHeight="1">
      <x:c r="A253" s="1" t="n">
        <x:v>245</x:v>
      </x:c>
      <x:c r="B253" s="6" t="n">
        <x:f>RAND()</x:f>
        <x:v>0.6143588691691814</x:v>
      </x:c>
      <x:c r="C253" s="6" t="n">
        <x:f>RAND()</x:f>
        <x:v>0.2863493617090105</x:v>
      </x:c>
      <x:c r="D253" s="6" t="n">
        <x:f>B253^2+C253^2</x:f>
        <x:v>0.459432777077993</x:v>
      </x:c>
      <x:c r="E253" s="5" t="n">
        <x:f>IF(D253&lt;=1,1,0)</x:f>
        <x:v>1</x:v>
      </x:c>
      <x:c r="F253" s="6" t="n">
        <x:f>4*SUM($E$9:E253)/A253</x:f>
        <x:v>2.9714285714285715</x:v>
      </x:c>
      <x:c r="G253" s="1"/>
      <x:c r="H253" s="1"/>
    </x:row>
    <x:row r="254" ht="22" customHeight="1">
      <x:c r="A254" s="1" t="n">
        <x:v>246</x:v>
      </x:c>
      <x:c r="B254" s="6" t="n">
        <x:f>RAND()</x:f>
        <x:v>0.06230650655122194</x:v>
      </x:c>
      <x:c r="C254" s="6" t="n">
        <x:f>RAND()</x:f>
        <x:v>0.316019426267117</x:v>
      </x:c>
      <x:c r="D254" s="6" t="n">
        <x:f>B254^2+C254^2</x:f>
        <x:v>0.10375037853681525</x:v>
      </x:c>
      <x:c r="E254" s="5" t="n">
        <x:f>IF(D254&lt;=1,1,0)</x:f>
        <x:v>1</x:v>
      </x:c>
      <x:c r="F254" s="6" t="n">
        <x:f>4*SUM($E$9:E254)/A254</x:f>
        <x:v>2.975609756097561</x:v>
      </x:c>
      <x:c r="G254" s="1"/>
      <x:c r="H254" s="1"/>
    </x:row>
    <x:row r="255" ht="22" customHeight="1">
      <x:c r="A255" s="1" t="n">
        <x:v>247</x:v>
      </x:c>
      <x:c r="B255" s="6" t="n">
        <x:f>RAND()</x:f>
        <x:v>0.5306967314361778</x:v>
      </x:c>
      <x:c r="C255" s="6" t="n">
        <x:f>RAND()</x:f>
        <x:v>0.38771148979958014</x:v>
      </x:c>
      <x:c r="D255" s="6" t="n">
        <x:f>B255^2+C255^2</x:f>
        <x:v>0.43195922007965254</x:v>
      </x:c>
      <x:c r="E255" s="5" t="n">
        <x:f>IF(D255&lt;=1,1,0)</x:f>
        <x:v>1</x:v>
      </x:c>
      <x:c r="F255" s="6" t="n">
        <x:f>4*SUM($E$9:E255)/A255</x:f>
        <x:v>2.979757085020243</x:v>
      </x:c>
      <x:c r="G255" s="1"/>
      <x:c r="H255" s="1"/>
    </x:row>
    <x:row r="256" ht="22" customHeight="1">
      <x:c r="A256" s="1" t="n">
        <x:v>248</x:v>
      </x:c>
      <x:c r="B256" s="6" t="n">
        <x:f>RAND()</x:f>
        <x:v>0.6941390434109859</x:v>
      </x:c>
      <x:c r="C256" s="6" t="n">
        <x:f>RAND()</x:f>
        <x:v>0.3544635215300894</x:v>
      </x:c>
      <x:c r="D256" s="6" t="n">
        <x:f>B256^2+C256^2</x:f>
        <x:v>0.6074733996830307</x:v>
      </x:c>
      <x:c r="E256" s="5" t="n">
        <x:f>IF(D256&lt;=1,1,0)</x:f>
        <x:v>1</x:v>
      </x:c>
      <x:c r="F256" s="6" t="n">
        <x:f>4*SUM($E$9:E256)/A256</x:f>
        <x:v>2.9838709677419355</x:v>
      </x:c>
      <x:c r="G256" s="1"/>
      <x:c r="H256" s="1"/>
    </x:row>
    <x:row r="257" ht="22" customHeight="1">
      <x:c r="A257" s="1" t="n">
        <x:v>249</x:v>
      </x:c>
      <x:c r="B257" s="6" t="n">
        <x:f>RAND()</x:f>
        <x:v>0.5162011902588187</x:v>
      </x:c>
      <x:c r="C257" s="6" t="n">
        <x:f>RAND()</x:f>
        <x:v>0.3465034394462355</x:v>
      </x:c>
      <x:c r="D257" s="6" t="n">
        <x:f>B257^2+C257^2</x:f>
        <x:v>0.38652830237269215</x:v>
      </x:c>
      <x:c r="E257" s="5" t="n">
        <x:f>IF(D257&lt;=1,1,0)</x:f>
        <x:v>1</x:v>
      </x:c>
      <x:c r="F257" s="6" t="n">
        <x:f>4*SUM($E$9:E257)/A257</x:f>
        <x:v>2.9879518072289155</x:v>
      </x:c>
      <x:c r="G257" s="1"/>
      <x:c r="H257" s="1"/>
    </x:row>
    <x:row r="258" ht="22" customHeight="1">
      <x:c r="A258" s="1" t="n">
        <x:v>250</x:v>
      </x:c>
      <x:c r="B258" s="6" t="n">
        <x:f>RAND()</x:f>
        <x:v>0.1203653524891879</x:v>
      </x:c>
      <x:c r="C258" s="6" t="n">
        <x:f>RAND()</x:f>
        <x:v>0.8738809348191875</x:v>
      </x:c>
      <x:c r="D258" s="6" t="n">
        <x:f>B258^2+C258^2</x:f>
        <x:v>0.7781557063203035</x:v>
      </x:c>
      <x:c r="E258" s="5" t="n">
        <x:f>IF(D258&lt;=1,1,0)</x:f>
        <x:v>1</x:v>
      </x:c>
      <x:c r="F258" s="6" t="n">
        <x:f>4*SUM($E$9:E258)/A258</x:f>
        <x:v>2.992</x:v>
      </x:c>
      <x:c r="G258" s="1"/>
      <x:c r="H258" s="1"/>
    </x:row>
    <x:row r="259" ht="22" customHeight="1">
      <x:c r="A259" s="1" t="n">
        <x:v>251</x:v>
      </x:c>
      <x:c r="B259" s="6" t="n">
        <x:f>RAND()</x:f>
        <x:v>0.47268613819232463</x:v>
      </x:c>
      <x:c r="C259" s="6" t="n">
        <x:f>RAND()</x:f>
        <x:v>0.256369936786504</x:v>
      </x:c>
      <x:c r="D259" s="6" t="n">
        <x:f>B259^2+C259^2</x:f>
        <x:v>0.2891577297270895</x:v>
      </x:c>
      <x:c r="E259" s="5" t="n">
        <x:f>IF(D259&lt;=1,1,0)</x:f>
        <x:v>1</x:v>
      </x:c>
      <x:c r="F259" s="6" t="n">
        <x:f>4*SUM($E$9:E259)/A259</x:f>
        <x:v>2.99601593625498</x:v>
      </x:c>
      <x:c r="G259" s="1"/>
      <x:c r="H259" s="1"/>
    </x:row>
    <x:row r="260" ht="22" customHeight="1">
      <x:c r="A260" s="1" t="n">
        <x:v>252</x:v>
      </x:c>
      <x:c r="B260" s="6" t="n">
        <x:f>RAND()</x:f>
        <x:v>0.024490862571074246</x:v>
      </x:c>
      <x:c r="C260" s="6" t="n">
        <x:f>RAND()</x:f>
        <x:v>0.8081665677025236</x:v>
      </x:c>
      <x:c r="D260" s="6" t="n">
        <x:f>B260^2+C260^2</x:f>
        <x:v>0.6537330035015528</x:v>
      </x:c>
      <x:c r="E260" s="5" t="n">
        <x:f>IF(D260&lt;=1,1,0)</x:f>
        <x:v>1</x:v>
      </x:c>
      <x:c r="F260" s="6" t="n">
        <x:f>4*SUM($E$9:E260)/A260</x:f>
        <x:v>3</x:v>
      </x:c>
      <x:c r="G260" s="1"/>
      <x:c r="H260" s="1"/>
    </x:row>
    <x:row r="261" ht="22" customHeight="1">
      <x:c r="A261" s="1" t="n">
        <x:v>253</x:v>
      </x:c>
      <x:c r="B261" s="6" t="n">
        <x:f>RAND()</x:f>
        <x:v>0.18668209361755395</x:v>
      </x:c>
      <x:c r="C261" s="6" t="n">
        <x:f>RAND()</x:f>
        <x:v>0.31328006885640836</x:v>
      </x:c>
      <x:c r="D261" s="6" t="n">
        <x:f>B261^2+C261^2</x:f>
        <x:v>0.13299460562010915</x:v>
      </x:c>
      <x:c r="E261" s="5" t="n">
        <x:f>IF(D261&lt;=1,1,0)</x:f>
        <x:v>1</x:v>
      </x:c>
      <x:c r="F261" s="6" t="n">
        <x:f>4*SUM($E$9:E261)/A261</x:f>
        <x:v>3.0039525691699605</x:v>
      </x:c>
      <x:c r="G261" s="1"/>
      <x:c r="H261" s="1"/>
    </x:row>
    <x:row r="262" ht="22" customHeight="1">
      <x:c r="A262" s="1" t="n">
        <x:v>254</x:v>
      </x:c>
      <x:c r="B262" s="6" t="n">
        <x:f>RAND()</x:f>
        <x:v>0.3269760814981816</x:v>
      </x:c>
      <x:c r="C262" s="6" t="n">
        <x:f>RAND()</x:f>
        <x:v>0.6116026188653323</x:v>
      </x:c>
      <x:c r="D262" s="6" t="n">
        <x:f>B262^2+C262^2</x:f>
        <x:v>0.4809711212748384</x:v>
      </x:c>
      <x:c r="E262" s="5" t="n">
        <x:f>IF(D262&lt;=1,1,0)</x:f>
        <x:v>1</x:v>
      </x:c>
      <x:c r="F262" s="6" t="n">
        <x:f>4*SUM($E$9:E262)/A262</x:f>
        <x:v>3.0078740157480315</x:v>
      </x:c>
      <x:c r="G262" s="1"/>
      <x:c r="H262" s="1"/>
    </x:row>
    <x:row r="263" ht="22" customHeight="1">
      <x:c r="A263" s="1" t="n">
        <x:v>255</x:v>
      </x:c>
      <x:c r="B263" s="6" t="n">
        <x:f>RAND()</x:f>
        <x:v>0.4471552061694244</x:v>
      </x:c>
      <x:c r="C263" s="6" t="n">
        <x:f>RAND()</x:f>
        <x:v>0.9049549145900729</x:v>
      </x:c>
      <x:c r="D263" s="6" t="n">
        <x:f>B263^2+C263^2</x:f>
        <x:v>1.0188911758451467</x:v>
      </x:c>
      <x:c r="E263" s="5" t="n">
        <x:f>IF(D263&lt;=1,1,0)</x:f>
        <x:v>0</x:v>
      </x:c>
      <x:c r="F263" s="6" t="n">
        <x:f>4*SUM($E$9:E263)/A263</x:f>
        <x:v>2.996078431372549</x:v>
      </x:c>
      <x:c r="G263" s="1"/>
      <x:c r="H263" s="1"/>
    </x:row>
    <x:row r="264" ht="22" customHeight="1">
      <x:c r="A264" s="1" t="n">
        <x:v>256</x:v>
      </x:c>
      <x:c r="B264" s="6" t="n">
        <x:f>RAND()</x:f>
        <x:v>0.01201863156176286</x:v>
      </x:c>
      <x:c r="C264" s="6" t="n">
        <x:f>RAND()</x:f>
        <x:v>0.5204390741483538</x:v>
      </x:c>
      <x:c r="D264" s="6" t="n">
        <x:f>B264^2+C264^2</x:f>
        <x:v>0.27100127740501306</x:v>
      </x:c>
      <x:c r="E264" s="5" t="n">
        <x:f>IF(D264&lt;=1,1,0)</x:f>
        <x:v>1</x:v>
      </x:c>
      <x:c r="F264" s="6" t="n">
        <x:f>4*SUM($E$9:E264)/A264</x:f>
        <x:v>3</x:v>
      </x:c>
      <x:c r="G264" s="1"/>
      <x:c r="H264" s="1"/>
    </x:row>
    <x:row r="265" ht="22" customHeight="1">
      <x:c r="A265" s="1" t="n">
        <x:v>257</x:v>
      </x:c>
      <x:c r="B265" s="6" t="n">
        <x:f>RAND()</x:f>
        <x:v>0.9290127064948311</x:v>
      </x:c>
      <x:c r="C265" s="6" t="n">
        <x:f>RAND()</x:f>
        <x:v>0.5253900208471799</x:v>
      </x:c>
      <x:c r="D265" s="6" t="n">
        <x:f>B265^2+C265^2</x:f>
        <x:v>1.1390992828346513</x:v>
      </x:c>
      <x:c r="E265" s="5" t="n">
        <x:f>IF(D265&lt;=1,1,0)</x:f>
        <x:v>0</x:v>
      </x:c>
      <x:c r="F265" s="6" t="n">
        <x:f>4*SUM($E$9:E265)/A265</x:f>
        <x:v>2.9883268482490273</x:v>
      </x:c>
      <x:c r="G265" s="1"/>
      <x:c r="H265" s="1"/>
    </x:row>
    <x:row r="266" ht="22" customHeight="1">
      <x:c r="A266" s="1" t="n">
        <x:v>258</x:v>
      </x:c>
      <x:c r="B266" s="6" t="n">
        <x:f>RAND()</x:f>
        <x:v>0.14468971577005885</x:v>
      </x:c>
      <x:c r="C266" s="6" t="n">
        <x:f>RAND()</x:f>
        <x:v>0.4698703117841011</x:v>
      </x:c>
      <x:c r="D266" s="6" t="n">
        <x:f>B266^2+C266^2</x:f>
        <x:v>0.24171322374570878</x:v>
      </x:c>
      <x:c r="E266" s="5" t="n">
        <x:f>IF(D266&lt;=1,1,0)</x:f>
        <x:v>1</x:v>
      </x:c>
      <x:c r="F266" s="6" t="n">
        <x:f>4*SUM($E$9:E266)/A266</x:f>
        <x:v>2.992248062015504</x:v>
      </x:c>
      <x:c r="G266" s="1"/>
      <x:c r="H266" s="1"/>
    </x:row>
    <x:row r="267" ht="22" customHeight="1">
      <x:c r="A267" s="1" t="n">
        <x:v>259</x:v>
      </x:c>
      <x:c r="B267" s="6" t="n">
        <x:f>RAND()</x:f>
        <x:v>0.1568550418096598</x:v>
      </x:c>
      <x:c r="C267" s="6" t="n">
        <x:f>RAND()</x:f>
        <x:v>0.666567203957588</x:v>
      </x:c>
      <x:c r="D267" s="6" t="n">
        <x:f>B267^2+C267^2</x:f>
        <x:v>0.4689153415329468</x:v>
      </x:c>
      <x:c r="E267" s="5" t="n">
        <x:f>IF(D267&lt;=1,1,0)</x:f>
        <x:v>1</x:v>
      </x:c>
      <x:c r="F267" s="6" t="n">
        <x:f>4*SUM($E$9:E267)/A267</x:f>
        <x:v>2.996138996138996</x:v>
      </x:c>
      <x:c r="G267" s="1"/>
      <x:c r="H267" s="1"/>
    </x:row>
    <x:row r="268" ht="22" customHeight="1">
      <x:c r="A268" s="1" t="n">
        <x:v>260</x:v>
      </x:c>
      <x:c r="B268" s="6" t="n">
        <x:f>RAND()</x:f>
        <x:v>0.5638290731382676</x:v>
      </x:c>
      <x:c r="C268" s="6" t="n">
        <x:f>RAND()</x:f>
        <x:v>0.0452000132665441</x:v>
      </x:c>
      <x:c r="D268" s="6" t="n">
        <x:f>B268^2+C268^2</x:f>
        <x:v>0.3199462649152537</x:v>
      </x:c>
      <x:c r="E268" s="5" t="n">
        <x:f>IF(D268&lt;=1,1,0)</x:f>
        <x:v>1</x:v>
      </x:c>
      <x:c r="F268" s="6" t="n">
        <x:f>4*SUM($E$9:E268)/A268</x:f>
        <x:v>3</x:v>
      </x:c>
      <x:c r="G268" s="1"/>
      <x:c r="H268" s="1"/>
    </x:row>
    <x:row r="269" ht="22" customHeight="1">
      <x:c r="A269" s="1" t="n">
        <x:v>261</x:v>
      </x:c>
      <x:c r="B269" s="6" t="n">
        <x:f>RAND()</x:f>
        <x:v>0.3366358046927064</x:v>
      </x:c>
      <x:c r="C269" s="6" t="n">
        <x:f>RAND()</x:f>
        <x:v>0.9766019171752481</x:v>
      </x:c>
      <x:c r="D269" s="6" t="n">
        <x:f>B269^2+C269^2</x:f>
        <x:v>1.067074969631476</x:v>
      </x:c>
      <x:c r="E269" s="5" t="n">
        <x:f>IF(D269&lt;=1,1,0)</x:f>
        <x:v>0</x:v>
      </x:c>
      <x:c r="F269" s="6" t="n">
        <x:f>4*SUM($E$9:E269)/A269</x:f>
        <x:v>2.9885057471264367</x:v>
      </x:c>
      <x:c r="G269" s="1"/>
      <x:c r="H269" s="1"/>
    </x:row>
    <x:row r="270" ht="22" customHeight="1">
      <x:c r="A270" s="1" t="n">
        <x:v>262</x:v>
      </x:c>
      <x:c r="B270" s="6" t="n">
        <x:f>RAND()</x:f>
        <x:v>0.07466897331051925</x:v>
      </x:c>
      <x:c r="C270" s="6" t="n">
        <x:f>RAND()</x:f>
        <x:v>0.06728732220447342</x:v>
      </x:c>
      <x:c r="D270" s="6" t="n">
        <x:f>B270^2+C270^2</x:f>
        <x:v>0.010103039304695659</x:v>
      </x:c>
      <x:c r="E270" s="5" t="n">
        <x:f>IF(D270&lt;=1,1,0)</x:f>
        <x:v>1</x:v>
      </x:c>
      <x:c r="F270" s="6" t="n">
        <x:f>4*SUM($E$9:E270)/A270</x:f>
        <x:v>2.9923664122137406</x:v>
      </x:c>
      <x:c r="G270" s="1"/>
      <x:c r="H270" s="1"/>
    </x:row>
    <x:row r="271" ht="22" customHeight="1">
      <x:c r="A271" s="1" t="n">
        <x:v>263</x:v>
      </x:c>
      <x:c r="B271" s="6" t="n">
        <x:f>RAND()</x:f>
        <x:v>0.48013597391773577</x:v>
      </x:c>
      <x:c r="C271" s="6" t="n">
        <x:f>RAND()</x:f>
        <x:v>0.8461238980674719</x:v>
      </x:c>
      <x:c r="D271" s="6" t="n">
        <x:f>B271^2+C271^2</x:f>
        <x:v>0.9464562043308262</x:v>
      </x:c>
      <x:c r="E271" s="5" t="n">
        <x:f>IF(D271&lt;=1,1,0)</x:f>
        <x:v>1</x:v>
      </x:c>
      <x:c r="F271" s="6" t="n">
        <x:f>4*SUM($E$9:E271)/A271</x:f>
        <x:v>2.9961977186311786</x:v>
      </x:c>
      <x:c r="G271" s="1"/>
      <x:c r="H271" s="1"/>
    </x:row>
    <x:row r="272" ht="22" customHeight="1">
      <x:c r="A272" s="1" t="n">
        <x:v>264</x:v>
      </x:c>
      <x:c r="B272" s="6" t="n">
        <x:f>RAND()</x:f>
        <x:v>0.6188354772129037</x:v>
      </x:c>
      <x:c r="C272" s="6" t="n">
        <x:f>RAND()</x:f>
        <x:v>0.7403901167001309</x:v>
      </x:c>
      <x:c r="D272" s="6" t="n">
        <x:f>B272^2+C272^2</x:f>
        <x:v>0.9311348727645556</x:v>
      </x:c>
      <x:c r="E272" s="5" t="n">
        <x:f>IF(D272&lt;=1,1,0)</x:f>
        <x:v>1</x:v>
      </x:c>
      <x:c r="F272" s="6" t="n">
        <x:f>4*SUM($E$9:E272)/A272</x:f>
        <x:v>3</x:v>
      </x:c>
      <x:c r="G272" s="1"/>
      <x:c r="H272" s="1"/>
    </x:row>
    <x:row r="273" ht="22" customHeight="1">
      <x:c r="A273" s="1" t="n">
        <x:v>265</x:v>
      </x:c>
      <x:c r="B273" s="6" t="n">
        <x:f>RAND()</x:f>
        <x:v>0.5218283634683177</x:v>
      </x:c>
      <x:c r="C273" s="6" t="n">
        <x:f>RAND()</x:f>
        <x:v>0.6164671954691744</x:v>
      </x:c>
      <x:c r="D273" s="6" t="n">
        <x:f>B273^2+C273^2</x:f>
        <x:v>0.652336644009652</x:v>
      </x:c>
      <x:c r="E273" s="5" t="n">
        <x:f>IF(D273&lt;=1,1,0)</x:f>
        <x:v>1</x:v>
      </x:c>
      <x:c r="F273" s="6" t="n">
        <x:f>4*SUM($E$9:E273)/A273</x:f>
        <x:v>3.0037735849056606</x:v>
      </x:c>
      <x:c r="G273" s="1"/>
      <x:c r="H273" s="1"/>
    </x:row>
    <x:row r="274" ht="22" customHeight="1">
      <x:c r="A274" s="1" t="n">
        <x:v>266</x:v>
      </x:c>
      <x:c r="B274" s="6" t="n">
        <x:f>RAND()</x:f>
        <x:v>0.2999798453187651</x:v>
      </x:c>
      <x:c r="C274" s="6" t="n">
        <x:f>RAND()</x:f>
        <x:v>0.48340936510690935</x:v>
      </x:c>
      <x:c r="D274" s="6" t="n">
        <x:f>B274^2+C274^2</x:f>
        <x:v>0.3236725218705354</x:v>
      </x:c>
      <x:c r="E274" s="5" t="n">
        <x:f>IF(D274&lt;=1,1,0)</x:f>
        <x:v>1</x:v>
      </x:c>
      <x:c r="F274" s="6" t="n">
        <x:f>4*SUM($E$9:E274)/A274</x:f>
        <x:v>3.007518796992481</x:v>
      </x:c>
      <x:c r="G274" s="1"/>
      <x:c r="H274" s="1"/>
    </x:row>
    <x:row r="275" ht="22" customHeight="1">
      <x:c r="A275" s="1" t="n">
        <x:v>267</x:v>
      </x:c>
      <x:c r="B275" s="6" t="n">
        <x:f>RAND()</x:f>
        <x:v>0.9589768361553856</x:v>
      </x:c>
      <x:c r="C275" s="6" t="n">
        <x:f>RAND()</x:f>
        <x:v>0.8647244367200889</x:v>
      </x:c>
      <x:c r="D275" s="6" t="n">
        <x:f>B275^2+C275^2</x:f>
        <x:v>1.6673849237434684</x:v>
      </x:c>
      <x:c r="E275" s="5" t="n">
        <x:f>IF(D275&lt;=1,1,0)</x:f>
        <x:v>0</x:v>
      </x:c>
      <x:c r="F275" s="6" t="n">
        <x:f>4*SUM($E$9:E275)/A275</x:f>
        <x:v>2.9962546816479403</x:v>
      </x:c>
      <x:c r="G275" s="1"/>
      <x:c r="H275" s="1"/>
    </x:row>
    <x:row r="276" ht="22" customHeight="1">
      <x:c r="A276" s="1" t="n">
        <x:v>268</x:v>
      </x:c>
      <x:c r="B276" s="6" t="n">
        <x:f>RAND()</x:f>
        <x:v>0.016504308253625477</x:v>
      </x:c>
      <x:c r="C276" s="6" t="n">
        <x:f>RAND()</x:f>
        <x:v>0.45335741965461607</x:v>
      </x:c>
      <x:c r="D276" s="6" t="n">
        <x:f>B276^2+C276^2</x:f>
        <x:v>0.20580534214682236</x:v>
      </x:c>
      <x:c r="E276" s="5" t="n">
        <x:f>IF(D276&lt;=1,1,0)</x:f>
        <x:v>1</x:v>
      </x:c>
      <x:c r="F276" s="6" t="n">
        <x:f>4*SUM($E$9:E276)/A276</x:f>
        <x:v>3</x:v>
      </x:c>
      <x:c r="G276" s="1"/>
      <x:c r="H276" s="1"/>
    </x:row>
    <x:row r="277" ht="22" customHeight="1">
      <x:c r="A277" s="1" t="n">
        <x:v>269</x:v>
      </x:c>
      <x:c r="B277" s="6" t="n">
        <x:f>RAND()</x:f>
        <x:v>0.9535793681486954</x:v>
      </x:c>
      <x:c r="C277" s="6" t="n">
        <x:f>RAND()</x:f>
        <x:v>0.5845238071377018</x:v>
      </x:c>
      <x:c r="D277" s="6" t="n">
        <x:f>B277^2+C277^2</x:f>
        <x:v>1.2509816924696184</x:v>
      </x:c>
      <x:c r="E277" s="5" t="n">
        <x:f>IF(D277&lt;=1,1,0)</x:f>
        <x:v>0</x:v>
      </x:c>
      <x:c r="F277" s="6" t="n">
        <x:f>4*SUM($E$9:E277)/A277</x:f>
        <x:v>2.9888475836431225</x:v>
      </x:c>
      <x:c r="G277" s="1"/>
      <x:c r="H277" s="1"/>
    </x:row>
    <x:row r="278" ht="22" customHeight="1">
      <x:c r="A278" s="1" t="n">
        <x:v>270</x:v>
      </x:c>
      <x:c r="B278" s="6" t="n">
        <x:f>RAND()</x:f>
        <x:v>0.1807586327060965</x:v>
      </x:c>
      <x:c r="C278" s="6" t="n">
        <x:f>RAND()</x:f>
        <x:v>0.009011831912489998</x:v>
      </x:c>
      <x:c r="D278" s="6" t="n">
        <x:f>B278^2+C278^2</x:f>
        <x:v>0.03275489641219646</x:v>
      </x:c>
      <x:c r="E278" s="5" t="n">
        <x:f>IF(D278&lt;=1,1,0)</x:f>
        <x:v>1</x:v>
      </x:c>
      <x:c r="F278" s="6" t="n">
        <x:f>4*SUM($E$9:E278)/A278</x:f>
        <x:v>2.9925925925925925</x:v>
      </x:c>
      <x:c r="G278" s="1"/>
      <x:c r="H278" s="1"/>
    </x:row>
    <x:row r="279" ht="22" customHeight="1">
      <x:c r="A279" s="1" t="n">
        <x:v>271</x:v>
      </x:c>
      <x:c r="B279" s="6" t="n">
        <x:f>RAND()</x:f>
        <x:v>0.9939675119168946</x:v>
      </x:c>
      <x:c r="C279" s="6" t="n">
        <x:f>RAND()</x:f>
        <x:v>0.4046306142984104</x:v>
      </x:c>
      <x:c r="D279" s="6" t="n">
        <x:f>B279^2+C279^2</x:f>
        <x:v>1.151697348773771</x:v>
      </x:c>
      <x:c r="E279" s="5" t="n">
        <x:f>IF(D279&lt;=1,1,0)</x:f>
        <x:v>0</x:v>
      </x:c>
      <x:c r="F279" s="6" t="n">
        <x:f>4*SUM($E$9:E279)/A279</x:f>
        <x:v>2.981549815498155</x:v>
      </x:c>
      <x:c r="G279" s="1"/>
      <x:c r="H279" s="1"/>
    </x:row>
    <x:row r="280" ht="22" customHeight="1">
      <x:c r="A280" s="1" t="n">
        <x:v>272</x:v>
      </x:c>
      <x:c r="B280" s="6" t="n">
        <x:f>RAND()</x:f>
        <x:v>0.7954075720606458</x:v>
      </x:c>
      <x:c r="C280" s="6" t="n">
        <x:f>RAND()</x:f>
        <x:v>0.21580798700856407</x:v>
      </x:c>
      <x:c r="D280" s="6" t="n">
        <x:f>B280^2+C280^2</x:f>
        <x:v>0.6792462929481</x:v>
      </x:c>
      <x:c r="E280" s="5" t="n">
        <x:f>IF(D280&lt;=1,1,0)</x:f>
        <x:v>1</x:v>
      </x:c>
      <x:c r="F280" s="6" t="n">
        <x:f>4*SUM($E$9:E280)/A280</x:f>
        <x:v>2.985294117647059</x:v>
      </x:c>
      <x:c r="G280" s="1"/>
      <x:c r="H280" s="1"/>
    </x:row>
    <x:row r="281" ht="22" customHeight="1">
      <x:c r="A281" s="1" t="n">
        <x:v>273</x:v>
      </x:c>
      <x:c r="B281" s="6" t="n">
        <x:f>RAND()</x:f>
        <x:v>0.8006669508033161</x:v>
      </x:c>
      <x:c r="C281" s="6" t="n">
        <x:f>RAND()</x:f>
        <x:v>0.7516790906261472</x:v>
      </x:c>
      <x:c r="D281" s="6" t="n">
        <x:f>B281^2+C281^2</x:f>
        <x:v>1.2060890213932316</x:v>
      </x:c>
      <x:c r="E281" s="5" t="n">
        <x:f>IF(D281&lt;=1,1,0)</x:f>
        <x:v>0</x:v>
      </x:c>
      <x:c r="F281" s="6" t="n">
        <x:f>4*SUM($E$9:E281)/A281</x:f>
        <x:v>2.9743589743589745</x:v>
      </x:c>
      <x:c r="G281" s="1"/>
      <x:c r="H281" s="1"/>
    </x:row>
    <x:row r="282" ht="22" customHeight="1">
      <x:c r="A282" s="1" t="n">
        <x:v>274</x:v>
      </x:c>
      <x:c r="B282" s="6" t="n">
        <x:f>RAND()</x:f>
        <x:v>0.6451307133279957</x:v>
      </x:c>
      <x:c r="C282" s="6" t="n">
        <x:f>RAND()</x:f>
        <x:v>0.9842787527900368</x:v>
      </x:c>
      <x:c r="D282" s="6" t="n">
        <x:f>B282^2+C282^2</x:f>
        <x:v>1.3849983004729989</x:v>
      </x:c>
      <x:c r="E282" s="5" t="n">
        <x:f>IF(D282&lt;=1,1,0)</x:f>
        <x:v>0</x:v>
      </x:c>
      <x:c r="F282" s="6" t="n">
        <x:f>4*SUM($E$9:E282)/A282</x:f>
        <x:v>2.9635036496350367</x:v>
      </x:c>
      <x:c r="G282" s="1"/>
      <x:c r="H282" s="1"/>
    </x:row>
    <x:row r="283" ht="22" customHeight="1">
      <x:c r="A283" s="1" t="n">
        <x:v>275</x:v>
      </x:c>
      <x:c r="B283" s="6" t="n">
        <x:f>RAND()</x:f>
        <x:v>0.9590249859547726</x:v>
      </x:c>
      <x:c r="C283" s="6" t="n">
        <x:f>RAND()</x:f>
        <x:v>0.21289339334760693</x:v>
      </x:c>
      <x:c r="D283" s="6" t="n">
        <x:f>B283^2+C283^2</x:f>
        <x:v>0.9650525206166107</x:v>
      </x:c>
      <x:c r="E283" s="5" t="n">
        <x:f>IF(D283&lt;=1,1,0)</x:f>
        <x:v>1</x:v>
      </x:c>
      <x:c r="F283" s="6" t="n">
        <x:f>4*SUM($E$9:E283)/A283</x:f>
        <x:v>2.9672727272727273</x:v>
      </x:c>
      <x:c r="G283" s="1"/>
      <x:c r="H283" s="1"/>
    </x:row>
    <x:row r="284" ht="22" customHeight="1">
      <x:c r="A284" s="1" t="n">
        <x:v>276</x:v>
      </x:c>
      <x:c r="B284" s="6" t="n">
        <x:f>RAND()</x:f>
        <x:v>0.7328609789804001</x:v>
      </x:c>
      <x:c r="C284" s="6" t="n">
        <x:f>RAND()</x:f>
        <x:v>0.3643026130125797</x:v>
      </x:c>
      <x:c r="D284" s="6" t="n">
        <x:f>B284^2+C284^2</x:f>
        <x:v>0.669801608359904</x:v>
      </x:c>
      <x:c r="E284" s="5" t="n">
        <x:f>IF(D284&lt;=1,1,0)</x:f>
        <x:v>1</x:v>
      </x:c>
      <x:c r="F284" s="6" t="n">
        <x:f>4*SUM($E$9:E284)/A284</x:f>
        <x:v>2.971014492753623</x:v>
      </x:c>
      <x:c r="G284" s="1"/>
      <x:c r="H284" s="1"/>
    </x:row>
    <x:row r="285" ht="22" customHeight="1">
      <x:c r="A285" s="1" t="n">
        <x:v>277</x:v>
      </x:c>
      <x:c r="B285" s="6" t="n">
        <x:f>RAND()</x:f>
        <x:v>0.8543269915598324</x:v>
      </x:c>
      <x:c r="C285" s="6" t="n">
        <x:f>RAND()</x:f>
        <x:v>0.01138442992958566</x:v>
      </x:c>
      <x:c r="D285" s="6" t="n">
        <x:f>B285^2+C285^2</x:f>
        <x:v>0.7300042137524956</x:v>
      </x:c>
      <x:c r="E285" s="5" t="n">
        <x:f>IF(D285&lt;=1,1,0)</x:f>
        <x:v>1</x:v>
      </x:c>
      <x:c r="F285" s="6" t="n">
        <x:f>4*SUM($E$9:E285)/A285</x:f>
        <x:v>2.9747292418772564</x:v>
      </x:c>
      <x:c r="G285" s="1"/>
      <x:c r="H285" s="1"/>
    </x:row>
    <x:row r="286" ht="22" customHeight="1">
      <x:c r="A286" s="1" t="n">
        <x:v>278</x:v>
      </x:c>
      <x:c r="B286" s="6" t="n">
        <x:f>RAND()</x:f>
        <x:v>0.11945173460700298</x:v>
      </x:c>
      <x:c r="C286" s="6" t="n">
        <x:f>RAND()</x:f>
        <x:v>0.4774014233999</x:v>
      </x:c>
      <x:c r="D286" s="6" t="n">
        <x:f>B286^2+C286^2</x:f>
        <x:v>0.24218083596487244</x:v>
      </x:c>
      <x:c r="E286" s="5" t="n">
        <x:f>IF(D286&lt;=1,1,0)</x:f>
        <x:v>1</x:v>
      </x:c>
      <x:c r="F286" s="6" t="n">
        <x:f>4*SUM($E$9:E286)/A286</x:f>
        <x:v>2.9784172661870505</x:v>
      </x:c>
      <x:c r="G286" s="1"/>
      <x:c r="H286" s="1"/>
    </x:row>
    <x:row r="287" ht="22" customHeight="1">
      <x:c r="A287" s="1" t="n">
        <x:v>279</x:v>
      </x:c>
      <x:c r="B287" s="6" t="n">
        <x:f>RAND()</x:f>
        <x:v>0.7696725882922827</x:v>
      </x:c>
      <x:c r="C287" s="6" t="n">
        <x:f>RAND()</x:f>
        <x:v>0.6653622488570934</x:v>
      </x:c>
      <x:c r="D287" s="6" t="n">
        <x:f>B287^2+C287^2</x:f>
        <x:v>1.0351028153727104</x:v>
      </x:c>
      <x:c r="E287" s="5" t="n">
        <x:f>IF(D287&lt;=1,1,0)</x:f>
        <x:v>0</x:v>
      </x:c>
      <x:c r="F287" s="6" t="n">
        <x:f>4*SUM($E$9:E287)/A287</x:f>
        <x:v>2.967741935483871</x:v>
      </x:c>
      <x:c r="G287" s="1"/>
      <x:c r="H287" s="1"/>
    </x:row>
    <x:row r="288" ht="22" customHeight="1">
      <x:c r="A288" s="1" t="n">
        <x:v>280</x:v>
      </x:c>
      <x:c r="B288" s="6" t="n">
        <x:f>RAND()</x:f>
        <x:v>0.49693132211313296</x:v>
      </x:c>
      <x:c r="C288" s="6" t="n">
        <x:f>RAND()</x:f>
        <x:v>0.1480429100438646</x:v>
      </x:c>
      <x:c r="D288" s="6" t="n">
        <x:f>B288^2+C288^2</x:f>
        <x:v>0.2688574421113621</x:v>
      </x:c>
      <x:c r="E288" s="5" t="n">
        <x:f>IF(D288&lt;=1,1,0)</x:f>
        <x:v>1</x:v>
      </x:c>
      <x:c r="F288" s="6" t="n">
        <x:f>4*SUM($E$9:E288)/A288</x:f>
        <x:v>2.9714285714285715</x:v>
      </x:c>
      <x:c r="G288" s="1"/>
      <x:c r="H288" s="1"/>
    </x:row>
    <x:row r="289" ht="22" customHeight="1">
      <x:c r="A289" s="1" t="n">
        <x:v>281</x:v>
      </x:c>
      <x:c r="B289" s="6" t="n">
        <x:f>RAND()</x:f>
        <x:v>0.9160458670541072</x:v>
      </x:c>
      <x:c r="C289" s="6" t="n">
        <x:f>RAND()</x:f>
        <x:v>0.6462145345466287</x:v>
      </x:c>
      <x:c r="D289" s="6" t="n">
        <x:f>B289^2+C289^2</x:f>
        <x:v>1.256733255206227</x:v>
      </x:c>
      <x:c r="E289" s="5" t="n">
        <x:f>IF(D289&lt;=1,1,0)</x:f>
        <x:v>0</x:v>
      </x:c>
      <x:c r="F289" s="6" t="n">
        <x:f>4*SUM($E$9:E289)/A289</x:f>
        <x:v>2.96085409252669</x:v>
      </x:c>
      <x:c r="G289" s="1"/>
      <x:c r="H289" s="1"/>
    </x:row>
    <x:row r="290" ht="22" customHeight="1">
      <x:c r="A290" s="1" t="n">
        <x:v>282</x:v>
      </x:c>
      <x:c r="B290" s="6" t="n">
        <x:f>RAND()</x:f>
        <x:v>0.23599069729685984</x:v>
      </x:c>
      <x:c r="C290" s="6" t="n">
        <x:f>RAND()</x:f>
        <x:v>0.7470157324488791</x:v>
      </x:c>
      <x:c r="D290" s="6" t="n">
        <x:f>B290^2+C290^2</x:f>
        <x:v>0.6137241137367935</x:v>
      </x:c>
      <x:c r="E290" s="5" t="n">
        <x:f>IF(D290&lt;=1,1,0)</x:f>
        <x:v>1</x:v>
      </x:c>
      <x:c r="F290" s="6" t="n">
        <x:f>4*SUM($E$9:E290)/A290</x:f>
        <x:v>2.9645390070921986</x:v>
      </x:c>
      <x:c r="G290" s="1"/>
      <x:c r="H290" s="1"/>
    </x:row>
    <x:row r="291" ht="22" customHeight="1">
      <x:c r="A291" s="1" t="n">
        <x:v>283</x:v>
      </x:c>
      <x:c r="B291" s="6" t="n">
        <x:f>RAND()</x:f>
        <x:v>0.14653714319634314</x:v>
      </x:c>
      <x:c r="C291" s="6" t="n">
        <x:f>RAND()</x:f>
        <x:v>0.311531523940772</x:v>
      </x:c>
      <x:c r="D291" s="6" t="n">
        <x:f>B291^2+C291^2</x:f>
        <x:v>0.11852502474500537</x:v>
      </x:c>
      <x:c r="E291" s="5" t="n">
        <x:f>IF(D291&lt;=1,1,0)</x:f>
        <x:v>1</x:v>
      </x:c>
      <x:c r="F291" s="6" t="n">
        <x:f>4*SUM($E$9:E291)/A291</x:f>
        <x:v>2.9681978798586575</x:v>
      </x:c>
      <x:c r="G291" s="1"/>
      <x:c r="H291" s="1"/>
    </x:row>
    <x:row r="292" ht="22" customHeight="1">
      <x:c r="A292" s="1" t="n">
        <x:v>284</x:v>
      </x:c>
      <x:c r="B292" s="6" t="n">
        <x:f>RAND()</x:f>
        <x:v>0.6148536164051579</x:v>
      </x:c>
      <x:c r="C292" s="6" t="n">
        <x:f>RAND()</x:f>
        <x:v>0.08036181619799787</x:v>
      </x:c>
      <x:c r="D292" s="6" t="n">
        <x:f>B292^2+C292^2</x:f>
        <x:v>0.3845029911091419</x:v>
      </x:c>
      <x:c r="E292" s="5" t="n">
        <x:f>IF(D292&lt;=1,1,0)</x:f>
        <x:v>1</x:v>
      </x:c>
      <x:c r="F292" s="6" t="n">
        <x:f>4*SUM($E$9:E292)/A292</x:f>
        <x:v>2.971830985915493</x:v>
      </x:c>
      <x:c r="G292" s="1"/>
      <x:c r="H292" s="1"/>
    </x:row>
    <x:row r="293" ht="22" customHeight="1">
      <x:c r="A293" s="1" t="n">
        <x:v>285</x:v>
      </x:c>
      <x:c r="B293" s="6" t="n">
        <x:f>RAND()</x:f>
        <x:v>0.2540867072494496</x:v>
      </x:c>
      <x:c r="C293" s="6" t="n">
        <x:f>RAND()</x:f>
        <x:v>0.9703958844524123</x:v>
      </x:c>
      <x:c r="D293" s="6" t="n">
        <x:f>B293^2+C293^2</x:f>
        <x:v>1.0062282273630472</x:v>
      </x:c>
      <x:c r="E293" s="5" t="n">
        <x:f>IF(D293&lt;=1,1,0)</x:f>
        <x:v>0</x:v>
      </x:c>
      <x:c r="F293" s="6" t="n">
        <x:f>4*SUM($E$9:E293)/A293</x:f>
        <x:v>2.9614035087719297</x:v>
      </x:c>
      <x:c r="G293" s="1"/>
      <x:c r="H293" s="1"/>
    </x:row>
    <x:row r="294" ht="22" customHeight="1">
      <x:c r="A294" s="1" t="n">
        <x:v>286</x:v>
      </x:c>
      <x:c r="B294" s="6" t="n">
        <x:f>RAND()</x:f>
        <x:v>0.50328066652459</x:v>
      </x:c>
      <x:c r="C294" s="6" t="n">
        <x:f>RAND()</x:f>
        <x:v>0.8587868974529163</x:v>
      </x:c>
      <x:c r="D294" s="6" t="n">
        <x:f>B294^2+C294^2</x:f>
        <x:v>0.9908063645342413</x:v>
      </x:c>
      <x:c r="E294" s="5" t="n">
        <x:f>IF(D294&lt;=1,1,0)</x:f>
        <x:v>1</x:v>
      </x:c>
      <x:c r="F294" s="6" t="n">
        <x:f>4*SUM($E$9:E294)/A294</x:f>
        <x:v>2.965034965034965</x:v>
      </x:c>
      <x:c r="G294" s="1"/>
      <x:c r="H294" s="1"/>
    </x:row>
    <x:row r="295" ht="22" customHeight="1">
      <x:c r="A295" s="1" t="n">
        <x:v>287</x:v>
      </x:c>
      <x:c r="B295" s="6" t="n">
        <x:f>RAND()</x:f>
        <x:v>0.816643779169294</x:v>
      </x:c>
      <x:c r="C295" s="6" t="n">
        <x:f>RAND()</x:f>
        <x:v>0.8834961545547689</x:v>
      </x:c>
      <x:c r="D295" s="6" t="n">
        <x:f>B295^2+C295^2</x:f>
        <x:v>1.4474725171689706</x:v>
      </x:c>
      <x:c r="E295" s="5" t="n">
        <x:f>IF(D295&lt;=1,1,0)</x:f>
        <x:v>0</x:v>
      </x:c>
      <x:c r="F295" s="6" t="n">
        <x:f>4*SUM($E$9:E295)/A295</x:f>
        <x:v>2.9547038327526134</x:v>
      </x:c>
      <x:c r="G295" s="1"/>
      <x:c r="H295" s="1"/>
    </x:row>
    <x:row r="296" ht="22" customHeight="1">
      <x:c r="A296" s="1" t="n">
        <x:v>288</x:v>
      </x:c>
      <x:c r="B296" s="6" t="n">
        <x:f>RAND()</x:f>
        <x:v>0.3970204994555484</x:v>
      </x:c>
      <x:c r="C296" s="6" t="n">
        <x:f>RAND()</x:f>
        <x:v>0.23370238969124446</x:v>
      </x:c>
      <x:c r="D296" s="6" t="n">
        <x:f>B296^2+C296^2</x:f>
        <x:v>0.2122420839353314</x:v>
      </x:c>
      <x:c r="E296" s="5" t="n">
        <x:f>IF(D296&lt;=1,1,0)</x:f>
        <x:v>1</x:v>
      </x:c>
      <x:c r="F296" s="6" t="n">
        <x:f>4*SUM($E$9:E296)/A296</x:f>
        <x:v>2.9583333333333335</x:v>
      </x:c>
      <x:c r="G296" s="1"/>
      <x:c r="H296" s="1"/>
    </x:row>
    <x:row r="297" ht="22" customHeight="1">
      <x:c r="A297" s="1" t="n">
        <x:v>289</x:v>
      </x:c>
      <x:c r="B297" s="6" t="n">
        <x:f>RAND()</x:f>
        <x:v>0.945491990298519</x:v>
      </x:c>
      <x:c r="C297" s="6" t="n">
        <x:f>RAND()</x:f>
        <x:v>0.6639124602923387</x:v>
      </x:c>
      <x:c r="D297" s="6" t="n">
        <x:f>B297^2+C297^2</x:f>
        <x:v>1.3347348586500811</x:v>
      </x:c>
      <x:c r="E297" s="5" t="n">
        <x:f>IF(D297&lt;=1,1,0)</x:f>
        <x:v>0</x:v>
      </x:c>
      <x:c r="F297" s="6" t="n">
        <x:f>4*SUM($E$9:E297)/A297</x:f>
        <x:v>2.9480968858131487</x:v>
      </x:c>
      <x:c r="G297" s="1"/>
      <x:c r="H297" s="1"/>
    </x:row>
    <x:row r="298" ht="22" customHeight="1">
      <x:c r="A298" s="1" t="n">
        <x:v>290</x:v>
      </x:c>
      <x:c r="B298" s="6" t="n">
        <x:f>RAND()</x:f>
        <x:v>0.5741015416671605</x:v>
      </x:c>
      <x:c r="C298" s="6" t="n">
        <x:f>RAND()</x:f>
        <x:v>0.5892126177655375</x:v>
      </x:c>
      <x:c r="D298" s="6" t="n">
        <x:f>B298^2+C298^2</x:f>
        <x:v>0.6767640890787279</x:v>
      </x:c>
      <x:c r="E298" s="5" t="n">
        <x:f>IF(D298&lt;=1,1,0)</x:f>
        <x:v>1</x:v>
      </x:c>
      <x:c r="F298" s="6" t="n">
        <x:f>4*SUM($E$9:E298)/A298</x:f>
        <x:v>2.9517241379310346</x:v>
      </x:c>
      <x:c r="G298" s="1"/>
      <x:c r="H298" s="1"/>
    </x:row>
    <x:row r="299" ht="22" customHeight="1">
      <x:c r="A299" s="1" t="n">
        <x:v>291</x:v>
      </x:c>
      <x:c r="B299" s="6" t="n">
        <x:f>RAND()</x:f>
        <x:v>0.09732498078070329</x:v>
      </x:c>
      <x:c r="C299" s="6" t="n">
        <x:f>RAND()</x:f>
        <x:v>0.9313663692785832</x:v>
      </x:c>
      <x:c r="D299" s="6" t="n">
        <x:f>B299^2+C299^2</x:f>
        <x:v>0.8769154657071344</x:v>
      </x:c>
      <x:c r="E299" s="5" t="n">
        <x:f>IF(D299&lt;=1,1,0)</x:f>
        <x:v>1</x:v>
      </x:c>
      <x:c r="F299" s="6" t="n">
        <x:f>4*SUM($E$9:E299)/A299</x:f>
        <x:v>2.9553264604811</x:v>
      </x:c>
      <x:c r="G299" s="1"/>
      <x:c r="H299" s="1"/>
    </x:row>
    <x:row r="300" ht="22" customHeight="1">
      <x:c r="A300" s="1" t="n">
        <x:v>292</x:v>
      </x:c>
      <x:c r="B300" s="6" t="n">
        <x:f>RAND()</x:f>
        <x:v>0.4504969743283207</x:v>
      </x:c>
      <x:c r="C300" s="6" t="n">
        <x:f>RAND()</x:f>
        <x:v>0.3239592089438533</x:v>
      </x:c>
      <x:c r="D300" s="6" t="n">
        <x:f>B300^2+C300^2</x:f>
        <x:v>0.3078970929384989</x:v>
      </x:c>
      <x:c r="E300" s="5" t="n">
        <x:f>IF(D300&lt;=1,1,0)</x:f>
        <x:v>1</x:v>
      </x:c>
      <x:c r="F300" s="6" t="n">
        <x:f>4*SUM($E$9:E300)/A300</x:f>
        <x:v>2.958904109589041</x:v>
      </x:c>
      <x:c r="G300" s="1"/>
      <x:c r="H300" s="1"/>
    </x:row>
    <x:row r="301" ht="22" customHeight="1">
      <x:c r="A301" s="1" t="n">
        <x:v>293</x:v>
      </x:c>
      <x:c r="B301" s="6" t="n">
        <x:f>RAND()</x:f>
        <x:v>0.23962987814828118</x:v>
      </x:c>
      <x:c r="C301" s="6" t="n">
        <x:f>RAND()</x:f>
        <x:v>0.3769303633747144</x:v>
      </x:c>
      <x:c r="D301" s="6" t="n">
        <x:f>B301^2+C301^2</x:f>
        <x:v>0.19949897733515434</x:v>
      </x:c>
      <x:c r="E301" s="5" t="n">
        <x:f>IF(D301&lt;=1,1,0)</x:f>
        <x:v>1</x:v>
      </x:c>
      <x:c r="F301" s="6" t="n">
        <x:f>4*SUM($E$9:E301)/A301</x:f>
        <x:v>2.962457337883959</x:v>
      </x:c>
      <x:c r="G301" s="1"/>
      <x:c r="H301" s="1"/>
    </x:row>
    <x:row r="302" ht="22" customHeight="1">
      <x:c r="A302" s="1" t="n">
        <x:v>294</x:v>
      </x:c>
      <x:c r="B302" s="6" t="n">
        <x:f>RAND()</x:f>
        <x:v>0.5429853006059702</x:v>
      </x:c>
      <x:c r="C302" s="6" t="n">
        <x:f>RAND()</x:f>
        <x:v>0.8020588337319081</x:v>
      </x:c>
      <x:c r="D302" s="6" t="n">
        <x:f>B302^2+C302^2</x:f>
        <x:v>0.9381314094415445</x:v>
      </x:c>
      <x:c r="E302" s="5" t="n">
        <x:f>IF(D302&lt;=1,1,0)</x:f>
        <x:v>1</x:v>
      </x:c>
      <x:c r="F302" s="6" t="n">
        <x:f>4*SUM($E$9:E302)/A302</x:f>
        <x:v>2.9659863945578233</x:v>
      </x:c>
      <x:c r="G302" s="1"/>
      <x:c r="H302" s="1"/>
    </x:row>
    <x:row r="303" ht="22" customHeight="1">
      <x:c r="A303" s="1" t="n">
        <x:v>295</x:v>
      </x:c>
      <x:c r="B303" s="6" t="n">
        <x:f>RAND()</x:f>
        <x:v>0.4327777813160385</x:v>
      </x:c>
      <x:c r="C303" s="6" t="n">
        <x:f>RAND()</x:f>
        <x:v>0.04250891947720414</x:v>
      </x:c>
      <x:c r="D303" s="6" t="n">
        <x:f>B303^2+C303^2</x:f>
        <x:v>0.18910361623595226</x:v>
      </x:c>
      <x:c r="E303" s="5" t="n">
        <x:f>IF(D303&lt;=1,1,0)</x:f>
        <x:v>1</x:v>
      </x:c>
      <x:c r="F303" s="6" t="n">
        <x:f>4*SUM($E$9:E303)/A303</x:f>
        <x:v>2.9694915254237286</x:v>
      </x:c>
      <x:c r="G303" s="1"/>
      <x:c r="H303" s="1"/>
    </x:row>
    <x:row r="304" ht="22" customHeight="1">
      <x:c r="A304" s="1" t="n">
        <x:v>296</x:v>
      </x:c>
      <x:c r="B304" s="6" t="n">
        <x:f>RAND()</x:f>
        <x:v>0.7305859174462388</x:v>
      </x:c>
      <x:c r="C304" s="6" t="n">
        <x:f>RAND()</x:f>
        <x:v>0.0429522603297835</x:v>
      </x:c>
      <x:c r="D304" s="6" t="n">
        <x:f>B304^2+C304^2</x:f>
        <x:v>0.5356006794381999</x:v>
      </x:c>
      <x:c r="E304" s="5" t="n">
        <x:f>IF(D304&lt;=1,1,0)</x:f>
        <x:v>1</x:v>
      </x:c>
      <x:c r="F304" s="6" t="n">
        <x:f>4*SUM($E$9:E304)/A304</x:f>
        <x:v>2.972972972972973</x:v>
      </x:c>
      <x:c r="G304" s="1"/>
      <x:c r="H304" s="1"/>
    </x:row>
    <x:row r="305" ht="22" customHeight="1">
      <x:c r="A305" s="1" t="n">
        <x:v>297</x:v>
      </x:c>
      <x:c r="B305" s="6" t="n">
        <x:f>RAND()</x:f>
        <x:v>0.28397668848829927</x:v>
      </x:c>
      <x:c r="C305" s="6" t="n">
        <x:f>RAND()</x:f>
        <x:v>0.9887283739248373</x:v>
      </x:c>
      <x:c r="D305" s="6" t="n">
        <x:f>B305^2+C305^2</x:f>
        <x:v>1.0582265570088334</x:v>
      </x:c>
      <x:c r="E305" s="5" t="n">
        <x:f>IF(D305&lt;=1,1,0)</x:f>
        <x:v>0</x:v>
      </x:c>
      <x:c r="F305" s="6" t="n">
        <x:f>4*SUM($E$9:E305)/A305</x:f>
        <x:v>2.962962962962963</x:v>
      </x:c>
      <x:c r="G305" s="1"/>
      <x:c r="H305" s="1"/>
    </x:row>
    <x:row r="306" ht="22" customHeight="1">
      <x:c r="A306" s="1" t="n">
        <x:v>298</x:v>
      </x:c>
      <x:c r="B306" s="6" t="n">
        <x:f>RAND()</x:f>
        <x:v>0.04221019120072944</x:v>
      </x:c>
      <x:c r="C306" s="6" t="n">
        <x:f>RAND()</x:f>
        <x:v>0.022027367000035603</x:v>
      </x:c>
      <x:c r="D306" s="6" t="n">
        <x:f>B306^2+C306^2</x:f>
        <x:v>0.0022669051381563944</x:v>
      </x:c>
      <x:c r="E306" s="5" t="n">
        <x:f>IF(D306&lt;=1,1,0)</x:f>
        <x:v>1</x:v>
      </x:c>
      <x:c r="F306" s="6" t="n">
        <x:f>4*SUM($E$9:E306)/A306</x:f>
        <x:v>2.966442953020134</x:v>
      </x:c>
      <x:c r="G306" s="1"/>
      <x:c r="H306" s="1"/>
    </x:row>
    <x:row r="307" ht="22" customHeight="1">
      <x:c r="A307" s="1" t="n">
        <x:v>299</x:v>
      </x:c>
      <x:c r="B307" s="6" t="n">
        <x:f>RAND()</x:f>
        <x:v>0.1184485038966091</x:v>
      </x:c>
      <x:c r="C307" s="6" t="n">
        <x:f>RAND()</x:f>
        <x:v>0.9668762592847306</x:v>
      </x:c>
      <x:c r="D307" s="6" t="n">
        <x:f>B307^2+C307^2</x:f>
        <x:v>0.9488797488437787</x:v>
      </x:c>
      <x:c r="E307" s="5" t="n">
        <x:f>IF(D307&lt;=1,1,0)</x:f>
        <x:v>1</x:v>
      </x:c>
      <x:c r="F307" s="6" t="n">
        <x:f>4*SUM($E$9:E307)/A307</x:f>
        <x:v>2.9698996655518393</x:v>
      </x:c>
      <x:c r="G307" s="1"/>
      <x:c r="H307" s="1"/>
    </x:row>
    <x:row r="308" ht="22" customHeight="1">
      <x:c r="A308" s="1" t="n">
        <x:v>300</x:v>
      </x:c>
      <x:c r="B308" s="6" t="n">
        <x:f>RAND()</x:f>
        <x:v>0.6467169878758178</x:v>
      </x:c>
      <x:c r="C308" s="6" t="n">
        <x:f>RAND()</x:f>
        <x:v>0.1337210462401014</x:v>
      </x:c>
      <x:c r="D308" s="6" t="n">
        <x:f>B308^2+C308^2</x:f>
        <x:v>0.43612418061471797</x:v>
      </x:c>
      <x:c r="E308" s="5" t="n">
        <x:f>IF(D308&lt;=1,1,0)</x:f>
        <x:v>1</x:v>
      </x:c>
      <x:c r="F308" s="6" t="n">
        <x:f>4*SUM($E$9:E308)/A308</x:f>
        <x:v>2.973333333333333</x:v>
      </x:c>
      <x:c r="G308" s="1"/>
      <x:c r="H308" s="1"/>
    </x:row>
    <x:row r="309" ht="22" customHeight="1">
      <x:c r="A309" s="1" t="n">
        <x:v>301</x:v>
      </x:c>
      <x:c r="B309" s="6" t="n">
        <x:f>RAND()</x:f>
        <x:v>0.14217181681608027</x:v>
      </x:c>
      <x:c r="C309" s="6" t="n">
        <x:f>RAND()</x:f>
        <x:v>0.7044884795460425</x:v>
      </x:c>
      <x:c r="D309" s="6" t="n">
        <x:f>B309^2+C309^2</x:f>
        <x:v>0.5165168433098799</x:v>
      </x:c>
      <x:c r="E309" s="5" t="n">
        <x:f>IF(D309&lt;=1,1,0)</x:f>
        <x:v>1</x:v>
      </x:c>
      <x:c r="F309" s="6" t="n">
        <x:f>4*SUM($E$9:E309)/A309</x:f>
        <x:v>2.9767441860465116</x:v>
      </x:c>
      <x:c r="G309" s="1"/>
      <x:c r="H309" s="1"/>
    </x:row>
    <x:row r="310" ht="22" customHeight="1">
      <x:c r="A310" s="1" t="n">
        <x:v>302</x:v>
      </x:c>
      <x:c r="B310" s="6" t="n">
        <x:f>RAND()</x:f>
        <x:v>0.7252925827934451</x:v>
      </x:c>
      <x:c r="C310" s="6" t="n">
        <x:f>RAND()</x:f>
        <x:v>0.23086908037595</x:v>
      </x:c>
      <x:c r="D310" s="6" t="n">
        <x:f>B310^2+C310^2</x:f>
        <x:v>0.5793498629288233</x:v>
      </x:c>
      <x:c r="E310" s="5" t="n">
        <x:f>IF(D310&lt;=1,1,0)</x:f>
        <x:v>1</x:v>
      </x:c>
      <x:c r="F310" s="6" t="n">
        <x:f>4*SUM($E$9:E310)/A310</x:f>
        <x:v>2.980132450331126</x:v>
      </x:c>
      <x:c r="G310" s="1"/>
      <x:c r="H310" s="1"/>
    </x:row>
    <x:row r="311" ht="22" customHeight="1">
      <x:c r="A311" s="1" t="n">
        <x:v>303</x:v>
      </x:c>
      <x:c r="B311" s="6" t="n">
        <x:f>RAND()</x:f>
        <x:v>0.48243021648921025</x:v>
      </x:c>
      <x:c r="C311" s="6" t="n">
        <x:f>RAND()</x:f>
        <x:v>0.0664388321323871</x:v>
      </x:c>
      <x:c r="D311" s="6" t="n">
        <x:f>B311^2+C311^2</x:f>
        <x:v>0.23715303219694178</x:v>
      </x:c>
      <x:c r="E311" s="5" t="n">
        <x:f>IF(D311&lt;=1,1,0)</x:f>
        <x:v>1</x:v>
      </x:c>
      <x:c r="F311" s="6" t="n">
        <x:f>4*SUM($E$9:E311)/A311</x:f>
        <x:v>2.9834983498349836</x:v>
      </x:c>
      <x:c r="G311" s="1"/>
      <x:c r="H311" s="1"/>
    </x:row>
    <x:row r="312" ht="22" customHeight="1">
      <x:c r="A312" s="1" t="n">
        <x:v>304</x:v>
      </x:c>
      <x:c r="B312" s="6" t="n">
        <x:f>RAND()</x:f>
        <x:v>0.23426965693128</x:v>
      </x:c>
      <x:c r="C312" s="6" t="n">
        <x:f>RAND()</x:f>
        <x:v>0.6277867007548706</x:v>
      </x:c>
      <x:c r="D312" s="6" t="n">
        <x:f>B312^2+C312^2</x:f>
        <x:v>0.4489984138033851</x:v>
      </x:c>
      <x:c r="E312" s="5" t="n">
        <x:f>IF(D312&lt;=1,1,0)</x:f>
        <x:v>1</x:v>
      </x:c>
      <x:c r="F312" s="6" t="n">
        <x:f>4*SUM($E$9:E312)/A312</x:f>
        <x:v>2.986842105263158</x:v>
      </x:c>
      <x:c r="G312" s="1"/>
      <x:c r="H312" s="1"/>
    </x:row>
    <x:row r="313" ht="22" customHeight="1">
      <x:c r="A313" s="1" t="n">
        <x:v>305</x:v>
      </x:c>
      <x:c r="B313" s="6" t="n">
        <x:f>RAND()</x:f>
        <x:v>0.7886908439255692</x:v>
      </x:c>
      <x:c r="C313" s="6" t="n">
        <x:f>RAND()</x:f>
        <x:v>0.6822291351702506</x:v>
      </x:c>
      <x:c r="D313" s="6" t="n">
        <x:f>B313^2+C313^2</x:f>
        <x:v>1.0874698401671747</x:v>
      </x:c>
      <x:c r="E313" s="5" t="n">
        <x:f>IF(D313&lt;=1,1,0)</x:f>
        <x:v>0</x:v>
      </x:c>
      <x:c r="F313" s="6" t="n">
        <x:f>4*SUM($E$9:E313)/A313</x:f>
        <x:v>2.9770491803278687</x:v>
      </x:c>
      <x:c r="G313" s="1"/>
      <x:c r="H313" s="1"/>
    </x:row>
    <x:row r="314" ht="22" customHeight="1">
      <x:c r="A314" s="1" t="n">
        <x:v>306</x:v>
      </x:c>
      <x:c r="B314" s="6" t="n">
        <x:f>RAND()</x:f>
        <x:v>0.00684432988335304</x:v>
      </x:c>
      <x:c r="C314" s="6" t="n">
        <x:f>RAND()</x:f>
        <x:v>0.2827576282516534</x:v>
      </x:c>
      <x:c r="D314" s="6" t="n">
        <x:f>B314^2+C314^2</x:f>
        <x:v>0.07999872118605239</x:v>
      </x:c>
      <x:c r="E314" s="5" t="n">
        <x:f>IF(D314&lt;=1,1,0)</x:f>
        <x:v>1</x:v>
      </x:c>
      <x:c r="F314" s="6" t="n">
        <x:f>4*SUM($E$9:E314)/A314</x:f>
        <x:v>2.980392156862745</x:v>
      </x:c>
      <x:c r="G314" s="1"/>
      <x:c r="H314" s="1"/>
    </x:row>
    <x:row r="315" ht="22" customHeight="1">
      <x:c r="A315" s="1" t="n">
        <x:v>307</x:v>
      </x:c>
      <x:c r="B315" s="6" t="n">
        <x:f>RAND()</x:f>
        <x:v>0.8468132696191679</x:v>
      </x:c>
      <x:c r="C315" s="6" t="n">
        <x:f>RAND()</x:f>
        <x:v>0.8213746859398159</x:v>
      </x:c>
      <x:c r="D315" s="6" t="n">
        <x:f>B315^2+C315^2</x:f>
        <x:v>1.3917490883058368</x:v>
      </x:c>
      <x:c r="E315" s="5" t="n">
        <x:f>IF(D315&lt;=1,1,0)</x:f>
        <x:v>0</x:v>
      </x:c>
      <x:c r="F315" s="6" t="n">
        <x:f>4*SUM($E$9:E315)/A315</x:f>
        <x:v>2.970684039087948</x:v>
      </x:c>
      <x:c r="G315" s="1"/>
      <x:c r="H315" s="1"/>
    </x:row>
    <x:row r="316" ht="22" customHeight="1">
      <x:c r="A316" s="1" t="n">
        <x:v>308</x:v>
      </x:c>
      <x:c r="B316" s="6" t="n">
        <x:f>RAND()</x:f>
        <x:v>0.4795934484790948</x:v>
      </x:c>
      <x:c r="C316" s="6" t="n">
        <x:f>RAND()</x:f>
        <x:v>0.8043758149305584</x:v>
      </x:c>
      <x:c r="D316" s="6" t="n">
        <x:f>B316^2+C316^2</x:f>
        <x:v>0.8770303274692701</x:v>
      </x:c>
      <x:c r="E316" s="5" t="n">
        <x:f>IF(D316&lt;=1,1,0)</x:f>
        <x:v>1</x:v>
      </x:c>
      <x:c r="F316" s="6" t="n">
        <x:f>4*SUM($E$9:E316)/A316</x:f>
        <x:v>2.9740259740259742</x:v>
      </x:c>
      <x:c r="G316" s="1"/>
      <x:c r="H316" s="1"/>
    </x:row>
    <x:row r="317" ht="22" customHeight="1">
      <x:c r="A317" s="1" t="n">
        <x:v>309</x:v>
      </x:c>
      <x:c r="B317" s="6" t="n">
        <x:f>RAND()</x:f>
        <x:v>0.8124805059411776</x:v>
      </x:c>
      <x:c r="C317" s="6" t="n">
        <x:f>RAND()</x:f>
        <x:v>0.5345396449606318</x:v>
      </x:c>
      <x:c r="D317" s="6" t="n">
        <x:f>B317^2+C317^2</x:f>
        <x:v>0.9458572045690702</x:v>
      </x:c>
      <x:c r="E317" s="5" t="n">
        <x:f>IF(D317&lt;=1,1,0)</x:f>
        <x:v>1</x:v>
      </x:c>
      <x:c r="F317" s="6" t="n">
        <x:f>4*SUM($E$9:E317)/A317</x:f>
        <x:v>2.9773462783171523</x:v>
      </x:c>
      <x:c r="G317" s="1"/>
      <x:c r="H317" s="1"/>
    </x:row>
    <x:row r="318" ht="22" customHeight="1">
      <x:c r="A318" s="1" t="n">
        <x:v>310</x:v>
      </x:c>
      <x:c r="B318" s="6" t="n">
        <x:f>RAND()</x:f>
        <x:v>0.9755900795158338</x:v>
      </x:c>
      <x:c r="C318" s="6" t="n">
        <x:f>RAND()</x:f>
        <x:v>0.430120482596144</x:v>
      </x:c>
      <x:c r="D318" s="6" t="n">
        <x:f>B318^2+C318^2</x:f>
        <x:v>1.1367796327984507</x:v>
      </x:c>
      <x:c r="E318" s="5" t="n">
        <x:f>IF(D318&lt;=1,1,0)</x:f>
        <x:v>0</x:v>
      </x:c>
      <x:c r="F318" s="6" t="n">
        <x:f>4*SUM($E$9:E318)/A318</x:f>
        <x:v>2.967741935483871</x:v>
      </x:c>
      <x:c r="G318" s="1"/>
      <x:c r="H318" s="1"/>
    </x:row>
    <x:row r="319" ht="22" customHeight="1">
      <x:c r="A319" s="1" t="n">
        <x:v>311</x:v>
      </x:c>
      <x:c r="B319" s="6" t="n">
        <x:f>RAND()</x:f>
        <x:v>0.9061935470092687</x:v>
      </x:c>
      <x:c r="C319" s="6" t="n">
        <x:f>RAND()</x:f>
        <x:v>0.8959243803895219</x:v>
      </x:c>
      <x:c r="D319" s="6" t="n">
        <x:f>B319^2+C319^2</x:f>
        <x:v>1.6238672400175884</x:v>
      </x:c>
      <x:c r="E319" s="5" t="n">
        <x:f>IF(D319&lt;=1,1,0)</x:f>
        <x:v>0</x:v>
      </x:c>
      <x:c r="F319" s="6" t="n">
        <x:f>4*SUM($E$9:E319)/A319</x:f>
        <x:v>2.9581993569131835</x:v>
      </x:c>
      <x:c r="G319" s="1"/>
      <x:c r="H319" s="1"/>
    </x:row>
    <x:row r="320" ht="22" customHeight="1">
      <x:c r="A320" s="1" t="n">
        <x:v>312</x:v>
      </x:c>
      <x:c r="B320" s="6" t="n">
        <x:f>RAND()</x:f>
        <x:v>0.338401475933068</x:v>
      </x:c>
      <x:c r="C320" s="6" t="n">
        <x:f>RAND()</x:f>
        <x:v>0.45188865080960805</x:v>
      </x:c>
      <x:c r="D320" s="6" t="n">
        <x:f>B320^2+C320^2</x:f>
        <x:v>0.3187189116442067</x:v>
      </x:c>
      <x:c r="E320" s="5" t="n">
        <x:f>IF(D320&lt;=1,1,0)</x:f>
        <x:v>1</x:v>
      </x:c>
      <x:c r="F320" s="6" t="n">
        <x:f>4*SUM($E$9:E320)/A320</x:f>
        <x:v>2.9615384615384617</x:v>
      </x:c>
      <x:c r="G320" s="1"/>
      <x:c r="H320" s="1"/>
    </x:row>
    <x:row r="321" ht="22" customHeight="1">
      <x:c r="A321" s="1" t="n">
        <x:v>313</x:v>
      </x:c>
      <x:c r="B321" s="6" t="n">
        <x:f>RAND()</x:f>
        <x:v>0.8955316246976834</x:v>
      </x:c>
      <x:c r="C321" s="6" t="n">
        <x:f>RAND()</x:f>
        <x:v>0.014813850237106796</x:v>
      </x:c>
      <x:c r="D321" s="6" t="n">
        <x:f>B321^2+C321^2</x:f>
        <x:v>0.8021963409925199</x:v>
      </x:c>
      <x:c r="E321" s="5" t="n">
        <x:f>IF(D321&lt;=1,1,0)</x:f>
        <x:v>1</x:v>
      </x:c>
      <x:c r="F321" s="6" t="n">
        <x:f>4*SUM($E$9:E321)/A321</x:f>
        <x:v>2.9648562300319488</x:v>
      </x:c>
      <x:c r="G321" s="1"/>
      <x:c r="H321" s="1"/>
    </x:row>
    <x:row r="322" ht="22" customHeight="1">
      <x:c r="A322" s="1" t="n">
        <x:v>314</x:v>
      </x:c>
      <x:c r="B322" s="6" t="n">
        <x:f>RAND()</x:f>
        <x:v>0.7430419142998897</x:v>
      </x:c>
      <x:c r="C322" s="6" t="n">
        <x:f>RAND()</x:f>
        <x:v>0.18092186175194358</x:v>
      </x:c>
      <x:c r="D322" s="6" t="n">
        <x:f>B322^2+C322^2</x:f>
        <x:v>0.5848440064662341</x:v>
      </x:c>
      <x:c r="E322" s="5" t="n">
        <x:f>IF(D322&lt;=1,1,0)</x:f>
        <x:v>1</x:v>
      </x:c>
      <x:c r="F322" s="6" t="n">
        <x:f>4*SUM($E$9:E322)/A322</x:f>
        <x:v>2.968152866242038</x:v>
      </x:c>
      <x:c r="G322" s="1"/>
      <x:c r="H322" s="1"/>
    </x:row>
    <x:row r="323" ht="22" customHeight="1">
      <x:c r="A323" s="1" t="n">
        <x:v>315</x:v>
      </x:c>
      <x:c r="B323" s="6" t="n">
        <x:f>RAND()</x:f>
        <x:v>0.3094847050327876</x:v>
      </x:c>
      <x:c r="C323" s="6" t="n">
        <x:f>RAND()</x:f>
        <x:v>0.5834670011911515</x:v>
      </x:c>
      <x:c r="D323" s="6" t="n">
        <x:f>B323^2+C323^2</x:f>
        <x:v>0.4362145241282267</x:v>
      </x:c>
      <x:c r="E323" s="5" t="n">
        <x:f>IF(D323&lt;=1,1,0)</x:f>
        <x:v>1</x:v>
      </x:c>
      <x:c r="F323" s="6" t="n">
        <x:f>4*SUM($E$9:E323)/A323</x:f>
        <x:v>2.9714285714285715</x:v>
      </x:c>
      <x:c r="G323" s="1"/>
      <x:c r="H323" s="1"/>
    </x:row>
    <x:row r="324" ht="22" customHeight="1">
      <x:c r="A324" s="1" t="n">
        <x:v>316</x:v>
      </x:c>
      <x:c r="B324" s="6" t="n">
        <x:f>RAND()</x:f>
        <x:v>0.8397537528617487</x:v>
      </x:c>
      <x:c r="C324" s="6" t="n">
        <x:f>RAND()</x:f>
        <x:v>0.44196751085272323</x:v>
      </x:c>
      <x:c r="D324" s="6" t="n">
        <x:f>B324^2+C324^2</x:f>
        <x:v>0.900521646094743</x:v>
      </x:c>
      <x:c r="E324" s="5" t="n">
        <x:f>IF(D324&lt;=1,1,0)</x:f>
        <x:v>1</x:v>
      </x:c>
      <x:c r="F324" s="6" t="n">
        <x:f>4*SUM($E$9:E324)/A324</x:f>
        <x:v>2.9746835443037973</x:v>
      </x:c>
      <x:c r="G324" s="1"/>
      <x:c r="H324" s="1"/>
    </x:row>
    <x:row r="325" ht="22" customHeight="1">
      <x:c r="A325" s="1" t="n">
        <x:v>317</x:v>
      </x:c>
      <x:c r="B325" s="6" t="n">
        <x:f>RAND()</x:f>
        <x:v>0.5828836201278442</x:v>
      </x:c>
      <x:c r="C325" s="6" t="n">
        <x:f>RAND()</x:f>
        <x:v>0.4898633479402371</x:v>
      </x:c>
      <x:c r="D325" s="6" t="n">
        <x:f>B325^2+C325^2</x:f>
        <x:v>0.5797194142685589</x:v>
      </x:c>
      <x:c r="E325" s="5" t="n">
        <x:f>IF(D325&lt;=1,1,0)</x:f>
        <x:v>1</x:v>
      </x:c>
      <x:c r="F325" s="6" t="n">
        <x:f>4*SUM($E$9:E325)/A325</x:f>
        <x:v>2.9779179810725553</x:v>
      </x:c>
      <x:c r="G325" s="1"/>
      <x:c r="H325" s="1"/>
    </x:row>
    <x:row r="326" ht="22" customHeight="1">
      <x:c r="A326" s="1" t="n">
        <x:v>318</x:v>
      </x:c>
      <x:c r="B326" s="6" t="n">
        <x:f>RAND()</x:f>
        <x:v>0.8650092133925187</x:v>
      </x:c>
      <x:c r="C326" s="6" t="n">
        <x:f>RAND()</x:f>
        <x:v>0.4234819172407852</x:v>
      </x:c>
      <x:c r="D326" s="6" t="n">
        <x:f>B326^2+C326^2</x:f>
        <x:v>0.9275778734838752</x:v>
      </x:c>
      <x:c r="E326" s="5" t="n">
        <x:f>IF(D326&lt;=1,1,0)</x:f>
        <x:v>1</x:v>
      </x:c>
      <x:c r="F326" s="6" t="n">
        <x:f>4*SUM($E$9:E326)/A326</x:f>
        <x:v>2.981132075471698</x:v>
      </x:c>
      <x:c r="G326" s="1"/>
      <x:c r="H326" s="1"/>
    </x:row>
    <x:row r="327" ht="22" customHeight="1">
      <x:c r="A327" s="1" t="n">
        <x:v>319</x:v>
      </x:c>
      <x:c r="B327" s="6" t="n">
        <x:f>RAND()</x:f>
        <x:v>0.7152470378246634</x:v>
      </x:c>
      <x:c r="C327" s="6" t="n">
        <x:f>RAND()</x:f>
        <x:v>0.8845219877607948</x:v>
      </x:c>
      <x:c r="D327" s="6" t="n">
        <x:f>B327^2+C327^2</x:f>
        <x:v>1.293957471949263</x:v>
      </x:c>
      <x:c r="E327" s="5" t="n">
        <x:f>IF(D327&lt;=1,1,0)</x:f>
        <x:v>0</x:v>
      </x:c>
      <x:c r="F327" s="6" t="n">
        <x:f>4*SUM($E$9:E327)/A327</x:f>
        <x:v>2.9717868338557993</x:v>
      </x:c>
      <x:c r="G327" s="1"/>
      <x:c r="H327" s="1"/>
    </x:row>
    <x:row r="328" ht="22" customHeight="1">
      <x:c r="A328" s="1" t="n">
        <x:v>320</x:v>
      </x:c>
      <x:c r="B328" s="6" t="n">
        <x:f>RAND()</x:f>
        <x:v>0.3166037818423246</x:v>
      </x:c>
      <x:c r="C328" s="6" t="n">
        <x:f>RAND()</x:f>
        <x:v>0.14179534799780658</x:v>
      </x:c>
      <x:c r="D328" s="6" t="n">
        <x:f>B328^2+C328^2</x:f>
        <x:v>0.12034387539068135</x:v>
      </x:c>
      <x:c r="E328" s="5" t="n">
        <x:f>IF(D328&lt;=1,1,0)</x:f>
        <x:v>1</x:v>
      </x:c>
      <x:c r="F328" s="6" t="n">
        <x:f>4*SUM($E$9:E328)/A328</x:f>
        <x:v>2.975</x:v>
      </x:c>
      <x:c r="G328" s="1"/>
      <x:c r="H328" s="1"/>
    </x:row>
    <x:row r="329" ht="22" customHeight="1">
      <x:c r="A329" s="1" t="n">
        <x:v>321</x:v>
      </x:c>
      <x:c r="B329" s="6" t="n">
        <x:f>RAND()</x:f>
        <x:v>0.4490871465370354</x:v>
      </x:c>
      <x:c r="C329" s="6" t="n">
        <x:f>RAND()</x:f>
        <x:v>0.8154186634433204</x:v>
      </x:c>
      <x:c r="D329" s="6" t="n">
        <x:f>B329^2+C329^2</x:f>
        <x:v>0.8665868618764677</x:v>
      </x:c>
      <x:c r="E329" s="5" t="n">
        <x:f>IF(D329&lt;=1,1,0)</x:f>
        <x:v>1</x:v>
      </x:c>
      <x:c r="F329" s="6" t="n">
        <x:f>4*SUM($E$9:E329)/A329</x:f>
        <x:v>2.9781931464174454</x:v>
      </x:c>
      <x:c r="G329" s="1"/>
      <x:c r="H329" s="1"/>
    </x:row>
    <x:row r="330" ht="22" customHeight="1">
      <x:c r="A330" s="1" t="n">
        <x:v>322</x:v>
      </x:c>
      <x:c r="B330" s="6" t="n">
        <x:f>RAND()</x:f>
        <x:v>0.7620658135834391</x:v>
      </x:c>
      <x:c r="C330" s="6" t="n">
        <x:f>RAND()</x:f>
        <x:v>0.3951470211644247</x:v>
      </x:c>
      <x:c r="D330" s="6" t="n">
        <x:f>B330^2+C330^2</x:f>
        <x:v>0.7368854725677072</x:v>
      </x:c>
      <x:c r="E330" s="5" t="n">
        <x:f>IF(D330&lt;=1,1,0)</x:f>
        <x:v>1</x:v>
      </x:c>
      <x:c r="F330" s="6" t="n">
        <x:f>4*SUM($E$9:E330)/A330</x:f>
        <x:v>2.981366459627329</x:v>
      </x:c>
      <x:c r="G330" s="1"/>
      <x:c r="H330" s="1"/>
    </x:row>
    <x:row r="331" ht="22" customHeight="1">
      <x:c r="A331" s="1" t="n">
        <x:v>323</x:v>
      </x:c>
      <x:c r="B331" s="6" t="n">
        <x:f>RAND()</x:f>
        <x:v>0.6365330241631222</x:v>
      </x:c>
      <x:c r="C331" s="6" t="n">
        <x:f>RAND()</x:f>
        <x:v>0.8673490406099167</x:v>
      </x:c>
      <x:c r="D331" s="6" t="n">
        <x:f>B331^2+C331^2</x:f>
        <x:v>1.1574686490971928</x:v>
      </x:c>
      <x:c r="E331" s="5" t="n">
        <x:f>IF(D331&lt;=1,1,0)</x:f>
        <x:v>0</x:v>
      </x:c>
      <x:c r="F331" s="6" t="n">
        <x:f>4*SUM($E$9:E331)/A331</x:f>
        <x:v>2.972136222910217</x:v>
      </x:c>
      <x:c r="G331" s="1"/>
      <x:c r="H331" s="1"/>
    </x:row>
    <x:row r="332" ht="22" customHeight="1">
      <x:c r="A332" s="1" t="n">
        <x:v>324</x:v>
      </x:c>
      <x:c r="B332" s="6" t="n">
        <x:f>RAND()</x:f>
        <x:v>0.12095515525941425</x:v>
      </x:c>
      <x:c r="C332" s="6" t="n">
        <x:f>RAND()</x:f>
        <x:v>0.22575854939227813</x:v>
      </x:c>
      <x:c r="D332" s="6" t="n">
        <x:f>B332^2+C332^2</x:f>
        <x:v>0.06559707220753469</x:v>
      </x:c>
      <x:c r="E332" s="5" t="n">
        <x:f>IF(D332&lt;=1,1,0)</x:f>
        <x:v>1</x:v>
      </x:c>
      <x:c r="F332" s="6" t="n">
        <x:f>4*SUM($E$9:E332)/A332</x:f>
        <x:v>2.9753086419753085</x:v>
      </x:c>
      <x:c r="G332" s="1"/>
      <x:c r="H332" s="1"/>
    </x:row>
    <x:row r="333" ht="22" customHeight="1">
      <x:c r="A333" s="1" t="n">
        <x:v>325</x:v>
      </x:c>
      <x:c r="B333" s="6" t="n">
        <x:f>RAND()</x:f>
        <x:v>0.7062332127061772</x:v>
      </x:c>
      <x:c r="C333" s="6" t="n">
        <x:f>RAND()</x:f>
        <x:v>0.8751986534584733</x:v>
      </x:c>
      <x:c r="D333" s="6" t="n">
        <x:f>B333^2+C333^2</x:f>
        <x:v>1.2647380337448133</x:v>
      </x:c>
      <x:c r="E333" s="5" t="n">
        <x:f>IF(D333&lt;=1,1,0)</x:f>
        <x:v>0</x:v>
      </x:c>
      <x:c r="F333" s="6" t="n">
        <x:f>4*SUM($E$9:E333)/A333</x:f>
        <x:v>2.9661538461538464</x:v>
      </x:c>
      <x:c r="G333" s="1"/>
      <x:c r="H333" s="1"/>
    </x:row>
    <x:row r="334" ht="22" customHeight="1">
      <x:c r="A334" s="1" t="n">
        <x:v>326</x:v>
      </x:c>
      <x:c r="B334" s="6" t="n">
        <x:f>RAND()</x:f>
        <x:v>0.548949223130777</x:v>
      </x:c>
      <x:c r="C334" s="6" t="n">
        <x:f>RAND()</x:f>
        <x:v>0.8176603009213924</x:v>
      </x:c>
      <x:c r="D334" s="6" t="n">
        <x:f>B334^2+C334^2</x:f>
        <x:v>0.9699136172787456</x:v>
      </x:c>
      <x:c r="E334" s="5" t="n">
        <x:f>IF(D334&lt;=1,1,0)</x:f>
        <x:v>1</x:v>
      </x:c>
      <x:c r="F334" s="6" t="n">
        <x:f>4*SUM($E$9:E334)/A334</x:f>
        <x:v>2.9693251533742333</x:v>
      </x:c>
      <x:c r="G334" s="1"/>
      <x:c r="H334" s="1"/>
    </x:row>
    <x:row r="335" ht="22" customHeight="1">
      <x:c r="A335" s="1" t="n">
        <x:v>327</x:v>
      </x:c>
      <x:c r="B335" s="6" t="n">
        <x:f>RAND()</x:f>
        <x:v>0.13319677105165018</x:v>
      </x:c>
      <x:c r="C335" s="6" t="n">
        <x:f>RAND()</x:f>
        <x:v>0.3937323798906861</x:v>
      </x:c>
      <x:c r="D335" s="6" t="n">
        <x:f>B335^2+C335^2</x:f>
        <x:v>0.17276656679296926</x:v>
      </x:c>
      <x:c r="E335" s="5" t="n">
        <x:f>IF(D335&lt;=1,1,0)</x:f>
        <x:v>1</x:v>
      </x:c>
      <x:c r="F335" s="6" t="n">
        <x:f>4*SUM($E$9:E335)/A335</x:f>
        <x:v>2.9724770642201834</x:v>
      </x:c>
      <x:c r="G335" s="1"/>
      <x:c r="H335" s="1"/>
    </x:row>
    <x:row r="336" ht="22" customHeight="1">
      <x:c r="A336" s="1" t="n">
        <x:v>328</x:v>
      </x:c>
      <x:c r="B336" s="6" t="n">
        <x:f>RAND()</x:f>
        <x:v>0.6777483128576126</x:v>
      </x:c>
      <x:c r="C336" s="6" t="n">
        <x:f>RAND()</x:f>
        <x:v>0.05636140174164772</x:v>
      </x:c>
      <x:c r="D336" s="6" t="n">
        <x:f>B336^2+C336^2</x:f>
        <x:v>0.46251938318762376</x:v>
      </x:c>
      <x:c r="E336" s="5" t="n">
        <x:f>IF(D336&lt;=1,1,0)</x:f>
        <x:v>1</x:v>
      </x:c>
      <x:c r="F336" s="6" t="n">
        <x:f>4*SUM($E$9:E336)/A336</x:f>
        <x:v>2.975609756097561</x:v>
      </x:c>
      <x:c r="G336" s="1"/>
      <x:c r="H336" s="1"/>
    </x:row>
    <x:row r="337" ht="22" customHeight="1">
      <x:c r="A337" s="1" t="n">
        <x:v>329</x:v>
      </x:c>
      <x:c r="B337" s="6" t="n">
        <x:f>RAND()</x:f>
        <x:v>0.5577223397257474</x:v>
      </x:c>
      <x:c r="C337" s="6" t="n">
        <x:f>RAND()</x:f>
        <x:v>0.28799710099925335</x:v>
      </x:c>
      <x:c r="D337" s="6" t="n">
        <x:f>B337^2+C337^2</x:f>
        <x:v>0.3939965384131361</x:v>
      </x:c>
      <x:c r="E337" s="5" t="n">
        <x:f>IF(D337&lt;=1,1,0)</x:f>
        <x:v>1</x:v>
      </x:c>
      <x:c r="F337" s="6" t="n">
        <x:f>4*SUM($E$9:E337)/A337</x:f>
        <x:v>2.978723404255319</x:v>
      </x:c>
      <x:c r="G337" s="1"/>
      <x:c r="H337" s="1"/>
    </x:row>
    <x:row r="338" ht="22" customHeight="1">
      <x:c r="A338" s="1" t="n">
        <x:v>330</x:v>
      </x:c>
      <x:c r="B338" s="6" t="n">
        <x:f>RAND()</x:f>
        <x:v>0.9796735335681349</x:v>
      </x:c>
      <x:c r="C338" s="6" t="n">
        <x:f>RAND()</x:f>
        <x:v>0.13209933909971938</x:v>
      </x:c>
      <x:c r="D338" s="6" t="n">
        <x:f>B338^2+C338^2</x:f>
        <x:v>0.9772104677644582</x:v>
      </x:c>
      <x:c r="E338" s="5" t="n">
        <x:f>IF(D338&lt;=1,1,0)</x:f>
        <x:v>1</x:v>
      </x:c>
      <x:c r="F338" s="6" t="n">
        <x:f>4*SUM($E$9:E338)/A338</x:f>
        <x:v>2.981818181818182</x:v>
      </x:c>
      <x:c r="G338" s="1"/>
      <x:c r="H338" s="1"/>
    </x:row>
    <x:row r="339" ht="22" customHeight="1">
      <x:c r="A339" s="1" t="n">
        <x:v>331</x:v>
      </x:c>
      <x:c r="B339" s="6" t="n">
        <x:f>RAND()</x:f>
        <x:v>0.4389352403900627</x:v>
      </x:c>
      <x:c r="C339" s="6" t="n">
        <x:f>RAND()</x:f>
        <x:v>0.6193595896497556</x:v>
      </x:c>
      <x:c r="D339" s="6" t="n">
        <x:f>B339^2+C339^2</x:f>
        <x:v>0.5762704465473958</x:v>
      </x:c>
      <x:c r="E339" s="5" t="n">
        <x:f>IF(D339&lt;=1,1,0)</x:f>
        <x:v>1</x:v>
      </x:c>
      <x:c r="F339" s="6" t="n">
        <x:f>4*SUM($E$9:E339)/A339</x:f>
        <x:v>2.984894259818731</x:v>
      </x:c>
      <x:c r="G339" s="1"/>
      <x:c r="H339" s="1"/>
    </x:row>
    <x:row r="340" ht="22" customHeight="1">
      <x:c r="A340" s="1" t="n">
        <x:v>332</x:v>
      </x:c>
      <x:c r="B340" s="6" t="n">
        <x:f>RAND()</x:f>
        <x:v>0.05598388636431839</x:v>
      </x:c>
      <x:c r="C340" s="6" t="n">
        <x:f>RAND()</x:f>
        <x:v>0.3185672468234464</x:v>
      </x:c>
      <x:c r="D340" s="6" t="n">
        <x:f>B340^2+C340^2</x:f>
        <x:v>0.10461928628112353</x:v>
      </x:c>
      <x:c r="E340" s="5" t="n">
        <x:f>IF(D340&lt;=1,1,0)</x:f>
        <x:v>1</x:v>
      </x:c>
      <x:c r="F340" s="6" t="n">
        <x:f>4*SUM($E$9:E340)/A340</x:f>
        <x:v>2.9879518072289155</x:v>
      </x:c>
      <x:c r="G340" s="1"/>
      <x:c r="H340" s="1"/>
    </x:row>
    <x:row r="341" ht="22" customHeight="1">
      <x:c r="A341" s="1" t="n">
        <x:v>333</x:v>
      </x:c>
      <x:c r="B341" s="6" t="n">
        <x:f>RAND()</x:f>
        <x:v>0.9224543217509539</x:v>
      </x:c>
      <x:c r="C341" s="6" t="n">
        <x:f>RAND()</x:f>
        <x:v>0.19395083750524877</x:v>
      </x:c>
      <x:c r="D341" s="6" t="n">
        <x:f>B341^2+C341^2</x:f>
        <x:v>0.8885389030859997</x:v>
      </x:c>
      <x:c r="E341" s="5" t="n">
        <x:f>IF(D341&lt;=1,1,0)</x:f>
        <x:v>1</x:v>
      </x:c>
      <x:c r="F341" s="6" t="n">
        <x:f>4*SUM($E$9:E341)/A341</x:f>
        <x:v>2.990990990990991</x:v>
      </x:c>
      <x:c r="G341" s="1"/>
      <x:c r="H341" s="1"/>
    </x:row>
    <x:row r="342" ht="22" customHeight="1">
      <x:c r="A342" s="1" t="n">
        <x:v>334</x:v>
      </x:c>
      <x:c r="B342" s="6" t="n">
        <x:f>RAND()</x:f>
        <x:v>0.08785495720612702</x:v>
      </x:c>
      <x:c r="C342" s="6" t="n">
        <x:f>RAND()</x:f>
        <x:v>0.9335491401842188</x:v>
      </x:c>
      <x:c r="D342" s="6" t="n">
        <x:f>B342^2+C342^2</x:f>
        <x:v>0.8792324906443846</x:v>
      </x:c>
      <x:c r="E342" s="5" t="n">
        <x:f>IF(D342&lt;=1,1,0)</x:f>
        <x:v>1</x:v>
      </x:c>
      <x:c r="F342" s="6" t="n">
        <x:f>4*SUM($E$9:E342)/A342</x:f>
        <x:v>2.9940119760479043</x:v>
      </x:c>
      <x:c r="G342" s="1"/>
      <x:c r="H342" s="1"/>
    </x:row>
    <x:row r="343" ht="22" customHeight="1">
      <x:c r="A343" s="1" t="n">
        <x:v>335</x:v>
      </x:c>
      <x:c r="B343" s="6" t="n">
        <x:f>RAND()</x:f>
        <x:v>0.8557568954168191</x:v>
      </x:c>
      <x:c r="C343" s="6" t="n">
        <x:f>RAND()</x:f>
        <x:v>0.4644735171611356</x:v>
      </x:c>
      <x:c r="D343" s="6" t="n">
        <x:f>B343^2+C343^2</x:f>
        <x:v>0.9480555121974683</x:v>
      </x:c>
      <x:c r="E343" s="5" t="n">
        <x:f>IF(D343&lt;=1,1,0)</x:f>
        <x:v>1</x:v>
      </x:c>
      <x:c r="F343" s="6" t="n">
        <x:f>4*SUM($E$9:E343)/A343</x:f>
        <x:v>2.997014925373134</x:v>
      </x:c>
      <x:c r="G343" s="1"/>
      <x:c r="H343" s="1"/>
    </x:row>
    <x:row r="344" ht="22" customHeight="1">
      <x:c r="A344" s="1" t="n">
        <x:v>336</x:v>
      </x:c>
      <x:c r="B344" s="6" t="n">
        <x:f>RAND()</x:f>
        <x:v>0.38360247750607157</x:v>
      </x:c>
      <x:c r="C344" s="6" t="n">
        <x:f>RAND()</x:f>
        <x:v>0.5324751867523809</x:v>
      </x:c>
      <x:c r="D344" s="6" t="n">
        <x:f>B344^2+C344^2</x:f>
        <x:v>0.43068068525577907</x:v>
      </x:c>
      <x:c r="E344" s="5" t="n">
        <x:f>IF(D344&lt;=1,1,0)</x:f>
        <x:v>1</x:v>
      </x:c>
      <x:c r="F344" s="6" t="n">
        <x:f>4*SUM($E$9:E344)/A344</x:f>
        <x:v>3</x:v>
      </x:c>
      <x:c r="G344" s="1"/>
      <x:c r="H344" s="1"/>
    </x:row>
    <x:row r="345" ht="22" customHeight="1">
      <x:c r="A345" s="1" t="n">
        <x:v>337</x:v>
      </x:c>
      <x:c r="B345" s="6" t="n">
        <x:f>RAND()</x:f>
        <x:v>0.8557650081066998</x:v>
      </x:c>
      <x:c r="C345" s="6" t="n">
        <x:f>RAND()</x:f>
        <x:v>0.7688407411655467</x:v>
      </x:c>
      <x:c r="D345" s="6" t="n">
        <x:f>B345^2+C345^2</x:f>
        <x:v>1.3234498343758472</x:v>
      </x:c>
      <x:c r="E345" s="5" t="n">
        <x:f>IF(D345&lt;=1,1,0)</x:f>
        <x:v>0</x:v>
      </x:c>
      <x:c r="F345" s="6" t="n">
        <x:f>4*SUM($E$9:E345)/A345</x:f>
        <x:v>2.9910979228486645</x:v>
      </x:c>
      <x:c r="G345" s="1"/>
      <x:c r="H345" s="1"/>
    </x:row>
    <x:row r="346" ht="22" customHeight="1">
      <x:c r="A346" s="1" t="n">
        <x:v>338</x:v>
      </x:c>
      <x:c r="B346" s="6" t="n">
        <x:f>RAND()</x:f>
        <x:v>0.2276656802452438</x:v>
      </x:c>
      <x:c r="C346" s="6" t="n">
        <x:f>RAND()</x:f>
        <x:v>0.3088520399949265</x:v>
      </x:c>
      <x:c r="D346" s="6" t="n">
        <x:f>B346^2+C346^2</x:f>
        <x:v>0.14722124457055727</x:v>
      </x:c>
      <x:c r="E346" s="5" t="n">
        <x:f>IF(D346&lt;=1,1,0)</x:f>
        <x:v>1</x:v>
      </x:c>
      <x:c r="F346" s="6" t="n">
        <x:f>4*SUM($E$9:E346)/A346</x:f>
        <x:v>2.9940828402366866</x:v>
      </x:c>
      <x:c r="G346" s="1"/>
      <x:c r="H346" s="1"/>
    </x:row>
    <x:row r="347" ht="22" customHeight="1">
      <x:c r="A347" s="1" t="n">
        <x:v>339</x:v>
      </x:c>
      <x:c r="B347" s="6" t="n">
        <x:f>RAND()</x:f>
        <x:v>0.3147137341030647</x:v>
      </x:c>
      <x:c r="C347" s="6" t="n">
        <x:f>RAND()</x:f>
        <x:v>0.8847430935119506</x:v>
      </x:c>
      <x:c r="D347" s="6" t="n">
        <x:f>B347^2+C347^2</x:f>
        <x:v>0.8818150759501906</x:v>
      </x:c>
      <x:c r="E347" s="5" t="n">
        <x:f>IF(D347&lt;=1,1,0)</x:f>
        <x:v>1</x:v>
      </x:c>
      <x:c r="F347" s="6" t="n">
        <x:f>4*SUM($E$9:E347)/A347</x:f>
        <x:v>2.9970501474926254</x:v>
      </x:c>
      <x:c r="G347" s="1"/>
      <x:c r="H347" s="1"/>
    </x:row>
    <x:row r="348" ht="22" customHeight="1">
      <x:c r="A348" s="1" t="n">
        <x:v>340</x:v>
      </x:c>
      <x:c r="B348" s="6" t="n">
        <x:f>RAND()</x:f>
        <x:v>0.11624690106978353</x:v>
      </x:c>
      <x:c r="C348" s="6" t="n">
        <x:f>RAND()</x:f>
        <x:v>0.2180684546182542</x:v>
      </x:c>
      <x:c r="D348" s="6" t="n">
        <x:f>B348^2+C348^2</x:f>
        <x:v>0.061067192907921626</x:v>
      </x:c>
      <x:c r="E348" s="5" t="n">
        <x:f>IF(D348&lt;=1,1,0)</x:f>
        <x:v>1</x:v>
      </x:c>
      <x:c r="F348" s="6" t="n">
        <x:f>4*SUM($E$9:E348)/A348</x:f>
        <x:v>3</x:v>
      </x:c>
      <x:c r="G348" s="1"/>
      <x:c r="H348" s="1"/>
    </x:row>
    <x:row r="349" ht="22" customHeight="1">
      <x:c r="A349" s="1" t="n">
        <x:v>341</x:v>
      </x:c>
      <x:c r="B349" s="6" t="n">
        <x:f>RAND()</x:f>
        <x:v>0.31186513871852384</x:v>
      </x:c>
      <x:c r="C349" s="6" t="n">
        <x:f>RAND()</x:f>
        <x:v>0.14058069697072983</x:v>
      </x:c>
      <x:c r="D349" s="6" t="n">
        <x:f>B349^2+C349^2</x:f>
        <x:v>0.11702279710870028</x:v>
      </x:c>
      <x:c r="E349" s="5" t="n">
        <x:f>IF(D349&lt;=1,1,0)</x:f>
        <x:v>1</x:v>
      </x:c>
      <x:c r="F349" s="6" t="n">
        <x:f>4*SUM($E$9:E349)/A349</x:f>
        <x:v>3.002932551319648</x:v>
      </x:c>
      <x:c r="G349" s="1"/>
      <x:c r="H349" s="1"/>
    </x:row>
    <x:row r="350" ht="22" customHeight="1">
      <x:c r="A350" s="1" t="n">
        <x:v>342</x:v>
      </x:c>
      <x:c r="B350" s="6" t="n">
        <x:f>RAND()</x:f>
        <x:v>0.5527779914729196</x:v>
      </x:c>
      <x:c r="C350" s="6" t="n">
        <x:f>RAND()</x:f>
        <x:v>0.03390224595617852</x:v>
      </x:c>
      <x:c r="D350" s="6" t="n">
        <x:f>B350^2+C350^2</x:f>
        <x:v>0.30671287013770837</x:v>
      </x:c>
      <x:c r="E350" s="5" t="n">
        <x:f>IF(D350&lt;=1,1,0)</x:f>
        <x:v>1</x:v>
      </x:c>
      <x:c r="F350" s="6" t="n">
        <x:f>4*SUM($E$9:E350)/A350</x:f>
        <x:v>3.0058479532163744</x:v>
      </x:c>
      <x:c r="G350" s="1"/>
      <x:c r="H350" s="1"/>
    </x:row>
    <x:row r="351" ht="22" customHeight="1">
      <x:c r="A351" s="1" t="n">
        <x:v>343</x:v>
      </x:c>
      <x:c r="B351" s="6" t="n">
        <x:f>RAND()</x:f>
        <x:v>0.6904011022150516</x:v>
      </x:c>
      <x:c r="C351" s="6" t="n">
        <x:f>RAND()</x:f>
        <x:v>0.9768030951316399</x:v>
      </x:c>
      <x:c r="D351" s="6" t="n">
        <x:f>B351^2+C351^2</x:f>
        <x:v>1.4307979685985095</x:v>
      </x:c>
      <x:c r="E351" s="5" t="n">
        <x:f>IF(D351&lt;=1,1,0)</x:f>
        <x:v>0</x:v>
      </x:c>
      <x:c r="F351" s="6" t="n">
        <x:f>4*SUM($E$9:E351)/A351</x:f>
        <x:v>2.997084548104956</x:v>
      </x:c>
      <x:c r="G351" s="1"/>
      <x:c r="H351" s="1"/>
    </x:row>
    <x:row r="352" ht="22" customHeight="1">
      <x:c r="A352" s="1" t="n">
        <x:v>344</x:v>
      </x:c>
      <x:c r="B352" s="6" t="n">
        <x:f>RAND()</x:f>
        <x:v>0.0738350564335748</x:v>
      </x:c>
      <x:c r="C352" s="6" t="n">
        <x:f>RAND()</x:f>
        <x:v>0.678357275788079</x:v>
      </x:c>
      <x:c r="D352" s="6" t="n">
        <x:f>B352^2+C352^2</x:f>
        <x:v>0.4656202091731731</x:v>
      </x:c>
      <x:c r="E352" s="5" t="n">
        <x:f>IF(D352&lt;=1,1,0)</x:f>
        <x:v>1</x:v>
      </x:c>
      <x:c r="F352" s="6" t="n">
        <x:f>4*SUM($E$9:E352)/A352</x:f>
        <x:v>3</x:v>
      </x:c>
      <x:c r="G352" s="1"/>
      <x:c r="H352" s="1"/>
    </x:row>
    <x:row r="353" ht="22" customHeight="1">
      <x:c r="A353" s="1" t="n">
        <x:v>345</x:v>
      </x:c>
      <x:c r="B353" s="6" t="n">
        <x:f>RAND()</x:f>
        <x:v>0.47903463520256817</x:v>
      </x:c>
      <x:c r="C353" s="6" t="n">
        <x:f>RAND()</x:f>
        <x:v>0.5584135474610588</x:v>
      </x:c>
      <x:c r="D353" s="6" t="n">
        <x:f>B353^2+C353^2</x:f>
        <x:v>0.5412998717117017</x:v>
      </x:c>
      <x:c r="E353" s="5" t="n">
        <x:f>IF(D353&lt;=1,1,0)</x:f>
        <x:v>1</x:v>
      </x:c>
      <x:c r="F353" s="6" t="n">
        <x:f>4*SUM($E$9:E353)/A353</x:f>
        <x:v>3.0028985507246375</x:v>
      </x:c>
      <x:c r="G353" s="1"/>
      <x:c r="H353" s="1"/>
    </x:row>
    <x:row r="354" ht="22" customHeight="1">
      <x:c r="A354" s="1" t="n">
        <x:v>346</x:v>
      </x:c>
      <x:c r="B354" s="6" t="n">
        <x:f>RAND()</x:f>
        <x:v>0.4795091816182845</x:v>
      </x:c>
      <x:c r="C354" s="6" t="n">
        <x:f>RAND()</x:f>
        <x:v>0.6714859455020635</x:v>
      </x:c>
      <x:c r="D354" s="6" t="n">
        <x:f>B354^2+C354^2</x:f>
        <x:v>0.6808224302630371</x:v>
      </x:c>
      <x:c r="E354" s="5" t="n">
        <x:f>IF(D354&lt;=1,1,0)</x:f>
        <x:v>1</x:v>
      </x:c>
      <x:c r="F354" s="6" t="n">
        <x:f>4*SUM($E$9:E354)/A354</x:f>
        <x:v>3.005780346820809</x:v>
      </x:c>
      <x:c r="G354" s="1"/>
      <x:c r="H354" s="1"/>
    </x:row>
    <x:row r="355" ht="22" customHeight="1">
      <x:c r="A355" s="1" t="n">
        <x:v>347</x:v>
      </x:c>
      <x:c r="B355" s="6" t="n">
        <x:f>RAND()</x:f>
        <x:v>0.727102329497184</x:v>
      </x:c>
      <x:c r="C355" s="6" t="n">
        <x:f>RAND()</x:f>
        <x:v>0.5956410811014031</x:v>
      </x:c>
      <x:c r="D355" s="6" t="n">
        <x:f>B355^2+C355^2</x:f>
        <x:v>0.8834660950558799</x:v>
      </x:c>
      <x:c r="E355" s="5" t="n">
        <x:f>IF(D355&lt;=1,1,0)</x:f>
        <x:v>1</x:v>
      </x:c>
      <x:c r="F355" s="6" t="n">
        <x:f>4*SUM($E$9:E355)/A355</x:f>
        <x:v>3.0086455331412103</x:v>
      </x:c>
      <x:c r="G355" s="1"/>
      <x:c r="H355" s="1"/>
    </x:row>
    <x:row r="356" ht="22" customHeight="1">
      <x:c r="A356" s="1" t="n">
        <x:v>348</x:v>
      </x:c>
      <x:c r="B356" s="6" t="n">
        <x:f>RAND()</x:f>
        <x:v>0.42963425053332793</x:v>
      </x:c>
      <x:c r="C356" s="6" t="n">
        <x:f>RAND()</x:f>
        <x:v>0.11482297297719779</x:v>
      </x:c>
      <x:c r="D356" s="6" t="n">
        <x:f>B356^2+C356^2</x:f>
        <x:v>0.1977699043546567</x:v>
      </x:c>
      <x:c r="E356" s="5" t="n">
        <x:f>IF(D356&lt;=1,1,0)</x:f>
        <x:v>1</x:v>
      </x:c>
      <x:c r="F356" s="6" t="n">
        <x:f>4*SUM($E$9:E356)/A356</x:f>
        <x:v>3.0114942528735633</x:v>
      </x:c>
      <x:c r="G356" s="1"/>
      <x:c r="H356" s="1"/>
    </x:row>
    <x:row r="357" ht="22" customHeight="1">
      <x:c r="A357" s="1" t="n">
        <x:v>349</x:v>
      </x:c>
      <x:c r="B357" s="6" t="n">
        <x:f>RAND()</x:f>
        <x:v>0.6413432158126587</x:v>
      </x:c>
      <x:c r="C357" s="6" t="n">
        <x:f>RAND()</x:f>
        <x:v>0.3641152253783505</x:v>
      </x:c>
      <x:c r="D357" s="6" t="n">
        <x:f>B357^2+C357^2</x:f>
        <x:v>0.5439010178212496</x:v>
      </x:c>
      <x:c r="E357" s="5" t="n">
        <x:f>IF(D357&lt;=1,1,0)</x:f>
        <x:v>1</x:v>
      </x:c>
      <x:c r="F357" s="6" t="n">
        <x:f>4*SUM($E$9:E357)/A357</x:f>
        <x:v>3.01432664756447</x:v>
      </x:c>
      <x:c r="G357" s="1"/>
      <x:c r="H357" s="1"/>
    </x:row>
    <x:row r="358" ht="22" customHeight="1">
      <x:c r="A358" s="1" t="n">
        <x:v>350</x:v>
      </x:c>
      <x:c r="B358" s="6" t="n">
        <x:f>RAND()</x:f>
        <x:v>0.4650707906533561</x:v>
      </x:c>
      <x:c r="C358" s="6" t="n">
        <x:f>RAND()</x:f>
        <x:v>0.1090346806775081</x:v>
      </x:c>
      <x:c r="D358" s="6" t="n">
        <x:f>B358^2+C358^2</x:f>
        <x:v>0.22817940190938393</x:v>
      </x:c>
      <x:c r="E358" s="5" t="n">
        <x:f>IF(D358&lt;=1,1,0)</x:f>
        <x:v>1</x:v>
      </x:c>
      <x:c r="F358" s="6" t="n">
        <x:f>4*SUM($E$9:E358)/A358</x:f>
        <x:v>3.0171428571428573</x:v>
      </x:c>
      <x:c r="G358" s="1"/>
      <x:c r="H358" s="1"/>
    </x:row>
    <x:row r="359" ht="22" customHeight="1">
      <x:c r="A359" s="1" t="n">
        <x:v>351</x:v>
      </x:c>
      <x:c r="B359" s="6" t="n">
        <x:f>RAND()</x:f>
        <x:v>0.7474114688543428</x:v>
      </x:c>
      <x:c r="C359" s="6" t="n">
        <x:f>RAND()</x:f>
        <x:v>0.8127366847770173</x:v>
      </x:c>
      <x:c r="D359" s="6" t="n">
        <x:f>B359^2+C359^2</x:f>
        <x:v>1.219164822557343</x:v>
      </x:c>
      <x:c r="E359" s="5" t="n">
        <x:f>IF(D359&lt;=1,1,0)</x:f>
        <x:v>0</x:v>
      </x:c>
      <x:c r="F359" s="6" t="n">
        <x:f>4*SUM($E$9:E359)/A359</x:f>
        <x:v>3.0085470085470085</x:v>
      </x:c>
      <x:c r="G359" s="1"/>
      <x:c r="H359" s="1"/>
    </x:row>
    <x:row r="360" ht="22" customHeight="1">
      <x:c r="A360" s="1" t="n">
        <x:v>352</x:v>
      </x:c>
      <x:c r="B360" s="6" t="n">
        <x:f>RAND()</x:f>
        <x:v>0.04839210362571622</x:v>
      </x:c>
      <x:c r="C360" s="6" t="n">
        <x:f>RAND()</x:f>
        <x:v>0.9454965807391337</x:v>
      </x:c>
      <x:c r="D360" s="6" t="n">
        <x:f>B360^2+C360^2</x:f>
        <x:v>0.8963055798827152</x:v>
      </x:c>
      <x:c r="E360" s="5" t="n">
        <x:f>IF(D360&lt;=1,1,0)</x:f>
        <x:v>1</x:v>
      </x:c>
      <x:c r="F360" s="6" t="n">
        <x:f>4*SUM($E$9:E360)/A360</x:f>
        <x:v>3.0113636363636362</x:v>
      </x:c>
      <x:c r="G360" s="1"/>
      <x:c r="H360" s="1"/>
    </x:row>
    <x:row r="361" ht="22" customHeight="1">
      <x:c r="A361" s="1" t="n">
        <x:v>353</x:v>
      </x:c>
      <x:c r="B361" s="6" t="n">
        <x:f>RAND()</x:f>
        <x:v>0.1821741838029154</x:v>
      </x:c>
      <x:c r="C361" s="6" t="n">
        <x:f>RAND()</x:f>
        <x:v>0.48401041667707234</x:v>
      </x:c>
      <x:c r="D361" s="6" t="n">
        <x:f>B361^2+C361^2</x:f>
        <x:v>0.26745351669617157</x:v>
      </x:c>
      <x:c r="E361" s="5" t="n">
        <x:f>IF(D361&lt;=1,1,0)</x:f>
        <x:v>1</x:v>
      </x:c>
      <x:c r="F361" s="6" t="n">
        <x:f>4*SUM($E$9:E361)/A361</x:f>
        <x:v>3.0141643059490084</x:v>
      </x:c>
      <x:c r="G361" s="1"/>
      <x:c r="H361" s="1"/>
    </x:row>
    <x:row r="362" ht="22" customHeight="1">
      <x:c r="A362" s="1" t="n">
        <x:v>354</x:v>
      </x:c>
      <x:c r="B362" s="6" t="n">
        <x:f>RAND()</x:f>
        <x:v>0.20926992634565933</x:v>
      </x:c>
      <x:c r="C362" s="6" t="n">
        <x:f>RAND()</x:f>
        <x:v>0.6383525044977559</x:v>
      </x:c>
      <x:c r="D362" s="6" t="n">
        <x:f>B362^2+C362^2</x:f>
        <x:v>0.45128782207127516</x:v>
      </x:c>
      <x:c r="E362" s="5" t="n">
        <x:f>IF(D362&lt;=1,1,0)</x:f>
        <x:v>1</x:v>
      </x:c>
      <x:c r="F362" s="6" t="n">
        <x:f>4*SUM($E$9:E362)/A362</x:f>
        <x:v>3.016949152542373</x:v>
      </x:c>
      <x:c r="G362" s="1"/>
      <x:c r="H362" s="1"/>
    </x:row>
    <x:row r="363" ht="22" customHeight="1">
      <x:c r="A363" s="1" t="n">
        <x:v>355</x:v>
      </x:c>
      <x:c r="B363" s="6" t="n">
        <x:f>RAND()</x:f>
        <x:v>0.6382287990329171</x:v>
      </x:c>
      <x:c r="C363" s="6" t="n">
        <x:f>RAND()</x:f>
        <x:v>0.6843356710041402</x:v>
      </x:c>
      <x:c r="D363" s="6" t="n">
        <x:f>B363^2+C363^2</x:f>
        <x:v>0.8756513105236864</x:v>
      </x:c>
      <x:c r="E363" s="5" t="n">
        <x:f>IF(D363&lt;=1,1,0)</x:f>
        <x:v>1</x:v>
      </x:c>
      <x:c r="F363" s="6" t="n">
        <x:f>4*SUM($E$9:E363)/A363</x:f>
        <x:v>3.019718309859155</x:v>
      </x:c>
      <x:c r="G363" s="1"/>
      <x:c r="H363" s="1"/>
    </x:row>
    <x:row r="364" ht="22" customHeight="1">
      <x:c r="A364" s="1" t="n">
        <x:v>356</x:v>
      </x:c>
      <x:c r="B364" s="6" t="n">
        <x:f>RAND()</x:f>
        <x:v>0.9000103372190784</x:v>
      </x:c>
      <x:c r="C364" s="6" t="n">
        <x:f>RAND()</x:f>
        <x:v>0.3859753811718768</x:v>
      </x:c>
      <x:c r="D364" s="6" t="n">
        <x:f>B364^2+C364^2</x:f>
        <x:v>0.9589956019719748</x:v>
      </x:c>
      <x:c r="E364" s="5" t="n">
        <x:f>IF(D364&lt;=1,1,0)</x:f>
        <x:v>1</x:v>
      </x:c>
      <x:c r="F364" s="6" t="n">
        <x:f>4*SUM($E$9:E364)/A364</x:f>
        <x:v>3.0224719101123596</x:v>
      </x:c>
      <x:c r="G364" s="1"/>
      <x:c r="H364" s="1"/>
    </x:row>
    <x:row r="365" ht="22" customHeight="1">
      <x:c r="A365" s="1" t="n">
        <x:v>357</x:v>
      </x:c>
      <x:c r="B365" s="6" t="n">
        <x:f>RAND()</x:f>
        <x:v>0.30054280550443735</x:v>
      </x:c>
      <x:c r="C365" s="6" t="n">
        <x:f>RAND()</x:f>
        <x:v>0.8636035859419676</x:v>
      </x:c>
      <x:c r="D365" s="6" t="n">
        <x:f>B365^2+C365^2</x:f>
        <x:v>0.8361371315923035</x:v>
      </x:c>
      <x:c r="E365" s="5" t="n">
        <x:f>IF(D365&lt;=1,1,0)</x:f>
        <x:v>1</x:v>
      </x:c>
      <x:c r="F365" s="6" t="n">
        <x:f>4*SUM($E$9:E365)/A365</x:f>
        <x:v>3.0252100840336134</x:v>
      </x:c>
      <x:c r="G365" s="1"/>
      <x:c r="H365" s="1"/>
    </x:row>
    <x:row r="366" ht="22" customHeight="1">
      <x:c r="A366" s="1" t="n">
        <x:v>358</x:v>
      </x:c>
      <x:c r="B366" s="6" t="n">
        <x:f>RAND()</x:f>
        <x:v>0.9208049151872492</x:v>
      </x:c>
      <x:c r="C366" s="6" t="n">
        <x:f>RAND()</x:f>
        <x:v>0.6189264845400911</x:v>
      </x:c>
      <x:c r="D366" s="6" t="n">
        <x:f>B366^2+C366^2</x:f>
        <x:v>1.2309516850981528</x:v>
      </x:c>
      <x:c r="E366" s="5" t="n">
        <x:f>IF(D366&lt;=1,1,0)</x:f>
        <x:v>0</x:v>
      </x:c>
      <x:c r="F366" s="6" t="n">
        <x:f>4*SUM($E$9:E366)/A366</x:f>
        <x:v>3.016759776536313</x:v>
      </x:c>
      <x:c r="G366" s="1"/>
      <x:c r="H366" s="1"/>
    </x:row>
    <x:row r="367" ht="22" customHeight="1">
      <x:c r="A367" s="1" t="n">
        <x:v>359</x:v>
      </x:c>
      <x:c r="B367" s="6" t="n">
        <x:f>RAND()</x:f>
        <x:v>0.8339204344444805</x:v>
      </x:c>
      <x:c r="C367" s="6" t="n">
        <x:f>RAND()</x:f>
        <x:v>0.9802282685307144</x:v>
      </x:c>
      <x:c r="D367" s="6" t="n">
        <x:f>B367^2+C367^2</x:f>
        <x:v>1.6562707494107936</x:v>
      </x:c>
      <x:c r="E367" s="5" t="n">
        <x:f>IF(D367&lt;=1,1,0)</x:f>
        <x:v>0</x:v>
      </x:c>
      <x:c r="F367" s="6" t="n">
        <x:f>4*SUM($E$9:E367)/A367</x:f>
        <x:v>3.0083565459610027</x:v>
      </x:c>
      <x:c r="G367" s="1"/>
      <x:c r="H367" s="1"/>
    </x:row>
    <x:row r="368" ht="22" customHeight="1">
      <x:c r="A368" s="1" t="n">
        <x:v>360</x:v>
      </x:c>
      <x:c r="B368" s="6" t="n">
        <x:f>RAND()</x:f>
        <x:v>0.36226516366614614</x:v>
      </x:c>
      <x:c r="C368" s="6" t="n">
        <x:f>RAND()</x:f>
        <x:v>0.6875955193240963</x:v>
      </x:c>
      <x:c r="D368" s="6" t="n">
        <x:f>B368^2+C368^2</x:f>
        <x:v>0.6040236470006335</x:v>
      </x:c>
      <x:c r="E368" s="5" t="n">
        <x:f>IF(D368&lt;=1,1,0)</x:f>
        <x:v>1</x:v>
      </x:c>
      <x:c r="F368" s="6" t="n">
        <x:f>4*SUM($E$9:E368)/A368</x:f>
        <x:v>3.011111111111111</x:v>
      </x:c>
      <x:c r="G368" s="1"/>
      <x:c r="H368" s="1"/>
    </x:row>
    <x:row r="369" ht="22" customHeight="1">
      <x:c r="A369" s="1" t="n">
        <x:v>361</x:v>
      </x:c>
      <x:c r="B369" s="6" t="n">
        <x:f>RAND()</x:f>
        <x:v>0.9240061569262651</x:v>
      </x:c>
      <x:c r="C369" s="6" t="n">
        <x:f>RAND()</x:f>
        <x:v>0.45188429166494115</x:v>
      </x:c>
      <x:c r="D369" s="6" t="n">
        <x:f>B369^2+C369^2</x:f>
        <x:v>1.057986791091171</x:v>
      </x:c>
      <x:c r="E369" s="5" t="n">
        <x:f>IF(D369&lt;=1,1,0)</x:f>
        <x:v>0</x:v>
      </x:c>
      <x:c r="F369" s="6" t="n">
        <x:f>4*SUM($E$9:E369)/A369</x:f>
        <x:v>3.0027700831024933</x:v>
      </x:c>
      <x:c r="G369" s="1"/>
      <x:c r="H369" s="1"/>
    </x:row>
    <x:row r="370" ht="22" customHeight="1">
      <x:c r="A370" s="1" t="n">
        <x:v>362</x:v>
      </x:c>
      <x:c r="B370" s="6" t="n">
        <x:f>RAND()</x:f>
        <x:v>0.761005206943832</x:v>
      </x:c>
      <x:c r="C370" s="6" t="n">
        <x:f>RAND()</x:f>
        <x:v>0.951815993914145</x:v>
      </x:c>
      <x:c r="D370" s="6" t="n">
        <x:f>B370^2+C370^2</x:f>
        <x:v>1.4850826112663962</x:v>
      </x:c>
      <x:c r="E370" s="5" t="n">
        <x:f>IF(D370&lt;=1,1,0)</x:f>
        <x:v>0</x:v>
      </x:c>
      <x:c r="F370" s="6" t="n">
        <x:f>4*SUM($E$9:E370)/A370</x:f>
        <x:v>2.994475138121547</x:v>
      </x:c>
      <x:c r="G370" s="1"/>
      <x:c r="H370" s="1"/>
    </x:row>
    <x:row r="371" ht="22" customHeight="1">
      <x:c r="A371" s="1" t="n">
        <x:v>363</x:v>
      </x:c>
      <x:c r="B371" s="6" t="n">
        <x:f>RAND()</x:f>
        <x:v>0.31380753274176587</x:v>
      </x:c>
      <x:c r="C371" s="6" t="n">
        <x:f>RAND()</x:f>
        <x:v>0.6944929446137673</x:v>
      </x:c>
      <x:c r="D371" s="6" t="n">
        <x:f>B371^2+C371^2</x:f>
        <x:v>0.5807956177237757</x:v>
      </x:c>
      <x:c r="E371" s="5" t="n">
        <x:f>IF(D371&lt;=1,1,0)</x:f>
        <x:v>1</x:v>
      </x:c>
      <x:c r="F371" s="6" t="n">
        <x:f>4*SUM($E$9:E371)/A371</x:f>
        <x:v>2.997245179063361</x:v>
      </x:c>
      <x:c r="G371" s="1"/>
      <x:c r="H371" s="1"/>
    </x:row>
    <x:row r="372" ht="22" customHeight="1">
      <x:c r="A372" s="1" t="n">
        <x:v>364</x:v>
      </x:c>
      <x:c r="B372" s="6" t="n">
        <x:f>RAND()</x:f>
        <x:v>0.04558550296672914</x:v>
      </x:c>
      <x:c r="C372" s="6" t="n">
        <x:f>RAND()</x:f>
        <x:v>0.380395872054503</x:v>
      </x:c>
      <x:c r="D372" s="6" t="n">
        <x:f>B372^2+C372^2</x:f>
        <x:v>0.14677905755683548</x:v>
      </x:c>
      <x:c r="E372" s="5" t="n">
        <x:f>IF(D372&lt;=1,1,0)</x:f>
        <x:v>1</x:v>
      </x:c>
      <x:c r="F372" s="6" t="n">
        <x:f>4*SUM($E$9:E372)/A372</x:f>
        <x:v>3</x:v>
      </x:c>
      <x:c r="G372" s="1"/>
      <x:c r="H372" s="1"/>
    </x:row>
    <x:row r="373" ht="22" customHeight="1">
      <x:c r="A373" s="1" t="n">
        <x:v>365</x:v>
      </x:c>
      <x:c r="B373" s="6" t="n">
        <x:f>RAND()</x:f>
        <x:v>0.6547986033441938</x:v>
      </x:c>
      <x:c r="C373" s="6" t="n">
        <x:f>RAND()</x:f>
        <x:v>0.1376626370416053</x:v>
      </x:c>
      <x:c r="D373" s="6" t="n">
        <x:f>B373^2+C373^2</x:f>
        <x:v>0.44771221257875565</x:v>
      </x:c>
      <x:c r="E373" s="5" t="n">
        <x:f>IF(D373&lt;=1,1,0)</x:f>
        <x:v>1</x:v>
      </x:c>
      <x:c r="F373" s="6" t="n">
        <x:f>4*SUM($E$9:E373)/A373</x:f>
        <x:v>3.0027397260273974</x:v>
      </x:c>
      <x:c r="G373" s="1"/>
      <x:c r="H373" s="1"/>
    </x:row>
    <x:row r="374" ht="22" customHeight="1">
      <x:c r="A374" s="1" t="n">
        <x:v>366</x:v>
      </x:c>
      <x:c r="B374" s="6" t="n">
        <x:f>RAND()</x:f>
        <x:v>0.8036607844438671</x:v>
      </x:c>
      <x:c r="C374" s="6" t="n">
        <x:f>RAND()</x:f>
        <x:v>0.7974823874662066</x:v>
      </x:c>
      <x:c r="D374" s="6" t="n">
        <x:f>B374^2+C374^2</x:f>
        <x:v>1.2818488147717328</x:v>
      </x:c>
      <x:c r="E374" s="5" t="n">
        <x:f>IF(D374&lt;=1,1,0)</x:f>
        <x:v>0</x:v>
      </x:c>
      <x:c r="F374" s="6" t="n">
        <x:f>4*SUM($E$9:E374)/A374</x:f>
        <x:v>2.9945355191256833</x:v>
      </x:c>
      <x:c r="G374" s="1"/>
      <x:c r="H374" s="1"/>
    </x:row>
    <x:row r="375" ht="22" customHeight="1">
      <x:c r="A375" s="1" t="n">
        <x:v>367</x:v>
      </x:c>
      <x:c r="B375" s="6" t="n">
        <x:f>RAND()</x:f>
        <x:v>0.700871550927625</x:v>
      </x:c>
      <x:c r="C375" s="6" t="n">
        <x:f>RAND()</x:f>
        <x:v>0.5994642852999547</x:v>
      </x:c>
      <x:c r="D375" s="6" t="n">
        <x:f>B375^2+C375^2</x:f>
        <x:v>0.8505783602498799</x:v>
      </x:c>
      <x:c r="E375" s="5" t="n">
        <x:f>IF(D375&lt;=1,1,0)</x:f>
        <x:v>1</x:v>
      </x:c>
      <x:c r="F375" s="6" t="n">
        <x:f>4*SUM($E$9:E375)/A375</x:f>
        <x:v>2.997275204359673</x:v>
      </x:c>
      <x:c r="G375" s="1"/>
      <x:c r="H375" s="1"/>
    </x:row>
    <x:row r="376" ht="22" customHeight="1">
      <x:c r="A376" s="1" t="n">
        <x:v>368</x:v>
      </x:c>
      <x:c r="B376" s="6" t="n">
        <x:f>RAND()</x:f>
        <x:v>0.4761106166849568</x:v>
      </x:c>
      <x:c r="C376" s="6" t="n">
        <x:f>RAND()</x:f>
        <x:v>0.5544993194776416</x:v>
      </x:c>
      <x:c r="D376" s="6" t="n">
        <x:f>B376^2+C376^2</x:f>
        <x:v>0.5341508146212975</x:v>
      </x:c>
      <x:c r="E376" s="5" t="n">
        <x:f>IF(D376&lt;=1,1,0)</x:f>
        <x:v>1</x:v>
      </x:c>
      <x:c r="F376" s="6" t="n">
        <x:f>4*SUM($E$9:E376)/A376</x:f>
        <x:v>3</x:v>
      </x:c>
      <x:c r="G376" s="1"/>
      <x:c r="H376" s="1"/>
    </x:row>
    <x:row r="377" ht="22" customHeight="1">
      <x:c r="A377" s="1" t="n">
        <x:v>369</x:v>
      </x:c>
      <x:c r="B377" s="6" t="n">
        <x:f>RAND()</x:f>
        <x:v>0.7567184221297668</x:v>
      </x:c>
      <x:c r="C377" s="6" t="n">
        <x:f>RAND()</x:f>
        <x:v>0.7141168092413985</x:v>
      </x:c>
      <x:c r="D377" s="6" t="n">
        <x:f>B377^2+C377^2</x:f>
        <x:v>1.0825855876316801</x:v>
      </x:c>
      <x:c r="E377" s="5" t="n">
        <x:f>IF(D377&lt;=1,1,0)</x:f>
        <x:v>0</x:v>
      </x:c>
      <x:c r="F377" s="6" t="n">
        <x:f>4*SUM($E$9:E377)/A377</x:f>
        <x:v>2.991869918699187</x:v>
      </x:c>
      <x:c r="G377" s="1"/>
      <x:c r="H377" s="1"/>
    </x:row>
    <x:row r="378" ht="22" customHeight="1">
      <x:c r="A378" s="1" t="n">
        <x:v>370</x:v>
      </x:c>
      <x:c r="B378" s="6" t="n">
        <x:f>RAND()</x:f>
        <x:v>0.5213282043658856</x:v>
      </x:c>
      <x:c r="C378" s="6" t="n">
        <x:f>RAND()</x:f>
        <x:v>0.968501420826587</x:v>
      </x:c>
      <x:c r="D378" s="6" t="n">
        <x:f>B378^2+C378^2</x:f>
        <x:v>1.2097780988104763</x:v>
      </x:c>
      <x:c r="E378" s="5" t="n">
        <x:f>IF(D378&lt;=1,1,0)</x:f>
        <x:v>0</x:v>
      </x:c>
      <x:c r="F378" s="6" t="n">
        <x:f>4*SUM($E$9:E378)/A378</x:f>
        <x:v>2.983783783783784</x:v>
      </x:c>
      <x:c r="G378" s="1"/>
      <x:c r="H378" s="1"/>
    </x:row>
    <x:row r="379" ht="22" customHeight="1">
      <x:c r="A379" s="1" t="n">
        <x:v>371</x:v>
      </x:c>
      <x:c r="B379" s="6" t="n">
        <x:f>RAND()</x:f>
        <x:v>0.9323180449249132</x:v>
      </x:c>
      <x:c r="C379" s="6" t="n">
        <x:f>RAND()</x:f>
        <x:v>0.1843378797404417</x:v>
      </x:c>
      <x:c r="D379" s="6" t="n">
        <x:f>B379^2+C379^2</x:f>
        <x:v>0.903197390799814</x:v>
      </x:c>
      <x:c r="E379" s="5" t="n">
        <x:f>IF(D379&lt;=1,1,0)</x:f>
        <x:v>1</x:v>
      </x:c>
      <x:c r="F379" s="6" t="n">
        <x:f>4*SUM($E$9:E379)/A379</x:f>
        <x:v>2.986522911051213</x:v>
      </x:c>
      <x:c r="G379" s="1"/>
      <x:c r="H379" s="1"/>
    </x:row>
    <x:row r="380" ht="22" customHeight="1">
      <x:c r="A380" s="1" t="n">
        <x:v>372</x:v>
      </x:c>
      <x:c r="B380" s="6" t="n">
        <x:f>RAND()</x:f>
        <x:v>0.35229582883186084</x:v>
      </x:c>
      <x:c r="C380" s="6" t="n">
        <x:f>RAND()</x:f>
        <x:v>0.7252782344205878</x:v>
      </x:c>
      <x:c r="D380" s="6" t="n">
        <x:f>B380^2+C380^2</x:f>
        <x:v>0.6501408683365729</x:v>
      </x:c>
      <x:c r="E380" s="5" t="n">
        <x:f>IF(D380&lt;=1,1,0)</x:f>
        <x:v>1</x:v>
      </x:c>
      <x:c r="F380" s="6" t="n">
        <x:f>4*SUM($E$9:E380)/A380</x:f>
        <x:v>2.989247311827957</x:v>
      </x:c>
      <x:c r="G380" s="1"/>
      <x:c r="H380" s="1"/>
    </x:row>
    <x:row r="381" ht="22" customHeight="1">
      <x:c r="A381" s="1" t="n">
        <x:v>373</x:v>
      </x:c>
      <x:c r="B381" s="6" t="n">
        <x:f>RAND()</x:f>
        <x:v>0.8279938923310736</x:v>
      </x:c>
      <x:c r="C381" s="6" t="n">
        <x:f>RAND()</x:f>
        <x:v>0.28022351017025016</x:v>
      </x:c>
      <x:c r="D381" s="6" t="n">
        <x:f>B381^2+C381^2</x:f>
        <x:v>0.7640991013896977</x:v>
      </x:c>
      <x:c r="E381" s="5" t="n">
        <x:f>IF(D381&lt;=1,1,0)</x:f>
        <x:v>1</x:v>
      </x:c>
      <x:c r="F381" s="6" t="n">
        <x:f>4*SUM($E$9:E381)/A381</x:f>
        <x:v>2.991957104557641</x:v>
      </x:c>
      <x:c r="G381" s="1"/>
      <x:c r="H381" s="1"/>
    </x:row>
    <x:row r="382" ht="22" customHeight="1">
      <x:c r="A382" s="1" t="n">
        <x:v>374</x:v>
      </x:c>
      <x:c r="B382" s="6" t="n">
        <x:f>RAND()</x:f>
        <x:v>0.10931760804604851</x:v>
      </x:c>
      <x:c r="C382" s="6" t="n">
        <x:f>RAND()</x:f>
        <x:v>0.6580792610607811</x:v>
      </x:c>
      <x:c r="D382" s="6" t="n">
        <x:f>B382^2+C382^2</x:f>
        <x:v>0.4450186532672131</x:v>
      </x:c>
      <x:c r="E382" s="5" t="n">
        <x:f>IF(D382&lt;=1,1,0)</x:f>
        <x:v>1</x:v>
      </x:c>
      <x:c r="F382" s="6" t="n">
        <x:f>4*SUM($E$9:E382)/A382</x:f>
        <x:v>2.9946524064171123</x:v>
      </x:c>
      <x:c r="G382" s="1"/>
      <x:c r="H382" s="1"/>
    </x:row>
    <x:row r="383" ht="22" customHeight="1">
      <x:c r="A383" s="1" t="n">
        <x:v>375</x:v>
      </x:c>
      <x:c r="B383" s="6" t="n">
        <x:f>RAND()</x:f>
        <x:v>0.967408331175815</x:v>
      </x:c>
      <x:c r="C383" s="6" t="n">
        <x:f>RAND()</x:f>
        <x:v>0.9005268483146107</x:v>
      </x:c>
      <x:c r="D383" s="6" t="n">
        <x:f>B383^2+C383^2</x:f>
        <x:v>1.7468274837638214</x:v>
      </x:c>
      <x:c r="E383" s="5" t="n">
        <x:f>IF(D383&lt;=1,1,0)</x:f>
        <x:v>0</x:v>
      </x:c>
      <x:c r="F383" s="6" t="n">
        <x:f>4*SUM($E$9:E383)/A383</x:f>
        <x:v>2.986666666666667</x:v>
      </x:c>
      <x:c r="G383" s="1"/>
      <x:c r="H383" s="1"/>
    </x:row>
    <x:row r="384" ht="22" customHeight="1">
      <x:c r="A384" s="1" t="n">
        <x:v>376</x:v>
      </x:c>
      <x:c r="B384" s="6" t="n">
        <x:f>RAND()</x:f>
        <x:v>0.13092949271310195</x:v>
      </x:c>
      <x:c r="C384" s="6" t="n">
        <x:f>RAND()</x:f>
        <x:v>0.778224706747399</x:v>
      </x:c>
      <x:c r="D384" s="6" t="n">
        <x:f>B384^2+C384^2</x:f>
        <x:v>0.6227762262541854</x:v>
      </x:c>
      <x:c r="E384" s="5" t="n">
        <x:f>IF(D384&lt;=1,1,0)</x:f>
        <x:v>1</x:v>
      </x:c>
      <x:c r="F384" s="6" t="n">
        <x:f>4*SUM($E$9:E384)/A384</x:f>
        <x:v>2.9893617021276597</x:v>
      </x:c>
      <x:c r="G384" s="1"/>
      <x:c r="H384" s="1"/>
    </x:row>
    <x:row r="385" ht="22" customHeight="1">
      <x:c r="A385" s="1" t="n">
        <x:v>377</x:v>
      </x:c>
      <x:c r="B385" s="6" t="n">
        <x:f>RAND()</x:f>
        <x:v>0.7445587330261229</x:v>
      </x:c>
      <x:c r="C385" s="6" t="n">
        <x:f>RAND()</x:f>
        <x:v>0.478279234758505</x:v>
      </x:c>
      <x:c r="D385" s="6" t="n">
        <x:f>B385^2+C385^2</x:f>
        <x:v>0.7831187333266465</x:v>
      </x:c>
      <x:c r="E385" s="5" t="n">
        <x:f>IF(D385&lt;=1,1,0)</x:f>
        <x:v>1</x:v>
      </x:c>
      <x:c r="F385" s="6" t="n">
        <x:f>4*SUM($E$9:E385)/A385</x:f>
        <x:v>2.9920424403183024</x:v>
      </x:c>
      <x:c r="G385" s="1"/>
      <x:c r="H385" s="1"/>
    </x:row>
    <x:row r="386" ht="22" customHeight="1">
      <x:c r="A386" s="1" t="n">
        <x:v>378</x:v>
      </x:c>
      <x:c r="B386" s="6" t="n">
        <x:f>RAND()</x:f>
        <x:v>0.9046738312812479</x:v>
      </x:c>
      <x:c r="C386" s="6" t="n">
        <x:f>RAND()</x:f>
        <x:v>0.3957726921528567</x:v>
      </x:c>
      <x:c r="D386" s="6" t="n">
        <x:f>B386^2+C386^2</x:f>
        <x:v>0.9750707648590118</x:v>
      </x:c>
      <x:c r="E386" s="5" t="n">
        <x:f>IF(D386&lt;=1,1,0)</x:f>
        <x:v>1</x:v>
      </x:c>
      <x:c r="F386" s="6" t="n">
        <x:f>4*SUM($E$9:E386)/A386</x:f>
        <x:v>2.994708994708995</x:v>
      </x:c>
      <x:c r="G386" s="1"/>
      <x:c r="H386" s="1"/>
    </x:row>
    <x:row r="387" ht="22" customHeight="1">
      <x:c r="A387" s="1" t="n">
        <x:v>379</x:v>
      </x:c>
      <x:c r="B387" s="6" t="n">
        <x:f>RAND()</x:f>
        <x:v>0.9137367509011377</x:v>
      </x:c>
      <x:c r="C387" s="6" t="n">
        <x:f>RAND()</x:f>
        <x:v>0.8872120900122099</x:v>
      </x:c>
      <x:c r="D387" s="6" t="n">
        <x:f>B387^2+C387^2</x:f>
        <x:v>1.6220601426112013</x:v>
      </x:c>
      <x:c r="E387" s="5" t="n">
        <x:f>IF(D387&lt;=1,1,0)</x:f>
        <x:v>0</x:v>
      </x:c>
      <x:c r="F387" s="6" t="n">
        <x:f>4*SUM($E$9:E387)/A387</x:f>
        <x:v>2.9868073878627968</x:v>
      </x:c>
      <x:c r="G387" s="1"/>
      <x:c r="H387" s="1"/>
    </x:row>
    <x:row r="388" ht="22" customHeight="1">
      <x:c r="A388" s="1" t="n">
        <x:v>380</x:v>
      </x:c>
      <x:c r="B388" s="6" t="n">
        <x:f>RAND()</x:f>
        <x:v>0.7067308119271172</x:v>
      </x:c>
      <x:c r="C388" s="6" t="n">
        <x:f>RAND()</x:f>
        <x:v>0.2675926775205276</x:v>
      </x:c>
      <x:c r="D388" s="6" t="n">
        <x:f>B388^2+C388^2</x:f>
        <x:v>0.5710742815897674</x:v>
      </x:c>
      <x:c r="E388" s="5" t="n">
        <x:f>IF(D388&lt;=1,1,0)</x:f>
        <x:v>1</x:v>
      </x:c>
      <x:c r="F388" s="6" t="n">
        <x:f>4*SUM($E$9:E388)/A388</x:f>
        <x:v>2.9894736842105263</x:v>
      </x:c>
      <x:c r="G388" s="1"/>
      <x:c r="H388" s="1"/>
    </x:row>
    <x:row r="389" ht="22" customHeight="1">
      <x:c r="A389" s="1" t="n">
        <x:v>381</x:v>
      </x:c>
      <x:c r="B389" s="6" t="n">
        <x:f>RAND()</x:f>
        <x:v>0.5518683777990924</x:v>
      </x:c>
      <x:c r="C389" s="6" t="n">
        <x:f>RAND()</x:f>
        <x:v>0.27273125019218736</x:v>
      </x:c>
      <x:c r="D389" s="6" t="n">
        <x:f>B389^2+C389^2</x:f>
        <x:v>0.37894104124599526</x:v>
      </x:c>
      <x:c r="E389" s="5" t="n">
        <x:f>IF(D389&lt;=1,1,0)</x:f>
        <x:v>1</x:v>
      </x:c>
      <x:c r="F389" s="6" t="n">
        <x:f>4*SUM($E$9:E389)/A389</x:f>
        <x:v>2.9921259842519685</x:v>
      </x:c>
      <x:c r="G389" s="1"/>
      <x:c r="H389" s="1"/>
    </x:row>
    <x:row r="390" ht="22" customHeight="1">
      <x:c r="A390" s="1" t="n">
        <x:v>382</x:v>
      </x:c>
      <x:c r="B390" s="6" t="n">
        <x:f>RAND()</x:f>
        <x:v>0.1712123021761477</x:v>
      </x:c>
      <x:c r="C390" s="6" t="n">
        <x:f>RAND()</x:f>
        <x:v>0.9957858998946204</x:v>
      </x:c>
      <x:c r="D390" s="6" t="n">
        <x:f>B390^2+C390^2</x:f>
        <x:v>1.0209032108453955</x:v>
      </x:c>
      <x:c r="E390" s="5" t="n">
        <x:f>IF(D390&lt;=1,1,0)</x:f>
        <x:v>0</x:v>
      </x:c>
      <x:c r="F390" s="6" t="n">
        <x:f>4*SUM($E$9:E390)/A390</x:f>
        <x:v>2.9842931937172774</x:v>
      </x:c>
      <x:c r="G390" s="1"/>
      <x:c r="H390" s="1"/>
    </x:row>
    <x:row r="391" ht="22" customHeight="1">
      <x:c r="A391" s="1" t="n">
        <x:v>383</x:v>
      </x:c>
      <x:c r="B391" s="6" t="n">
        <x:f>RAND()</x:f>
        <x:v>0.4319914261174431</x:v>
      </x:c>
      <x:c r="C391" s="6" t="n">
        <x:f>RAND()</x:f>
        <x:v>0.9307777277319115</x:v>
      </x:c>
      <x:c r="D391" s="6" t="n">
        <x:f>B391^2+C391^2</x:f>
        <x:v>1.0529637706807626</x:v>
      </x:c>
      <x:c r="E391" s="5" t="n">
        <x:f>IF(D391&lt;=1,1,0)</x:f>
        <x:v>0</x:v>
      </x:c>
      <x:c r="F391" s="6" t="n">
        <x:f>4*SUM($E$9:E391)/A391</x:f>
        <x:v>2.976501305483029</x:v>
      </x:c>
      <x:c r="G391" s="1"/>
      <x:c r="H391" s="1"/>
    </x:row>
    <x:row r="392" ht="22" customHeight="1">
      <x:c r="A392" s="1" t="n">
        <x:v>384</x:v>
      </x:c>
      <x:c r="B392" s="6" t="n">
        <x:f>RAND()</x:f>
        <x:v>0.5895437105748013</x:v>
      </x:c>
      <x:c r="C392" s="6" t="n">
        <x:f>RAND()</x:f>
        <x:v>0.9398264327090806</x:v>
      </x:c>
      <x:c r="D392" s="6" t="n">
        <x:f>B392^2+C392^2</x:f>
        <x:v>1.230835510296981</x:v>
      </x:c>
      <x:c r="E392" s="5" t="n">
        <x:f>IF(D392&lt;=1,1,0)</x:f>
        <x:v>0</x:v>
      </x:c>
      <x:c r="F392" s="6" t="n">
        <x:f>4*SUM($E$9:E392)/A392</x:f>
        <x:v>2.96875</x:v>
      </x:c>
      <x:c r="G392" s="1"/>
      <x:c r="H392" s="1"/>
    </x:row>
    <x:row r="393" ht="22" customHeight="1">
      <x:c r="A393" s="1" t="n">
        <x:v>385</x:v>
      </x:c>
      <x:c r="B393" s="6" t="n">
        <x:f>RAND()</x:f>
        <x:v>0.4298803845753565</x:v>
      </x:c>
      <x:c r="C393" s="6" t="n">
        <x:f>RAND()</x:f>
        <x:v>0.06710845964443946</x:v>
      </x:c>
      <x:c r="D393" s="6" t="n">
        <x:f>B393^2+C393^2</x:f>
        <x:v>0.18930069039850575</x:v>
      </x:c>
      <x:c r="E393" s="5" t="n">
        <x:f>IF(D393&lt;=1,1,0)</x:f>
        <x:v>1</x:v>
      </x:c>
      <x:c r="F393" s="6" t="n">
        <x:f>4*SUM($E$9:E393)/A393</x:f>
        <x:v>2.9714285714285715</x:v>
      </x:c>
      <x:c r="G393" s="1"/>
      <x:c r="H393" s="1"/>
    </x:row>
    <x:row r="394" ht="22" customHeight="1">
      <x:c r="A394" s="1" t="n">
        <x:v>386</x:v>
      </x:c>
      <x:c r="B394" s="6" t="n">
        <x:f>RAND()</x:f>
        <x:v>0.5075964922203396</x:v>
      </x:c>
      <x:c r="C394" s="6" t="n">
        <x:f>RAND()</x:f>
        <x:v>0.005372711339998282</x:v>
      </x:c>
      <x:c r="D394" s="6" t="n">
        <x:f>B394^2+C394^2</x:f>
        <x:v>0.2576830649415363</x:v>
      </x:c>
      <x:c r="E394" s="5" t="n">
        <x:f>IF(D394&lt;=1,1,0)</x:f>
        <x:v>1</x:v>
      </x:c>
      <x:c r="F394" s="6" t="n">
        <x:f>4*SUM($E$9:E394)/A394</x:f>
        <x:v>2.9740932642487046</x:v>
      </x:c>
      <x:c r="G394" s="1"/>
      <x:c r="H394" s="1"/>
    </x:row>
    <x:row r="395" ht="22" customHeight="1">
      <x:c r="A395" s="1" t="n">
        <x:v>387</x:v>
      </x:c>
      <x:c r="B395" s="6" t="n">
        <x:f>RAND()</x:f>
        <x:v>0.7730084981056827</x:v>
      </x:c>
      <x:c r="C395" s="6" t="n">
        <x:f>RAND()</x:f>
        <x:v>0.9228018712004025</x:v>
      </x:c>
      <x:c r="D395" s="6" t="n">
        <x:f>B395^2+C395^2</x:f>
        <x:v>1.4491054316345675</x:v>
      </x:c>
      <x:c r="E395" s="5" t="n">
        <x:f>IF(D395&lt;=1,1,0)</x:f>
        <x:v>0</x:v>
      </x:c>
      <x:c r="F395" s="6" t="n">
        <x:f>4*SUM($E$9:E395)/A395</x:f>
        <x:v>2.96640826873385</x:v>
      </x:c>
      <x:c r="G395" s="1"/>
      <x:c r="H395" s="1"/>
    </x:row>
    <x:row r="396" ht="22" customHeight="1">
      <x:c r="A396" s="1" t="n">
        <x:v>388</x:v>
      </x:c>
      <x:c r="B396" s="6" t="n">
        <x:f>RAND()</x:f>
        <x:v>0.9028067359488401</x:v>
      </x:c>
      <x:c r="C396" s="6" t="n">
        <x:f>RAND()</x:f>
        <x:v>0.7659877311474046</x:v>
      </x:c>
      <x:c r="D396" s="6" t="n">
        <x:f>B396^2+C396^2</x:f>
        <x:v>1.4017972067429474</x:v>
      </x:c>
      <x:c r="E396" s="5" t="n">
        <x:f>IF(D396&lt;=1,1,0)</x:f>
        <x:v>0</x:v>
      </x:c>
      <x:c r="F396" s="6" t="n">
        <x:f>4*SUM($E$9:E396)/A396</x:f>
        <x:v>2.9587628865979383</x:v>
      </x:c>
      <x:c r="G396" s="1"/>
      <x:c r="H396" s="1"/>
    </x:row>
    <x:row r="397" ht="22" customHeight="1">
      <x:c r="A397" s="1" t="n">
        <x:v>389</x:v>
      </x:c>
      <x:c r="B397" s="6" t="n">
        <x:f>RAND()</x:f>
        <x:v>0.31341367363782036</x:v>
      </x:c>
      <x:c r="C397" s="6" t="n">
        <x:f>RAND()</x:f>
        <x:v>0.20550961824511815</x:v>
      </x:c>
      <x:c r="D397" s="6" t="n">
        <x:f>B397^2+C397^2</x:f>
        <x:v>0.14046233401440836</x:v>
      </x:c>
      <x:c r="E397" s="5" t="n">
        <x:f>IF(D397&lt;=1,1,0)</x:f>
        <x:v>1</x:v>
      </x:c>
      <x:c r="F397" s="6" t="n">
        <x:f>4*SUM($E$9:E397)/A397</x:f>
        <x:v>2.961439588688946</x:v>
      </x:c>
      <x:c r="G397" s="1"/>
      <x:c r="H397" s="1"/>
    </x:row>
    <x:row r="398" ht="22" customHeight="1">
      <x:c r="A398" s="1" t="n">
        <x:v>390</x:v>
      </x:c>
      <x:c r="B398" s="6" t="n">
        <x:f>RAND()</x:f>
        <x:v>0.39413309109384875</x:v>
      </x:c>
      <x:c r="C398" s="6" t="n">
        <x:f>RAND()</x:f>
        <x:v>0.002681173773806944</x:v>
      </x:c>
      <x:c r="D398" s="6" t="n">
        <x:f>B398^2+C398^2</x:f>
        <x:v>0.15534808218799745</x:v>
      </x:c>
      <x:c r="E398" s="5" t="n">
        <x:f>IF(D398&lt;=1,1,0)</x:f>
        <x:v>1</x:v>
      </x:c>
      <x:c r="F398" s="6" t="n">
        <x:f>4*SUM($E$9:E398)/A398</x:f>
        <x:v>2.9641025641025642</x:v>
      </x:c>
      <x:c r="G398" s="1"/>
      <x:c r="H398" s="1"/>
    </x:row>
    <x:row r="399" ht="22" customHeight="1">
      <x:c r="A399" s="1" t="n">
        <x:v>391</x:v>
      </x:c>
      <x:c r="B399" s="6" t="n">
        <x:f>RAND()</x:f>
        <x:v>0.8301272023406617</x:v>
      </x:c>
      <x:c r="C399" s="6" t="n">
        <x:f>RAND()</x:f>
        <x:v>0.18346976994362818</x:v>
      </x:c>
      <x:c r="D399" s="6" t="n">
        <x:f>B399^2+C399^2</x:f>
        <x:v>0.7227723285491018</x:v>
      </x:c>
      <x:c r="E399" s="5" t="n">
        <x:f>IF(D399&lt;=1,1,0)</x:f>
        <x:v>1</x:v>
      </x:c>
      <x:c r="F399" s="6" t="n">
        <x:f>4*SUM($E$9:E399)/A399</x:f>
        <x:v>2.9667519181585678</x:v>
      </x:c>
      <x:c r="G399" s="1"/>
      <x:c r="H399" s="1"/>
    </x:row>
    <x:row r="400" ht="22" customHeight="1">
      <x:c r="A400" s="1" t="n">
        <x:v>392</x:v>
      </x:c>
      <x:c r="B400" s="6" t="n">
        <x:f>RAND()</x:f>
        <x:v>0.5781922854675761</x:v>
      </x:c>
      <x:c r="C400" s="6" t="n">
        <x:f>RAND()</x:f>
        <x:v>0.3378071343090544</x:v>
      </x:c>
      <x:c r="D400" s="6" t="n">
        <x:f>B400^2+C400^2</x:f>
        <x:v>0.4484199789643145</x:v>
      </x:c>
      <x:c r="E400" s="5" t="n">
        <x:f>IF(D400&lt;=1,1,0)</x:f>
        <x:v>1</x:v>
      </x:c>
      <x:c r="F400" s="6" t="n">
        <x:f>4*SUM($E$9:E400)/A400</x:f>
        <x:v>2.9693877551020407</x:v>
      </x:c>
      <x:c r="G400" s="1"/>
      <x:c r="H400" s="1"/>
    </x:row>
    <x:row r="401" ht="22" customHeight="1">
      <x:c r="A401" s="1" t="n">
        <x:v>393</x:v>
      </x:c>
      <x:c r="B401" s="6" t="n">
        <x:f>RAND()</x:f>
        <x:v>0.3974497791552726</x:v>
      </x:c>
      <x:c r="C401" s="6" t="n">
        <x:f>RAND()</x:f>
        <x:v>0.8341148972055502</x:v>
      </x:c>
      <x:c r="D401" s="6" t="n">
        <x:f>B401^2+C401^2</x:f>
        <x:v>0.8537139886908005</x:v>
      </x:c>
      <x:c r="E401" s="5" t="n">
        <x:f>IF(D401&lt;=1,1,0)</x:f>
        <x:v>1</x:v>
      </x:c>
      <x:c r="F401" s="6" t="n">
        <x:f>4*SUM($E$9:E401)/A401</x:f>
        <x:v>2.9720101781170483</x:v>
      </x:c>
      <x:c r="G401" s="1"/>
      <x:c r="H401" s="1"/>
    </x:row>
    <x:row r="402" ht="22" customHeight="1">
      <x:c r="A402" s="1" t="n">
        <x:v>394</x:v>
      </x:c>
      <x:c r="B402" s="6" t="n">
        <x:f>RAND()</x:f>
        <x:v>0.4062310269970376</x:v>
      </x:c>
      <x:c r="C402" s="6" t="n">
        <x:f>RAND()</x:f>
        <x:v>0.6702286125547476</x:v>
      </x:c>
      <x:c r="D402" s="6" t="n">
        <x:f>B402^2+C402^2</x:f>
        <x:v>0.6142300403821299</x:v>
      </x:c>
      <x:c r="E402" s="5" t="n">
        <x:f>IF(D402&lt;=1,1,0)</x:f>
        <x:v>1</x:v>
      </x:c>
      <x:c r="F402" s="6" t="n">
        <x:f>4*SUM($E$9:E402)/A402</x:f>
        <x:v>2.9746192893401013</x:v>
      </x:c>
      <x:c r="G402" s="1"/>
      <x:c r="H402" s="1"/>
    </x:row>
    <x:row r="403" ht="22" customHeight="1">
      <x:c r="A403" s="1" t="n">
        <x:v>395</x:v>
      </x:c>
      <x:c r="B403" s="6" t="n">
        <x:f>RAND()</x:f>
        <x:v>0.16164408859046575</x:v>
      </x:c>
      <x:c r="C403" s="6" t="n">
        <x:f>RAND()</x:f>
        <x:v>0.42160772211287667</x:v>
      </x:c>
      <x:c r="D403" s="6" t="n">
        <x:f>B403^2+C403^2</x:f>
        <x:v>0.20388188272145097</x:v>
      </x:c>
      <x:c r="E403" s="5" t="n">
        <x:f>IF(D403&lt;=1,1,0)</x:f>
        <x:v>1</x:v>
      </x:c>
      <x:c r="F403" s="6" t="n">
        <x:f>4*SUM($E$9:E403)/A403</x:f>
        <x:v>2.9772151898734176</x:v>
      </x:c>
      <x:c r="G403" s="1"/>
      <x:c r="H403" s="1"/>
    </x:row>
    <x:row r="404" ht="22" customHeight="1">
      <x:c r="A404" s="1" t="n">
        <x:v>396</x:v>
      </x:c>
      <x:c r="B404" s="6" t="n">
        <x:f>RAND()</x:f>
        <x:v>0.4473014101631857</x:v>
      </x:c>
      <x:c r="C404" s="6" t="n">
        <x:f>RAND()</x:f>
        <x:v>0.24789049015441356</x:v>
      </x:c>
      <x:c r="D404" s="6" t="n">
        <x:f>B404^2+C404^2</x:f>
        <x:v>0.2615282466429699</x:v>
      </x:c>
      <x:c r="E404" s="5" t="n">
        <x:f>IF(D404&lt;=1,1,0)</x:f>
        <x:v>1</x:v>
      </x:c>
      <x:c r="F404" s="6" t="n">
        <x:f>4*SUM($E$9:E404)/A404</x:f>
        <x:v>2.9797979797979797</x:v>
      </x:c>
      <x:c r="G404" s="1"/>
      <x:c r="H404" s="1"/>
    </x:row>
    <x:row r="405" ht="22" customHeight="1">
      <x:c r="A405" s="1" t="n">
        <x:v>397</x:v>
      </x:c>
      <x:c r="B405" s="6" t="n">
        <x:f>RAND()</x:f>
        <x:v>0.09660510220534801</x:v>
      </x:c>
      <x:c r="C405" s="6" t="n">
        <x:f>RAND()</x:f>
        <x:v>0.007337587969568071</x:v>
      </x:c>
      <x:c r="D405" s="6" t="n">
        <x:f>B405^2+C405^2</x:f>
        <x:v>0.009386385969316886</x:v>
      </x:c>
      <x:c r="E405" s="5" t="n">
        <x:f>IF(D405&lt;=1,1,0)</x:f>
        <x:v>1</x:v>
      </x:c>
      <x:c r="F405" s="6" t="n">
        <x:f>4*SUM($E$9:E405)/A405</x:f>
        <x:v>2.982367758186398</x:v>
      </x:c>
      <x:c r="G405" s="1"/>
      <x:c r="H405" s="1"/>
    </x:row>
    <x:row r="406" ht="22" customHeight="1">
      <x:c r="A406" s="1" t="n">
        <x:v>398</x:v>
      </x:c>
      <x:c r="B406" s="6" t="n">
        <x:f>RAND()</x:f>
        <x:v>0.7972786227501549</x:v>
      </x:c>
      <x:c r="C406" s="6" t="n">
        <x:f>RAND()</x:f>
        <x:v>0.134118907007014</x:v>
      </x:c>
      <x:c r="D406" s="6" t="n">
        <x:f>B406^2+C406^2</x:f>
        <x:v>0.6536410835111399</x:v>
      </x:c>
      <x:c r="E406" s="5" t="n">
        <x:f>IF(D406&lt;=1,1,0)</x:f>
        <x:v>1</x:v>
      </x:c>
      <x:c r="F406" s="6" t="n">
        <x:f>4*SUM($E$9:E406)/A406</x:f>
        <x:v>2.9849246231155777</x:v>
      </x:c>
      <x:c r="G406" s="1"/>
      <x:c r="H406" s="1"/>
    </x:row>
    <x:row r="407" ht="22" customHeight="1">
      <x:c r="A407" s="1" t="n">
        <x:v>399</x:v>
      </x:c>
      <x:c r="B407" s="6" t="n">
        <x:f>RAND()</x:f>
        <x:v>0.27108903749022806</x:v>
      </x:c>
      <x:c r="C407" s="6" t="n">
        <x:f>RAND()</x:f>
        <x:v>0.8676546482259115</x:v>
      </x:c>
      <x:c r="D407" s="6" t="n">
        <x:f>B407^2+C407^2</x:f>
        <x:v>0.8263138548354085</x:v>
      </x:c>
      <x:c r="E407" s="5" t="n">
        <x:f>IF(D407&lt;=1,1,0)</x:f>
        <x:v>1</x:v>
      </x:c>
      <x:c r="F407" s="6" t="n">
        <x:f>4*SUM($E$9:E407)/A407</x:f>
        <x:v>2.987468671679198</x:v>
      </x:c>
      <x:c r="G407" s="1"/>
      <x:c r="H407" s="1"/>
    </x:row>
    <x:row r="408" ht="22" customHeight="1">
      <x:c r="A408" s="1" t="n">
        <x:v>400</x:v>
      </x:c>
      <x:c r="B408" s="6" t="n">
        <x:f>RAND()</x:f>
        <x:v>0.34981665152976515</x:v>
      </x:c>
      <x:c r="C408" s="6" t="n">
        <x:f>RAND()</x:f>
        <x:v>0.4135707534379588</x:v>
      </x:c>
      <x:c r="D408" s="6" t="n">
        <x:f>B408^2+C408^2</x:f>
        <x:v>0.2934124577867381</x:v>
      </x:c>
      <x:c r="E408" s="5" t="n">
        <x:f>IF(D408&lt;=1,1,0)</x:f>
        <x:v>1</x:v>
      </x:c>
      <x:c r="F408" s="6" t="n">
        <x:f>4*SUM($E$9:E408)/A408</x:f>
        <x:v>2.99</x:v>
      </x:c>
      <x:c r="G408" s="1"/>
      <x:c r="H408" s="1"/>
    </x:row>
    <x:row r="409" ht="22" customHeight="1">
      <x:c r="A409" s="1" t="n">
        <x:v>401</x:v>
      </x:c>
      <x:c r="B409" s="6" t="n">
        <x:f>RAND()</x:f>
        <x:v>0.45288410952070224</x:v>
      </x:c>
      <x:c r="C409" s="6" t="n">
        <x:f>RAND()</x:f>
        <x:v>0.3014161992002967</x:v>
      </x:c>
      <x:c r="D409" s="6" t="n">
        <x:f>B409^2+C409^2</x:f>
        <x:v>0.29595574179671236</x:v>
      </x:c>
      <x:c r="E409" s="5" t="n">
        <x:f>IF(D409&lt;=1,1,0)</x:f>
        <x:v>1</x:v>
      </x:c>
      <x:c r="F409" s="6" t="n">
        <x:f>4*SUM($E$9:E409)/A409</x:f>
        <x:v>2.9925187032418954</x:v>
      </x:c>
      <x:c r="G409" s="1"/>
      <x:c r="H409" s="1"/>
    </x:row>
    <x:row r="410" ht="22" customHeight="1">
      <x:c r="A410" s="1" t="n">
        <x:v>402</x:v>
      </x:c>
      <x:c r="B410" s="6" t="n">
        <x:f>RAND()</x:f>
        <x:v>0.5529908776688486</x:v>
      </x:c>
      <x:c r="C410" s="6" t="n">
        <x:f>RAND()</x:f>
        <x:v>0.39976306582671106</x:v>
      </x:c>
      <x:c r="D410" s="6" t="n">
        <x:f>B410^2+C410^2</x:f>
        <x:v>0.4656094195841348</x:v>
      </x:c>
      <x:c r="E410" s="5" t="n">
        <x:f>IF(D410&lt;=1,1,0)</x:f>
        <x:v>1</x:v>
      </x:c>
      <x:c r="F410" s="6" t="n">
        <x:f>4*SUM($E$9:E410)/A410</x:f>
        <x:v>2.9950248756218905</x:v>
      </x:c>
      <x:c r="G410" s="1"/>
      <x:c r="H410" s="1"/>
    </x:row>
    <x:row r="411" ht="22" customHeight="1">
      <x:c r="A411" s="1" t="n">
        <x:v>403</x:v>
      </x:c>
      <x:c r="B411" s="6" t="n">
        <x:f>RAND()</x:f>
        <x:v>0.6869485695455733</x:v>
      </x:c>
      <x:c r="C411" s="6" t="n">
        <x:f>RAND()</x:f>
        <x:v>0.315696906933028</x:v>
      </x:c>
      <x:c r="D411" s="6" t="n">
        <x:f>B411^2+C411^2</x:f>
        <x:v>0.5715628742477902</x:v>
      </x:c>
      <x:c r="E411" s="5" t="n">
        <x:f>IF(D411&lt;=1,1,0)</x:f>
        <x:v>1</x:v>
      </x:c>
      <x:c r="F411" s="6" t="n">
        <x:f>4*SUM($E$9:E411)/A411</x:f>
        <x:v>2.997518610421836</x:v>
      </x:c>
      <x:c r="G411" s="1"/>
      <x:c r="H411" s="1"/>
    </x:row>
    <x:row r="412" ht="22" customHeight="1">
      <x:c r="A412" s="1" t="n">
        <x:v>404</x:v>
      </x:c>
      <x:c r="B412" s="6" t="n">
        <x:f>RAND()</x:f>
        <x:v>0.0500416698735634</x:v>
      </x:c>
      <x:c r="C412" s="6" t="n">
        <x:f>RAND()</x:f>
        <x:v>0.5291623898829515</x:v>
      </x:c>
      <x:c r="D412" s="6" t="n">
        <x:f>B412^2+C412^2</x:f>
        <x:v>0.28251700359037146</x:v>
      </x:c>
      <x:c r="E412" s="5" t="n">
        <x:f>IF(D412&lt;=1,1,0)</x:f>
        <x:v>1</x:v>
      </x:c>
      <x:c r="F412" s="6" t="n">
        <x:f>4*SUM($E$9:E412)/A412</x:f>
        <x:v>3</x:v>
      </x:c>
      <x:c r="G412" s="1"/>
      <x:c r="H412" s="1"/>
    </x:row>
    <x:row r="413" ht="22" customHeight="1">
      <x:c r="A413" s="1" t="n">
        <x:v>405</x:v>
      </x:c>
      <x:c r="B413" s="6" t="n">
        <x:f>RAND()</x:f>
        <x:v>0.4104310137534839</x:v>
      </x:c>
      <x:c r="C413" s="6" t="n">
        <x:f>RAND()</x:f>
        <x:v>0.6925186362018386</x:v>
      </x:c>
      <x:c r="D413" s="6" t="n">
        <x:f>B413^2+C413^2</x:f>
        <x:v>0.6480356785375669</x:v>
      </x:c>
      <x:c r="E413" s="5" t="n">
        <x:f>IF(D413&lt;=1,1,0)</x:f>
        <x:v>1</x:v>
      </x:c>
      <x:c r="F413" s="6" t="n">
        <x:f>4*SUM($E$9:E413)/A413</x:f>
        <x:v>3.0024691358024693</x:v>
      </x:c>
      <x:c r="G413" s="1"/>
      <x:c r="H413" s="1"/>
    </x:row>
    <x:row r="414" ht="22" customHeight="1">
      <x:c r="A414" s="1" t="n">
        <x:v>406</x:v>
      </x:c>
      <x:c r="B414" s="6" t="n">
        <x:f>RAND()</x:f>
        <x:v>0.5463616044813894</x:v>
      </x:c>
      <x:c r="C414" s="6" t="n">
        <x:f>RAND()</x:f>
        <x:v>0.16480398953394593</x:v>
      </x:c>
      <x:c r="D414" s="6" t="n">
        <x:f>B414^2+C414^2</x:f>
        <x:v>0.3256713578177831</x:v>
      </x:c>
      <x:c r="E414" s="5" t="n">
        <x:f>IF(D414&lt;=1,1,0)</x:f>
        <x:v>1</x:v>
      </x:c>
      <x:c r="F414" s="6" t="n">
        <x:f>4*SUM($E$9:E414)/A414</x:f>
        <x:v>3.0049261083743843</x:v>
      </x:c>
      <x:c r="G414" s="1"/>
      <x:c r="H414" s="1"/>
    </x:row>
    <x:row r="415" ht="22" customHeight="1">
      <x:c r="A415" s="1" t="n">
        <x:v>407</x:v>
      </x:c>
      <x:c r="B415" s="6" t="n">
        <x:f>RAND()</x:f>
        <x:v>0.15808052271567452</x:v>
      </x:c>
      <x:c r="C415" s="6" t="n">
        <x:f>RAND()</x:f>
        <x:v>0.09598602114036348</x:v>
      </x:c>
      <x:c r="D415" s="6" t="n">
        <x:f>B415^2+C415^2</x:f>
        <x:v>0.03420276791641919</x:v>
      </x:c>
      <x:c r="E415" s="5" t="n">
        <x:f>IF(D415&lt;=1,1,0)</x:f>
        <x:v>1</x:v>
      </x:c>
      <x:c r="F415" s="6" t="n">
        <x:f>4*SUM($E$9:E415)/A415</x:f>
        <x:v>3.0073710073710074</x:v>
      </x:c>
      <x:c r="G415" s="1"/>
      <x:c r="H415" s="1"/>
    </x:row>
    <x:row r="416" ht="22" customHeight="1">
      <x:c r="A416" s="1" t="n">
        <x:v>408</x:v>
      </x:c>
      <x:c r="B416" s="6" t="n">
        <x:f>RAND()</x:f>
        <x:v>0.8447209488854561</x:v>
      </x:c>
      <x:c r="C416" s="6" t="n">
        <x:f>RAND()</x:f>
        <x:v>0.8731078054674251</x:v>
      </x:c>
      <x:c r="D416" s="6" t="n">
        <x:f>B416^2+C416^2</x:f>
        <x:v>1.4758707214540883</x:v>
      </x:c>
      <x:c r="E416" s="5" t="n">
        <x:f>IF(D416&lt;=1,1,0)</x:f>
        <x:v>0</x:v>
      </x:c>
      <x:c r="F416" s="6" t="n">
        <x:f>4*SUM($E$9:E416)/A416</x:f>
        <x:v>3</x:v>
      </x:c>
      <x:c r="G416" s="1"/>
      <x:c r="H416" s="1"/>
    </x:row>
    <x:row r="417" ht="22" customHeight="1">
      <x:c r="A417" s="1" t="n">
        <x:v>409</x:v>
      </x:c>
      <x:c r="B417" s="6" t="n">
        <x:f>RAND()</x:f>
        <x:v>0.7465908194950505</x:v>
      </x:c>
      <x:c r="C417" s="6" t="n">
        <x:f>RAND()</x:f>
        <x:v>0.53716622718074</x:v>
      </x:c>
      <x:c r="D417" s="6" t="n">
        <x:f>B417^2+C417^2</x:f>
        <x:v>0.8459454073778814</x:v>
      </x:c>
      <x:c r="E417" s="5" t="n">
        <x:f>IF(D417&lt;=1,1,0)</x:f>
        <x:v>1</x:v>
      </x:c>
      <x:c r="F417" s="6" t="n">
        <x:f>4*SUM($E$9:E417)/A417</x:f>
        <x:v>3.002444987775061</x:v>
      </x:c>
      <x:c r="G417" s="1"/>
      <x:c r="H417" s="1"/>
    </x:row>
    <x:row r="418" ht="22" customHeight="1">
      <x:c r="A418" s="1" t="n">
        <x:v>410</x:v>
      </x:c>
      <x:c r="B418" s="6" t="n">
        <x:f>RAND()</x:f>
        <x:v>0.6011215072360908</x:v>
      </x:c>
      <x:c r="C418" s="6" t="n">
        <x:f>RAND()</x:f>
        <x:v>0.6405888440149993</x:v>
      </x:c>
      <x:c r="D418" s="6" t="n">
        <x:f>B418^2+C418^2</x:f>
        <x:v>0.7717011335382626</x:v>
      </x:c>
      <x:c r="E418" s="5" t="n">
        <x:f>IF(D418&lt;=1,1,0)</x:f>
        <x:v>1</x:v>
      </x:c>
      <x:c r="F418" s="6" t="n">
        <x:f>4*SUM($E$9:E418)/A418</x:f>
        <x:v>3.004878048780488</x:v>
      </x:c>
      <x:c r="G418" s="1"/>
      <x:c r="H418" s="1"/>
    </x:row>
    <x:row r="419" ht="22" customHeight="1">
      <x:c r="A419" s="1" t="n">
        <x:v>411</x:v>
      </x:c>
      <x:c r="B419" s="6" t="n">
        <x:f>RAND()</x:f>
        <x:v>0.8456110816465727</x:v>
      </x:c>
      <x:c r="C419" s="6" t="n">
        <x:f>RAND()</x:f>
        <x:v>0.7667863069954148</x:v>
      </x:c>
      <x:c r="D419" s="6" t="n">
        <x:f>B419^2+C419^2</x:f>
        <x:v>1.3030193419991534</x:v>
      </x:c>
      <x:c r="E419" s="5" t="n">
        <x:f>IF(D419&lt;=1,1,0)</x:f>
        <x:v>0</x:v>
      </x:c>
      <x:c r="F419" s="6" t="n">
        <x:f>4*SUM($E$9:E419)/A419</x:f>
        <x:v>2.997566909975669</x:v>
      </x:c>
      <x:c r="G419" s="1"/>
      <x:c r="H419" s="1"/>
    </x:row>
    <x:row r="420" ht="22" customHeight="1">
      <x:c r="A420" s="1" t="n">
        <x:v>412</x:v>
      </x:c>
      <x:c r="B420" s="6" t="n">
        <x:f>RAND()</x:f>
        <x:v>0.5521378002249953</x:v>
      </x:c>
      <x:c r="C420" s="6" t="n">
        <x:f>RAND()</x:f>
        <x:v>0.007824694308655289</x:v>
      </x:c>
      <x:c r="D420" s="6" t="n">
        <x:f>B420^2+C420^2</x:f>
        <x:v>0.30491737627832066</x:v>
      </x:c>
      <x:c r="E420" s="5" t="n">
        <x:f>IF(D420&lt;=1,1,0)</x:f>
        <x:v>1</x:v>
      </x:c>
      <x:c r="F420" s="6" t="n">
        <x:f>4*SUM($E$9:E420)/A420</x:f>
        <x:v>3</x:v>
      </x:c>
      <x:c r="G420" s="1"/>
      <x:c r="H420" s="1"/>
    </x:row>
    <x:row r="421" ht="22" customHeight="1">
      <x:c r="A421" s="1" t="n">
        <x:v>413</x:v>
      </x:c>
      <x:c r="B421" s="6" t="n">
        <x:f>RAND()</x:f>
        <x:v>0.6660787043443741</x:v>
      </x:c>
      <x:c r="C421" s="6" t="n">
        <x:f>RAND()</x:f>
        <x:v>0.38976344990660383</x:v>
      </x:c>
      <x:c r="D421" s="6" t="n">
        <x:f>B421^2+C421^2</x:f>
        <x:v>0.5955763872641777</x:v>
      </x:c>
      <x:c r="E421" s="5" t="n">
        <x:f>IF(D421&lt;=1,1,0)</x:f>
        <x:v>1</x:v>
      </x:c>
      <x:c r="F421" s="6" t="n">
        <x:f>4*SUM($E$9:E421)/A421</x:f>
        <x:v>3.002421307506053</x:v>
      </x:c>
      <x:c r="G421" s="1"/>
      <x:c r="H421" s="1"/>
    </x:row>
    <x:row r="422" ht="22" customHeight="1">
      <x:c r="A422" s="1" t="n">
        <x:v>414</x:v>
      </x:c>
      <x:c r="B422" s="6" t="n">
        <x:f>RAND()</x:f>
        <x:v>0.8716064795777732</x:v>
      </x:c>
      <x:c r="C422" s="6" t="n">
        <x:f>RAND()</x:f>
        <x:v>0.00570532566719717</x:v>
      </x:c>
      <x:c r="D422" s="6" t="n">
        <x:f>B422^2+C422^2</x:f>
        <x:v>0.7597304059829278</x:v>
      </x:c>
      <x:c r="E422" s="5" t="n">
        <x:f>IF(D422&lt;=1,1,0)</x:f>
        <x:v>1</x:v>
      </x:c>
      <x:c r="F422" s="6" t="n">
        <x:f>4*SUM($E$9:E422)/A422</x:f>
        <x:v>3.004830917874396</x:v>
      </x:c>
      <x:c r="G422" s="1"/>
      <x:c r="H422" s="1"/>
    </x:row>
    <x:row r="423" ht="22" customHeight="1">
      <x:c r="A423" s="1" t="n">
        <x:v>415</x:v>
      </x:c>
      <x:c r="B423" s="6" t="n">
        <x:f>RAND()</x:f>
        <x:v>0.7791909096651771</x:v>
      </x:c>
      <x:c r="C423" s="6" t="n">
        <x:f>RAND()</x:f>
        <x:v>0.63933198417323</x:v>
      </x:c>
      <x:c r="D423" s="6" t="n">
        <x:f>B423^2+C423^2</x:f>
        <x:v>1.0158838596917255</x:v>
      </x:c>
      <x:c r="E423" s="5" t="n">
        <x:f>IF(D423&lt;=1,1,0)</x:f>
        <x:v>0</x:v>
      </x:c>
      <x:c r="F423" s="6" t="n">
        <x:f>4*SUM($E$9:E423)/A423</x:f>
        <x:v>2.9975903614457833</x:v>
      </x:c>
      <x:c r="G423" s="1"/>
      <x:c r="H423" s="1"/>
    </x:row>
    <x:row r="424" ht="22" customHeight="1">
      <x:c r="A424" s="1" t="n">
        <x:v>416</x:v>
      </x:c>
      <x:c r="B424" s="6" t="n">
        <x:f>RAND()</x:f>
        <x:v>0.44189716407403923</x:v>
      </x:c>
      <x:c r="C424" s="6" t="n">
        <x:f>RAND()</x:f>
        <x:v>0.9526361382248891</x:v>
      </x:c>
      <x:c r="D424" s="6" t="n">
        <x:f>B424^2+C424^2</x:f>
        <x:v>1.1027887154687084</x:v>
      </x:c>
      <x:c r="E424" s="5" t="n">
        <x:f>IF(D424&lt;=1,1,0)</x:f>
        <x:v>0</x:v>
      </x:c>
      <x:c r="F424" s="6" t="n">
        <x:f>4*SUM($E$9:E424)/A424</x:f>
        <x:v>2.9903846153846154</x:v>
      </x:c>
      <x:c r="G424" s="1"/>
      <x:c r="H424" s="1"/>
    </x:row>
    <x:row r="425" ht="22" customHeight="1">
      <x:c r="A425" s="1" t="n">
        <x:v>417</x:v>
      </x:c>
      <x:c r="B425" s="6" t="n">
        <x:f>RAND()</x:f>
        <x:v>0.5370719486419889</x:v>
      </x:c>
      <x:c r="C425" s="6" t="n">
        <x:f>RAND()</x:f>
        <x:v>0.5693374776208127</x:v>
      </x:c>
      <x:c r="D425" s="6" t="n">
        <x:f>B425^2+C425^2</x:f>
        <x:v>0.6125914414417326</x:v>
      </x:c>
      <x:c r="E425" s="5" t="n">
        <x:f>IF(D425&lt;=1,1,0)</x:f>
        <x:v>1</x:v>
      </x:c>
      <x:c r="F425" s="6" t="n">
        <x:f>4*SUM($E$9:E425)/A425</x:f>
        <x:v>2.9928057553956835</x:v>
      </x:c>
      <x:c r="G425" s="1"/>
      <x:c r="H425" s="1"/>
    </x:row>
    <x:row r="426" ht="22" customHeight="1">
      <x:c r="A426" s="1" t="n">
        <x:v>418</x:v>
      </x:c>
      <x:c r="B426" s="6" t="n">
        <x:f>RAND()</x:f>
        <x:v>0.8177145467637115</x:v>
      </x:c>
      <x:c r="C426" s="6" t="n">
        <x:f>RAND()</x:f>
        <x:v>0.594807129733024</x:v>
      </x:c>
      <x:c r="D426" s="6" t="n">
        <x:f>B426^2+C426^2</x:f>
        <x:v>1.0224526015702204</x:v>
      </x:c>
      <x:c r="E426" s="5" t="n">
        <x:f>IF(D426&lt;=1,1,0)</x:f>
        <x:v>0</x:v>
      </x:c>
      <x:c r="F426" s="6" t="n">
        <x:f>4*SUM($E$9:E426)/A426</x:f>
        <x:v>2.985645933014354</x:v>
      </x:c>
      <x:c r="G426" s="1"/>
      <x:c r="H426" s="1"/>
    </x:row>
    <x:row r="427" ht="22" customHeight="1">
      <x:c r="A427" s="1" t="n">
        <x:v>419</x:v>
      </x:c>
      <x:c r="B427" s="6" t="n">
        <x:f>RAND()</x:f>
        <x:v>0.1433288369479181</x:v>
      </x:c>
      <x:c r="C427" s="6" t="n">
        <x:f>RAND()</x:f>
        <x:v>0.7828543729211783</x:v>
      </x:c>
      <x:c r="D427" s="6" t="n">
        <x:f>B427^2+C427^2</x:f>
        <x:v>0.6334041247026542</x:v>
      </x:c>
      <x:c r="E427" s="5" t="n">
        <x:f>IF(D427&lt;=1,1,0)</x:f>
        <x:v>1</x:v>
      </x:c>
      <x:c r="F427" s="6" t="n">
        <x:f>4*SUM($E$9:E427)/A427</x:f>
        <x:v>2.988066825775656</x:v>
      </x:c>
      <x:c r="G427" s="1"/>
      <x:c r="H427" s="1"/>
    </x:row>
    <x:row r="428" ht="22" customHeight="1">
      <x:c r="A428" s="1" t="n">
        <x:v>420</x:v>
      </x:c>
      <x:c r="B428" s="6" t="n">
        <x:f>RAND()</x:f>
        <x:v>0.8037717496547158</x:v>
      </x:c>
      <x:c r="C428" s="6" t="n">
        <x:f>RAND()</x:f>
        <x:v>0.6654761656945927</x:v>
      </x:c>
      <x:c r="D428" s="6" t="n">
        <x:f>B428^2+C428^2</x:f>
        <x:v>1.08890755265058</x:v>
      </x:c>
      <x:c r="E428" s="5" t="n">
        <x:f>IF(D428&lt;=1,1,0)</x:f>
        <x:v>0</x:v>
      </x:c>
      <x:c r="F428" s="6" t="n">
        <x:f>4*SUM($E$9:E428)/A428</x:f>
        <x:v>2.980952380952381</x:v>
      </x:c>
      <x:c r="G428" s="1"/>
      <x:c r="H428" s="1"/>
    </x:row>
    <x:row r="429" ht="22" customHeight="1">
      <x:c r="A429" s="1" t="n">
        <x:v>421</x:v>
      </x:c>
      <x:c r="B429" s="6" t="n">
        <x:f>RAND()</x:f>
        <x:v>0.8101102900619257</x:v>
      </x:c>
      <x:c r="C429" s="6" t="n">
        <x:f>RAND()</x:f>
        <x:v>0.10170024596836214</x:v>
      </x:c>
      <x:c r="D429" s="6" t="n">
        <x:f>B429^2+C429^2</x:f>
        <x:v>0.6666216220942427</x:v>
      </x:c>
      <x:c r="E429" s="5" t="n">
        <x:f>IF(D429&lt;=1,1,0)</x:f>
        <x:v>1</x:v>
      </x:c>
      <x:c r="F429" s="6" t="n">
        <x:f>4*SUM($E$9:E429)/A429</x:f>
        <x:v>2.983372921615202</x:v>
      </x:c>
      <x:c r="G429" s="1"/>
      <x:c r="H429" s="1"/>
    </x:row>
    <x:row r="430" ht="22" customHeight="1">
      <x:c r="A430" s="1" t="n">
        <x:v>422</x:v>
      </x:c>
      <x:c r="B430" s="6" t="n">
        <x:f>RAND()</x:f>
        <x:v>0.2975894926437105</x:v>
      </x:c>
      <x:c r="C430" s="6" t="n">
        <x:f>RAND()</x:f>
        <x:v>0.7205806888232975</x:v>
      </x:c>
      <x:c r="D430" s="6" t="n">
        <x:f>B430^2+C430^2</x:f>
        <x:v>0.6077960352369989</x:v>
      </x:c>
      <x:c r="E430" s="5" t="n">
        <x:f>IF(D430&lt;=1,1,0)</x:f>
        <x:v>1</x:v>
      </x:c>
      <x:c r="F430" s="6" t="n">
        <x:f>4*SUM($E$9:E430)/A430</x:f>
        <x:v>2.985781990521327</x:v>
      </x:c>
      <x:c r="G430" s="1"/>
      <x:c r="H430" s="1"/>
    </x:row>
    <x:row r="431" ht="22" customHeight="1">
      <x:c r="A431" s="1" t="n">
        <x:v>423</x:v>
      </x:c>
      <x:c r="B431" s="6" t="n">
        <x:f>RAND()</x:f>
        <x:v>0.07540987762217188</x:v>
      </x:c>
      <x:c r="C431" s="6" t="n">
        <x:f>RAND()</x:f>
        <x:v>0.8516059449093192</x:v>
      </x:c>
      <x:c r="D431" s="6" t="n">
        <x:f>B431^2+C431^2</x:f>
        <x:v>0.7309193350478853</x:v>
      </x:c>
      <x:c r="E431" s="5" t="n">
        <x:f>IF(D431&lt;=1,1,0)</x:f>
        <x:v>1</x:v>
      </x:c>
      <x:c r="F431" s="6" t="n">
        <x:f>4*SUM($E$9:E431)/A431</x:f>
        <x:v>2.9881796690307327</x:v>
      </x:c>
      <x:c r="G431" s="1"/>
      <x:c r="H431" s="1"/>
    </x:row>
    <x:row r="432" ht="22" customHeight="1">
      <x:c r="A432" s="1" t="n">
        <x:v>424</x:v>
      </x:c>
      <x:c r="B432" s="6" t="n">
        <x:f>RAND()</x:f>
        <x:v>0.17253326131242697</x:v>
      </x:c>
      <x:c r="C432" s="6" t="n">
        <x:f>RAND()</x:f>
        <x:v>0.8667297859825646</x:v>
      </x:c>
      <x:c r="D432" s="6" t="n">
        <x:f>B432^2+C432^2</x:f>
        <x:v>0.7809882481684843</x:v>
      </x:c>
      <x:c r="E432" s="5" t="n">
        <x:f>IF(D432&lt;=1,1,0)</x:f>
        <x:v>1</x:v>
      </x:c>
      <x:c r="F432" s="6" t="n">
        <x:f>4*SUM($E$9:E432)/A432</x:f>
        <x:v>2.990566037735849</x:v>
      </x:c>
      <x:c r="G432" s="1"/>
      <x:c r="H432" s="1"/>
    </x:row>
    <x:row r="433" ht="22" customHeight="1">
      <x:c r="A433" s="1" t="n">
        <x:v>425</x:v>
      </x:c>
      <x:c r="B433" s="6" t="n">
        <x:f>RAND()</x:f>
        <x:v>0.20050633880144375</x:v>
      </x:c>
      <x:c r="C433" s="6" t="n">
        <x:f>RAND()</x:f>
        <x:v>0.9117867983237151</x:v>
      </x:c>
      <x:c r="D433" s="6" t="n">
        <x:f>B433^2+C433^2</x:f>
        <x:v>0.8715579574969705</x:v>
      </x:c>
      <x:c r="E433" s="5" t="n">
        <x:f>IF(D433&lt;=1,1,0)</x:f>
        <x:v>1</x:v>
      </x:c>
      <x:c r="F433" s="6" t="n">
        <x:f>4*SUM($E$9:E433)/A433</x:f>
        <x:v>2.9929411764705884</x:v>
      </x:c>
      <x:c r="G433" s="1"/>
      <x:c r="H433" s="1"/>
    </x:row>
    <x:row r="434" ht="22" customHeight="1">
      <x:c r="A434" s="1" t="n">
        <x:v>426</x:v>
      </x:c>
      <x:c r="B434" s="6" t="n">
        <x:f>RAND()</x:f>
        <x:v>0.19866560813793555</x:v>
      </x:c>
      <x:c r="C434" s="6" t="n">
        <x:f>RAND()</x:f>
        <x:v>0.8160723500678849</x:v>
      </x:c>
      <x:c r="D434" s="6" t="n">
        <x:f>B434^2+C434^2</x:f>
        <x:v>0.7054421044021363</x:v>
      </x:c>
      <x:c r="E434" s="5" t="n">
        <x:f>IF(D434&lt;=1,1,0)</x:f>
        <x:v>1</x:v>
      </x:c>
      <x:c r="F434" s="6" t="n">
        <x:f>4*SUM($E$9:E434)/A434</x:f>
        <x:v>2.995305164319249</x:v>
      </x:c>
      <x:c r="G434" s="1"/>
      <x:c r="H434" s="1"/>
    </x:row>
    <x:row r="435" ht="22" customHeight="1">
      <x:c r="A435" s="1" t="n">
        <x:v>427</x:v>
      </x:c>
      <x:c r="B435" s="6" t="n">
        <x:f>RAND()</x:f>
        <x:v>0.3884862071172812</x:v>
      </x:c>
      <x:c r="C435" s="6" t="n">
        <x:f>RAND()</x:f>
        <x:v>0.4911278254060062</x:v>
      </x:c>
      <x:c r="D435" s="6" t="n">
        <x:f>B435^2+C435^2</x:f>
        <x:v>0.39212807400840366</x:v>
      </x:c>
      <x:c r="E435" s="5" t="n">
        <x:f>IF(D435&lt;=1,1,0)</x:f>
        <x:v>1</x:v>
      </x:c>
      <x:c r="F435" s="6" t="n">
        <x:f>4*SUM($E$9:E435)/A435</x:f>
        <x:v>2.997658079625293</x:v>
      </x:c>
      <x:c r="G435" s="1"/>
      <x:c r="H435" s="1"/>
    </x:row>
    <x:row r="436" ht="22" customHeight="1">
      <x:c r="A436" s="1" t="n">
        <x:v>428</x:v>
      </x:c>
      <x:c r="B436" s="6" t="n">
        <x:f>RAND()</x:f>
        <x:v>0.8116439362323878</x:v>
      </x:c>
      <x:c r="C436" s="6" t="n">
        <x:f>RAND()</x:f>
        <x:v>0.6025302597597415</x:v>
      </x:c>
      <x:c r="D436" s="6" t="n">
        <x:f>B436^2+C436^2</x:f>
        <x:v>1.021808593148946</x:v>
      </x:c>
      <x:c r="E436" s="5" t="n">
        <x:f>IF(D436&lt;=1,1,0)</x:f>
        <x:v>0</x:v>
      </x:c>
      <x:c r="F436" s="6" t="n">
        <x:f>4*SUM($E$9:E436)/A436</x:f>
        <x:v>2.9906542056074765</x:v>
      </x:c>
      <x:c r="G436" s="1"/>
      <x:c r="H436" s="1"/>
    </x:row>
    <x:row r="437" ht="22" customHeight="1">
      <x:c r="A437" s="1" t="n">
        <x:v>429</x:v>
      </x:c>
      <x:c r="B437" s="6" t="n">
        <x:f>RAND()</x:f>
        <x:v>0.6190097087815668</x:v>
      </x:c>
      <x:c r="C437" s="6" t="n">
        <x:f>RAND()</x:f>
        <x:v>0.19456174481963495</x:v>
      </x:c>
      <x:c r="D437" s="6" t="n">
        <x:f>B437^2+C437^2</x:f>
        <x:v>0.4210272921131009</x:v>
      </x:c>
      <x:c r="E437" s="5" t="n">
        <x:f>IF(D437&lt;=1,1,0)</x:f>
        <x:v>1</x:v>
      </x:c>
      <x:c r="F437" s="6" t="n">
        <x:f>4*SUM($E$9:E437)/A437</x:f>
        <x:v>2.993006993006993</x:v>
      </x:c>
      <x:c r="G437" s="1"/>
      <x:c r="H437" s="1"/>
    </x:row>
    <x:row r="438" ht="22" customHeight="1">
      <x:c r="A438" s="1" t="n">
        <x:v>430</x:v>
      </x:c>
      <x:c r="B438" s="6" t="n">
        <x:f>RAND()</x:f>
        <x:v>0.3919965978131168</x:v>
      </x:c>
      <x:c r="C438" s="6" t="n">
        <x:f>RAND()</x:f>
        <x:v>0.22956710277490755</x:v>
      </x:c>
      <x:c r="D438" s="6" t="n">
        <x:f>B438^2+C438^2</x:f>
        <x:v>0.20636238737352341</x:v>
      </x:c>
      <x:c r="E438" s="5" t="n">
        <x:f>IF(D438&lt;=1,1,0)</x:f>
        <x:v>1</x:v>
      </x:c>
      <x:c r="F438" s="6" t="n">
        <x:f>4*SUM($E$9:E438)/A438</x:f>
        <x:v>2.9953488372093022</x:v>
      </x:c>
      <x:c r="G438" s="1"/>
      <x:c r="H438" s="1"/>
    </x:row>
    <x:row r="439" ht="22" customHeight="1">
      <x:c r="A439" s="1" t="n">
        <x:v>431</x:v>
      </x:c>
      <x:c r="B439" s="6" t="n">
        <x:f>RAND()</x:f>
        <x:v>0.8539851326565966</x:v>
      </x:c>
      <x:c r="C439" s="6" t="n">
        <x:f>RAND()</x:f>
        <x:v>0.5458027626808011</x:v>
      </x:c>
      <x:c r="D439" s="6" t="n">
        <x:f>B439^2+C439^2</x:f>
        <x:v>1.0271912625484998</x:v>
      </x:c>
      <x:c r="E439" s="5" t="n">
        <x:f>IF(D439&lt;=1,1,0)</x:f>
        <x:v>0</x:v>
      </x:c>
      <x:c r="F439" s="6" t="n">
        <x:f>4*SUM($E$9:E439)/A439</x:f>
        <x:v>2.988399071925754</x:v>
      </x:c>
      <x:c r="G439" s="1"/>
      <x:c r="H439" s="1"/>
    </x:row>
    <x:row r="440" ht="22" customHeight="1">
      <x:c r="A440" s="1" t="n">
        <x:v>432</x:v>
      </x:c>
      <x:c r="B440" s="6" t="n">
        <x:f>RAND()</x:f>
        <x:v>0.5877340768109525</x:v>
      </x:c>
      <x:c r="C440" s="6" t="n">
        <x:f>RAND()</x:f>
        <x:v>0.665219630827529</x:v>
      </x:c>
      <x:c r="D440" s="6" t="n">
        <x:f>B440^2+C440^2</x:f>
        <x:v>0.7879485022831365</x:v>
      </x:c>
      <x:c r="E440" s="5" t="n">
        <x:f>IF(D440&lt;=1,1,0)</x:f>
        <x:v>1</x:v>
      </x:c>
      <x:c r="F440" s="6" t="n">
        <x:f>4*SUM($E$9:E440)/A440</x:f>
        <x:v>2.990740740740741</x:v>
      </x:c>
      <x:c r="G440" s="1"/>
      <x:c r="H440" s="1"/>
    </x:row>
    <x:row r="441" ht="22" customHeight="1">
      <x:c r="A441" s="1" t="n">
        <x:v>433</x:v>
      </x:c>
      <x:c r="B441" s="6" t="n">
        <x:f>RAND()</x:f>
        <x:v>0.5404519692046514</x:v>
      </x:c>
      <x:c r="C441" s="6" t="n">
        <x:f>RAND()</x:f>
        <x:v>0.25796537199277425</x:v>
      </x:c>
      <x:c r="D441" s="6" t="n">
        <x:f>B441^2+C441^2</x:f>
        <x:v>0.3586344641645559</x:v>
      </x:c>
      <x:c r="E441" s="5" t="n">
        <x:f>IF(D441&lt;=1,1,0)</x:f>
        <x:v>1</x:v>
      </x:c>
      <x:c r="F441" s="6" t="n">
        <x:f>4*SUM($E$9:E441)/A441</x:f>
        <x:v>2.9930715935334873</x:v>
      </x:c>
      <x:c r="G441" s="1"/>
      <x:c r="H441" s="1"/>
    </x:row>
    <x:row r="442" ht="22" customHeight="1">
      <x:c r="A442" s="1" t="n">
        <x:v>434</x:v>
      </x:c>
      <x:c r="B442" s="6" t="n">
        <x:f>RAND()</x:f>
        <x:v>0.9993741770878443</x:v>
      </x:c>
      <x:c r="C442" s="6" t="n">
        <x:f>RAND()</x:f>
        <x:v>0.6114269650331339</x:v>
      </x:c>
      <x:c r="D442" s="6" t="n">
        <x:f>B442^2+C442^2</x:f>
        <x:v>1.3725916793996351</x:v>
      </x:c>
      <x:c r="E442" s="5" t="n">
        <x:f>IF(D442&lt;=1,1,0)</x:f>
        <x:v>0</x:v>
      </x:c>
      <x:c r="F442" s="6" t="n">
        <x:f>4*SUM($E$9:E442)/A442</x:f>
        <x:v>2.986175115207373</x:v>
      </x:c>
      <x:c r="G442" s="1"/>
      <x:c r="H442" s="1"/>
    </x:row>
    <x:row r="443" ht="22" customHeight="1">
      <x:c r="A443" s="1" t="n">
        <x:v>435</x:v>
      </x:c>
      <x:c r="B443" s="6" t="n">
        <x:f>RAND()</x:f>
        <x:v>0.6795634993603147</x:v>
      </x:c>
      <x:c r="C443" s="6" t="n">
        <x:f>RAND()</x:f>
        <x:v>0.899866204323394</x:v>
      </x:c>
      <x:c r="D443" s="6" t="n">
        <x:f>B443^2+C443^2</x:f>
        <x:v>1.2715657353462286</x:v>
      </x:c>
      <x:c r="E443" s="5" t="n">
        <x:f>IF(D443&lt;=1,1,0)</x:f>
        <x:v>0</x:v>
      </x:c>
      <x:c r="F443" s="6" t="n">
        <x:f>4*SUM($E$9:E443)/A443</x:f>
        <x:v>2.9793103448275864</x:v>
      </x:c>
      <x:c r="G443" s="1"/>
      <x:c r="H443" s="1"/>
    </x:row>
    <x:row r="444" ht="22" customHeight="1">
      <x:c r="A444" s="1" t="n">
        <x:v>436</x:v>
      </x:c>
      <x:c r="B444" s="6" t="n">
        <x:f>RAND()</x:f>
        <x:v>0.14775352854024248</x:v>
      </x:c>
      <x:c r="C444" s="6" t="n">
        <x:f>RAND()</x:f>
        <x:v>0.20975958846271192</x:v>
      </x:c>
      <x:c r="D444" s="6" t="n">
        <x:f>B444^2+C444^2</x:f>
        <x:v>0.06583019014813851</x:v>
      </x:c>
      <x:c r="E444" s="5" t="n">
        <x:f>IF(D444&lt;=1,1,0)</x:f>
        <x:v>1</x:v>
      </x:c>
      <x:c r="F444" s="6" t="n">
        <x:f>4*SUM($E$9:E444)/A444</x:f>
        <x:v>2.981651376146789</x:v>
      </x:c>
      <x:c r="G444" s="1"/>
      <x:c r="H444" s="1"/>
    </x:row>
    <x:row r="445" ht="22" customHeight="1">
      <x:c r="A445" s="1" t="n">
        <x:v>437</x:v>
      </x:c>
      <x:c r="B445" s="6" t="n">
        <x:f>RAND()</x:f>
        <x:v>0.7645782026712358</x:v>
      </x:c>
      <x:c r="C445" s="6" t="n">
        <x:f>RAND()</x:f>
        <x:v>0.09344182996232131</x:v>
      </x:c>
      <x:c r="D445" s="6" t="n">
        <x:f>B445^2+C445^2</x:f>
        <x:v>0.5933112035866847</x:v>
      </x:c>
      <x:c r="E445" s="5" t="n">
        <x:f>IF(D445&lt;=1,1,0)</x:f>
        <x:v>1</x:v>
      </x:c>
      <x:c r="F445" s="6" t="n">
        <x:f>4*SUM($E$9:E445)/A445</x:f>
        <x:v>2.9839816933638446</x:v>
      </x:c>
      <x:c r="G445" s="1"/>
      <x:c r="H445" s="1"/>
    </x:row>
    <x:row r="446" ht="22" customHeight="1">
      <x:c r="A446" s="1" t="n">
        <x:v>438</x:v>
      </x:c>
      <x:c r="B446" s="6" t="n">
        <x:f>RAND()</x:f>
        <x:v>0.1038129100410986</x:v>
      </x:c>
      <x:c r="C446" s="6" t="n">
        <x:f>RAND()</x:f>
        <x:v>0.8953019270160297</x:v>
      </x:c>
      <x:c r="D446" s="6" t="n">
        <x:f>B446^2+C446^2</x:f>
        <x:v>0.8123426608098174</x:v>
      </x:c>
      <x:c r="E446" s="5" t="n">
        <x:f>IF(D446&lt;=1,1,0)</x:f>
        <x:v>1</x:v>
      </x:c>
      <x:c r="F446" s="6" t="n">
        <x:f>4*SUM($E$9:E446)/A446</x:f>
        <x:v>2.9863013698630136</x:v>
      </x:c>
      <x:c r="G446" s="1"/>
      <x:c r="H446" s="1"/>
    </x:row>
    <x:row r="447" ht="22" customHeight="1">
      <x:c r="A447" s="1" t="n">
        <x:v>439</x:v>
      </x:c>
      <x:c r="B447" s="6" t="n">
        <x:f>RAND()</x:f>
        <x:v>0.82582404314725</x:v>
      </x:c>
      <x:c r="C447" s="6" t="n">
        <x:f>RAND()</x:f>
        <x:v>0.36849861222118996</x:v>
      </x:c>
      <x:c r="D447" s="6" t="n">
        <x:f>B447^2+C447^2</x:f>
        <x:v>0.817776577449014</x:v>
      </x:c>
      <x:c r="E447" s="5" t="n">
        <x:f>IF(D447&lt;=1,1,0)</x:f>
        <x:v>1</x:v>
      </x:c>
      <x:c r="F447" s="6" t="n">
        <x:f>4*SUM($E$9:E447)/A447</x:f>
        <x:v>2.988610478359909</x:v>
      </x:c>
      <x:c r="G447" s="1"/>
      <x:c r="H447" s="1"/>
    </x:row>
    <x:row r="448" ht="22" customHeight="1">
      <x:c r="A448" s="1" t="n">
        <x:v>440</x:v>
      </x:c>
      <x:c r="B448" s="6" t="n">
        <x:f>RAND()</x:f>
        <x:v>0.5797319530207559</x:v>
      </x:c>
      <x:c r="C448" s="6" t="n">
        <x:f>RAND()</x:f>
        <x:v>0.1434141316168508</x:v>
      </x:c>
      <x:c r="D448" s="6" t="n">
        <x:f>B448^2+C448^2</x:f>
        <x:v>0.3566567505006753</x:v>
      </x:c>
      <x:c r="E448" s="5" t="n">
        <x:f>IF(D448&lt;=1,1,0)</x:f>
        <x:v>1</x:v>
      </x:c>
      <x:c r="F448" s="6" t="n">
        <x:f>4*SUM($E$9:E448)/A448</x:f>
        <x:v>2.9909090909090907</x:v>
      </x:c>
      <x:c r="G448" s="1"/>
      <x:c r="H448" s="1"/>
    </x:row>
    <x:row r="449" ht="22" customHeight="1">
      <x:c r="A449" s="1" t="n">
        <x:v>441</x:v>
      </x:c>
      <x:c r="B449" s="6" t="n">
        <x:f>RAND()</x:f>
        <x:v>0.8631957080899988</x:v>
      </x:c>
      <x:c r="C449" s="6" t="n">
        <x:f>RAND()</x:f>
        <x:v>0.07845961132486534</x:v>
      </x:c>
      <x:c r="D449" s="6" t="n">
        <x:f>B449^2+C449^2</x:f>
        <x:v>0.7512627410742433</x:v>
      </x:c>
      <x:c r="E449" s="5" t="n">
        <x:f>IF(D449&lt;=1,1,0)</x:f>
        <x:v>1</x:v>
      </x:c>
      <x:c r="F449" s="6" t="n">
        <x:f>4*SUM($E$9:E449)/A449</x:f>
        <x:v>2.993197278911565</x:v>
      </x:c>
      <x:c r="G449" s="1"/>
      <x:c r="H449" s="1"/>
    </x:row>
    <x:row r="450" ht="22" customHeight="1">
      <x:c r="A450" s="1" t="n">
        <x:v>442</x:v>
      </x:c>
      <x:c r="B450" s="6" t="n">
        <x:f>RAND()</x:f>
        <x:v>0.14060722806829518</x:v>
      </x:c>
      <x:c r="C450" s="6" t="n">
        <x:f>RAND()</x:f>
        <x:v>0.84752284694038</x:v>
      </x:c>
      <x:c r="D450" s="6" t="n">
        <x:f>B450^2+C450^2</x:f>
        <x:v>0.7380653686709764</x:v>
      </x:c>
      <x:c r="E450" s="5" t="n">
        <x:f>IF(D450&lt;=1,1,0)</x:f>
        <x:v>1</x:v>
      </x:c>
      <x:c r="F450" s="6" t="n">
        <x:f>4*SUM($E$9:E450)/A450</x:f>
        <x:v>2.995475113122172</x:v>
      </x:c>
      <x:c r="G450" s="1"/>
      <x:c r="H450" s="1"/>
    </x:row>
    <x:row r="451" ht="22" customHeight="1">
      <x:c r="A451" s="1" t="n">
        <x:v>443</x:v>
      </x:c>
      <x:c r="B451" s="6" t="n">
        <x:f>RAND()</x:f>
        <x:v>0.14458785859889656</x:v>
      </x:c>
      <x:c r="C451" s="6" t="n">
        <x:f>RAND()</x:f>
        <x:v>0.8675979543157611</x:v>
      </x:c>
      <x:c r="D451" s="6" t="n">
        <x:f>B451^2+C451^2</x:f>
        <x:v>0.7736318591871081</x:v>
      </x:c>
      <x:c r="E451" s="5" t="n">
        <x:f>IF(D451&lt;=1,1,0)</x:f>
        <x:v>1</x:v>
      </x:c>
      <x:c r="F451" s="6" t="n">
        <x:f>4*SUM($E$9:E451)/A451</x:f>
        <x:v>2.9977426636568847</x:v>
      </x:c>
      <x:c r="G451" s="1"/>
      <x:c r="H451" s="1"/>
    </x:row>
    <x:row r="452" ht="22" customHeight="1">
      <x:c r="A452" s="1" t="n">
        <x:v>444</x:v>
      </x:c>
      <x:c r="B452" s="6" t="n">
        <x:f>RAND()</x:f>
        <x:v>0.7975780028923237</x:v>
      </x:c>
      <x:c r="C452" s="6" t="n">
        <x:f>RAND()</x:f>
        <x:v>0.8140287112052144</x:v>
      </x:c>
      <x:c r="D452" s="6" t="n">
        <x:f>B452^2+C452^2</x:f>
        <x:v>1.2987734133641298</x:v>
      </x:c>
      <x:c r="E452" s="5" t="n">
        <x:f>IF(D452&lt;=1,1,0)</x:f>
        <x:v>0</x:v>
      </x:c>
      <x:c r="F452" s="6" t="n">
        <x:f>4*SUM($E$9:E452)/A452</x:f>
        <x:v>2.990990990990991</x:v>
      </x:c>
      <x:c r="G452" s="1"/>
      <x:c r="H452" s="1"/>
    </x:row>
    <x:row r="453" ht="22" customHeight="1">
      <x:c r="A453" s="1" t="n">
        <x:v>445</x:v>
      </x:c>
      <x:c r="B453" s="6" t="n">
        <x:f>RAND()</x:f>
        <x:v>0.20865096576760078</x:v>
      </x:c>
      <x:c r="C453" s="6" t="n">
        <x:f>RAND()</x:f>
        <x:v>0.15735909961009586</x:v>
      </x:c>
      <x:c r="D453" s="6" t="n">
        <x:f>B453^2+C453^2</x:f>
        <x:v>0.06829711174585258</x:v>
      </x:c>
      <x:c r="E453" s="5" t="n">
        <x:f>IF(D453&lt;=1,1,0)</x:f>
        <x:v>1</x:v>
      </x:c>
      <x:c r="F453" s="6" t="n">
        <x:f>4*SUM($E$9:E453)/A453</x:f>
        <x:v>2.993258426966292</x:v>
      </x:c>
      <x:c r="G453" s="1"/>
      <x:c r="H453" s="1"/>
    </x:row>
    <x:row r="454" ht="22" customHeight="1">
      <x:c r="A454" s="1" t="n">
        <x:v>446</x:v>
      </x:c>
      <x:c r="B454" s="6" t="n">
        <x:f>RAND()</x:f>
        <x:v>0.535252044044231</x:v>
      </x:c>
      <x:c r="C454" s="6" t="n">
        <x:f>RAND()</x:f>
        <x:v>0.4296556472314824</x:v>
      </x:c>
      <x:c r="D454" s="6" t="n">
        <x:f>B454^2+C454^2</x:f>
        <x:v>0.4710987258514315</x:v>
      </x:c>
      <x:c r="E454" s="5" t="n">
        <x:f>IF(D454&lt;=1,1,0)</x:f>
        <x:v>1</x:v>
      </x:c>
      <x:c r="F454" s="6" t="n">
        <x:f>4*SUM($E$9:E454)/A454</x:f>
        <x:v>2.995515695067265</x:v>
      </x:c>
      <x:c r="G454" s="1"/>
      <x:c r="H454" s="1"/>
    </x:row>
    <x:row r="455" ht="22" customHeight="1">
      <x:c r="A455" s="1" t="n">
        <x:v>447</x:v>
      </x:c>
      <x:c r="B455" s="6" t="n">
        <x:f>RAND()</x:f>
        <x:v>0.04592167550135451</x:v>
      </x:c>
      <x:c r="C455" s="6" t="n">
        <x:f>RAND()</x:f>
        <x:v>0.7353011192770887</x:v>
      </x:c>
      <x:c r="D455" s="6" t="n">
        <x:f>B455^2+C455^2</x:f>
        <x:v>0.5427765362909912</x:v>
      </x:c>
      <x:c r="E455" s="5" t="n">
        <x:f>IF(D455&lt;=1,1,0)</x:f>
        <x:v>1</x:v>
      </x:c>
      <x:c r="F455" s="6" t="n">
        <x:f>4*SUM($E$9:E455)/A455</x:f>
        <x:v>2.9977628635346756</x:v>
      </x:c>
      <x:c r="G455" s="1"/>
      <x:c r="H455" s="1"/>
    </x:row>
    <x:row r="456" ht="22" customHeight="1">
      <x:c r="A456" s="1" t="n">
        <x:v>448</x:v>
      </x:c>
      <x:c r="B456" s="6" t="n">
        <x:f>RAND()</x:f>
        <x:v>0.9840565082091581</x:v>
      </x:c>
      <x:c r="C456" s="6" t="n">
        <x:f>RAND()</x:f>
        <x:v>0.9574323533124386</x:v>
      </x:c>
      <x:c r="D456" s="6" t="n">
        <x:f>B456^2+C456^2</x:f>
        <x:v>1.8850439225181952</x:v>
      </x:c>
      <x:c r="E456" s="5" t="n">
        <x:f>IF(D456&lt;=1,1,0)</x:f>
        <x:v>0</x:v>
      </x:c>
      <x:c r="F456" s="6" t="n">
        <x:f>4*SUM($E$9:E456)/A456</x:f>
        <x:v>2.9910714285714284</x:v>
      </x:c>
      <x:c r="G456" s="1"/>
      <x:c r="H456" s="1"/>
    </x:row>
    <x:row r="457" ht="22" customHeight="1">
      <x:c r="A457" s="1" t="n">
        <x:v>449</x:v>
      </x:c>
      <x:c r="B457" s="6" t="n">
        <x:f>RAND()</x:f>
        <x:v>0.5777204768166051</x:v>
      </x:c>
      <x:c r="C457" s="6" t="n">
        <x:f>RAND()</x:f>
        <x:v>0.6304512953397998</x:v>
      </x:c>
      <x:c r="D457" s="6" t="n">
        <x:f>B457^2+C457^2</x:f>
        <x:v>0.7312297851288371</x:v>
      </x:c>
      <x:c r="E457" s="5" t="n">
        <x:f>IF(D457&lt;=1,1,0)</x:f>
        <x:v>1</x:v>
      </x:c>
      <x:c r="F457" s="6" t="n">
        <x:f>4*SUM($E$9:E457)/A457</x:f>
        <x:v>2.9933184855233854</x:v>
      </x:c>
      <x:c r="G457" s="1"/>
      <x:c r="H457" s="1"/>
    </x:row>
    <x:row r="458" ht="22" customHeight="1">
      <x:c r="A458" s="1" t="n">
        <x:v>450</x:v>
      </x:c>
      <x:c r="B458" s="6" t="n">
        <x:f>RAND()</x:f>
        <x:v>0.9177846724411042</x:v>
      </x:c>
      <x:c r="C458" s="6" t="n">
        <x:f>RAND()</x:f>
        <x:v>0.8825040657489083</x:v>
      </x:c>
      <x:c r="D458" s="6" t="n">
        <x:f>B458^2+C458^2</x:f>
        <x:v>1.6211421310311782</x:v>
      </x:c>
      <x:c r="E458" s="5" t="n">
        <x:f>IF(D458&lt;=1,1,0)</x:f>
        <x:v>0</x:v>
      </x:c>
      <x:c r="F458" s="6" t="n">
        <x:f>4*SUM($E$9:E458)/A458</x:f>
        <x:v>2.986666666666667</x:v>
      </x:c>
      <x:c r="G458" s="1"/>
      <x:c r="H458" s="1"/>
    </x:row>
    <x:row r="459" ht="22" customHeight="1">
      <x:c r="A459" s="1" t="n">
        <x:v>451</x:v>
      </x:c>
      <x:c r="B459" s="6" t="n">
        <x:f>RAND()</x:f>
        <x:v>0.26205101984287005</x:v>
      </x:c>
      <x:c r="C459" s="6" t="n">
        <x:f>RAND()</x:f>
        <x:v>0.32143663648450116</x:v>
      </x:c>
      <x:c r="D459" s="6" t="n">
        <x:f>B459^2+C459^2</x:f>
        <x:v>0.17199224827515763</x:v>
      </x:c>
      <x:c r="E459" s="5" t="n">
        <x:f>IF(D459&lt;=1,1,0)</x:f>
        <x:v>1</x:v>
      </x:c>
      <x:c r="F459" s="6" t="n">
        <x:f>4*SUM($E$9:E459)/A459</x:f>
        <x:v>2.988913525498891</x:v>
      </x:c>
      <x:c r="G459" s="1"/>
      <x:c r="H459" s="1"/>
    </x:row>
    <x:row r="460" ht="22" customHeight="1">
      <x:c r="A460" s="1" t="n">
        <x:v>452</x:v>
      </x:c>
      <x:c r="B460" s="6" t="n">
        <x:f>RAND()</x:f>
        <x:v>0.45778958705675876</x:v>
      </x:c>
      <x:c r="C460" s="6" t="n">
        <x:f>RAND()</x:f>
        <x:v>0.45537547204632867</x:v>
      </x:c>
      <x:c r="D460" s="6" t="n">
        <x:f>B460^2+C460^2</x:f>
        <x:v>0.4169381265590144</x:v>
      </x:c>
      <x:c r="E460" s="5" t="n">
        <x:f>IF(D460&lt;=1,1,0)</x:f>
        <x:v>1</x:v>
      </x:c>
      <x:c r="F460" s="6" t="n">
        <x:f>4*SUM($E$9:E460)/A460</x:f>
        <x:v>2.9911504424778763</x:v>
      </x:c>
      <x:c r="G460" s="1"/>
      <x:c r="H460" s="1"/>
    </x:row>
    <x:row r="461" ht="22" customHeight="1">
      <x:c r="A461" s="1" t="n">
        <x:v>453</x:v>
      </x:c>
      <x:c r="B461" s="6" t="n">
        <x:f>RAND()</x:f>
        <x:v>0.3972650040266672</x:v>
      </x:c>
      <x:c r="C461" s="6" t="n">
        <x:f>RAND()</x:f>
        <x:v>0.10220051325732227</x:v>
      </x:c>
      <x:c r="D461" s="6" t="n">
        <x:f>B461^2+C461^2</x:f>
        <x:v>0.168264428334368</x:v>
      </x:c>
      <x:c r="E461" s="5" t="n">
        <x:f>IF(D461&lt;=1,1,0)</x:f>
        <x:v>1</x:v>
      </x:c>
      <x:c r="F461" s="6" t="n">
        <x:f>4*SUM($E$9:E461)/A461</x:f>
        <x:v>2.993377483443709</x:v>
      </x:c>
      <x:c r="G461" s="1"/>
      <x:c r="H461" s="1"/>
    </x:row>
    <x:row r="462" ht="22" customHeight="1">
      <x:c r="A462" s="1" t="n">
        <x:v>454</x:v>
      </x:c>
      <x:c r="B462" s="6" t="n">
        <x:f>RAND()</x:f>
        <x:v>0.011090456180837704</x:v>
      </x:c>
      <x:c r="C462" s="6" t="n">
        <x:f>RAND()</x:f>
        <x:v>0.5244355940929472</x:v>
      </x:c>
      <x:c r="D462" s="6" t="n">
        <x:f>B462^2+C462^2</x:f>
        <x:v>0.2751556905699215</x:v>
      </x:c>
      <x:c r="E462" s="5" t="n">
        <x:f>IF(D462&lt;=1,1,0)</x:f>
        <x:v>1</x:v>
      </x:c>
      <x:c r="F462" s="6" t="n">
        <x:f>4*SUM($E$9:E462)/A462</x:f>
        <x:v>2.995594713656388</x:v>
      </x:c>
      <x:c r="G462" s="1"/>
      <x:c r="H462" s="1"/>
    </x:row>
    <x:row r="463" ht="22" customHeight="1">
      <x:c r="A463" s="1" t="n">
        <x:v>455</x:v>
      </x:c>
      <x:c r="B463" s="6" t="n">
        <x:f>RAND()</x:f>
        <x:v>0.3136452235575292</x:v>
      </x:c>
      <x:c r="C463" s="6" t="n">
        <x:f>RAND()</x:f>
        <x:v>0.6290147858909692</x:v>
      </x:c>
      <x:c r="D463" s="6" t="n">
        <x:f>B463^2+C463^2</x:f>
        <x:v>0.49403292712991426</x:v>
      </x:c>
      <x:c r="E463" s="5" t="n">
        <x:f>IF(D463&lt;=1,1,0)</x:f>
        <x:v>1</x:v>
      </x:c>
      <x:c r="F463" s="6" t="n">
        <x:f>4*SUM($E$9:E463)/A463</x:f>
        <x:v>2.997802197802198</x:v>
      </x:c>
      <x:c r="G463" s="1"/>
      <x:c r="H463" s="1"/>
    </x:row>
    <x:row r="464" ht="22" customHeight="1">
      <x:c r="A464" s="1" t="n">
        <x:v>456</x:v>
      </x:c>
      <x:c r="B464" s="6" t="n">
        <x:f>RAND()</x:f>
        <x:v>0.3375072065586445</x:v>
      </x:c>
      <x:c r="C464" s="6" t="n">
        <x:f>RAND()</x:f>
        <x:v>0.8608287850067816</x:v>
      </x:c>
      <x:c r="D464" s="6" t="n">
        <x:f>B464^2+C464^2</x:f>
        <x:v>0.8549373115752714</x:v>
      </x:c>
      <x:c r="E464" s="5" t="n">
        <x:f>IF(D464&lt;=1,1,0)</x:f>
        <x:v>1</x:v>
      </x:c>
      <x:c r="F464" s="6" t="n">
        <x:f>4*SUM($E$9:E464)/A464</x:f>
        <x:v>3</x:v>
      </x:c>
      <x:c r="G464" s="1"/>
      <x:c r="H464" s="1"/>
    </x:row>
    <x:row r="465" ht="22" customHeight="1">
      <x:c r="A465" s="1" t="n">
        <x:v>457</x:v>
      </x:c>
      <x:c r="B465" s="6" t="n">
        <x:f>RAND()</x:f>
        <x:v>0.6137111367611385</x:v>
      </x:c>
      <x:c r="C465" s="6" t="n">
        <x:f>RAND()</x:f>
        <x:v>0.2010956342424659</x:v>
      </x:c>
      <x:c r="D465" s="6" t="n">
        <x:f>B465^2+C465^2</x:f>
        <x:v>0.4170808134960285</x:v>
      </x:c>
      <x:c r="E465" s="5" t="n">
        <x:f>IF(D465&lt;=1,1,0)</x:f>
        <x:v>1</x:v>
      </x:c>
      <x:c r="F465" s="6" t="n">
        <x:f>4*SUM($E$9:E465)/A465</x:f>
        <x:v>3.00218818380744</x:v>
      </x:c>
      <x:c r="G465" s="1"/>
      <x:c r="H465" s="1"/>
    </x:row>
    <x:row r="466" ht="22" customHeight="1">
      <x:c r="A466" s="1" t="n">
        <x:v>458</x:v>
      </x:c>
      <x:c r="B466" s="6" t="n">
        <x:f>RAND()</x:f>
        <x:v>0.4781081471631995</x:v>
      </x:c>
      <x:c r="C466" s="6" t="n">
        <x:f>RAND()</x:f>
        <x:v>0.5839698148800238</x:v>
      </x:c>
      <x:c r="D466" s="6" t="n">
        <x:f>B466^2+C466^2</x:f>
        <x:v>0.5696081450748369</x:v>
      </x:c>
      <x:c r="E466" s="5" t="n">
        <x:f>IF(D466&lt;=1,1,0)</x:f>
        <x:v>1</x:v>
      </x:c>
      <x:c r="F466" s="6" t="n">
        <x:f>4*SUM($E$9:E466)/A466</x:f>
        <x:v>3.004366812227074</x:v>
      </x:c>
      <x:c r="G466" s="1"/>
      <x:c r="H466" s="1"/>
    </x:row>
    <x:row r="467" ht="22" customHeight="1">
      <x:c r="A467" s="1" t="n">
        <x:v>459</x:v>
      </x:c>
      <x:c r="B467" s="6" t="n">
        <x:f>RAND()</x:f>
        <x:v>0.7081935826392612</x:v>
      </x:c>
      <x:c r="C467" s="6" t="n">
        <x:f>RAND()</x:f>
        <x:v>0.8417475183086142</x:v>
      </x:c>
      <x:c r="D467" s="6" t="n">
        <x:f>B467^2+C467^2</x:f>
        <x:v>1.2100770350701429</x:v>
      </x:c>
      <x:c r="E467" s="5" t="n">
        <x:f>IF(D467&lt;=1,1,0)</x:f>
        <x:v>0</x:v>
      </x:c>
      <x:c r="F467" s="6" t="n">
        <x:f>4*SUM($E$9:E467)/A467</x:f>
        <x:v>2.997821350762527</x:v>
      </x:c>
      <x:c r="G467" s="1"/>
      <x:c r="H467" s="1"/>
    </x:row>
    <x:row r="468" ht="22" customHeight="1">
      <x:c r="A468" s="1" t="n">
        <x:v>460</x:v>
      </x:c>
      <x:c r="B468" s="6" t="n">
        <x:f>RAND()</x:f>
        <x:v>0.47817922772294896</x:v>
      </x:c>
      <x:c r="C468" s="6" t="n">
        <x:f>RAND()</x:f>
        <x:v>0.2635090269035528</x:v>
      </x:c>
      <x:c r="D468" s="6" t="n">
        <x:f>B468^2+C468^2</x:f>
        <x:v>0.2980923810853732</x:v>
      </x:c>
      <x:c r="E468" s="5" t="n">
        <x:f>IF(D468&lt;=1,1,0)</x:f>
        <x:v>1</x:v>
      </x:c>
      <x:c r="F468" s="6" t="n">
        <x:f>4*SUM($E$9:E468)/A468</x:f>
        <x:v>3</x:v>
      </x:c>
      <x:c r="G468" s="1"/>
      <x:c r="H468" s="1"/>
    </x:row>
    <x:row r="469" ht="22" customHeight="1">
      <x:c r="A469" s="1" t="n">
        <x:v>461</x:v>
      </x:c>
      <x:c r="B469" s="6" t="n">
        <x:f>RAND()</x:f>
        <x:v>0.5431073541216028</x:v>
      </x:c>
      <x:c r="C469" s="6" t="n">
        <x:f>RAND()</x:f>
        <x:v>0.04358229196093877</x:v>
      </x:c>
      <x:c r="D469" s="6" t="n">
        <x:f>B469^2+C469^2</x:f>
        <x:v>0.2968650142735366</x:v>
      </x:c>
      <x:c r="E469" s="5" t="n">
        <x:f>IF(D469&lt;=1,1,0)</x:f>
        <x:v>1</x:v>
      </x:c>
      <x:c r="F469" s="6" t="n">
        <x:f>4*SUM($E$9:E469)/A469</x:f>
        <x:v>3.002169197396963</x:v>
      </x:c>
      <x:c r="G469" s="1"/>
      <x:c r="H469" s="1"/>
    </x:row>
    <x:row r="470" ht="22" customHeight="1">
      <x:c r="A470" s="1" t="n">
        <x:v>462</x:v>
      </x:c>
      <x:c r="B470" s="6" t="n">
        <x:f>RAND()</x:f>
        <x:v>0.14531536636425613</x:v>
      </x:c>
      <x:c r="C470" s="6" t="n">
        <x:f>RAND()</x:f>
        <x:v>0.7448279339410739</x:v>
      </x:c>
      <x:c r="D470" s="6" t="n">
        <x:f>B470^2+C470^2</x:f>
        <x:v>0.5758852068805068</x:v>
      </x:c>
      <x:c r="E470" s="5" t="n">
        <x:f>IF(D470&lt;=1,1,0)</x:f>
        <x:v>1</x:v>
      </x:c>
      <x:c r="F470" s="6" t="n">
        <x:f>4*SUM($E$9:E470)/A470</x:f>
        <x:v>3.0043290043290045</x:v>
      </x:c>
      <x:c r="G470" s="1"/>
      <x:c r="H470" s="1"/>
    </x:row>
    <x:row r="471" ht="22" customHeight="1">
      <x:c r="A471" s="1" t="n">
        <x:v>463</x:v>
      </x:c>
      <x:c r="B471" s="6" t="n">
        <x:f>RAND()</x:f>
        <x:v>0.23330970115065086</x:v>
      </x:c>
      <x:c r="C471" s="6" t="n">
        <x:f>RAND()</x:f>
        <x:v>0.6146637314486499</x:v>
      </x:c>
      <x:c r="D471" s="6" t="n">
        <x:f>B471^2+C471^2</x:f>
        <x:v>0.4322449194093841</x:v>
      </x:c>
      <x:c r="E471" s="5" t="n">
        <x:f>IF(D471&lt;=1,1,0)</x:f>
        <x:v>1</x:v>
      </x:c>
      <x:c r="F471" s="6" t="n">
        <x:f>4*SUM($E$9:E471)/A471</x:f>
        <x:v>3.0064794816414686</x:v>
      </x:c>
      <x:c r="G471" s="1"/>
      <x:c r="H471" s="1"/>
    </x:row>
    <x:row r="472" ht="22" customHeight="1">
      <x:c r="A472" s="1" t="n">
        <x:v>464</x:v>
      </x:c>
      <x:c r="B472" s="6" t="n">
        <x:f>RAND()</x:f>
        <x:v>0.904122025510195</x:v>
      </x:c>
      <x:c r="C472" s="6" t="n">
        <x:f>RAND()</x:f>
        <x:v>0.5455214909914509</x:v>
      </x:c>
      <x:c r="D472" s="6" t="n">
        <x:f>B472^2+C472^2</x:f>
        <x:v>1.1150303341461933</x:v>
      </x:c>
      <x:c r="E472" s="5" t="n">
        <x:f>IF(D472&lt;=1,1,0)</x:f>
        <x:v>0</x:v>
      </x:c>
      <x:c r="F472" s="6" t="n">
        <x:f>4*SUM($E$9:E472)/A472</x:f>
        <x:v>3</x:v>
      </x:c>
      <x:c r="G472" s="1"/>
      <x:c r="H472" s="1"/>
    </x:row>
    <x:row r="473" ht="22" customHeight="1">
      <x:c r="A473" s="1" t="n">
        <x:v>465</x:v>
      </x:c>
      <x:c r="B473" s="6" t="n">
        <x:f>RAND()</x:f>
        <x:v>0.3091868329596069</x:v>
      </x:c>
      <x:c r="C473" s="6" t="n">
        <x:f>RAND()</x:f>
        <x:v>0.6682795805784931</x:v>
      </x:c>
      <x:c r="D473" s="6" t="n">
        <x:f>B473^2+C473^2</x:f>
        <x:v>0.5421940954937586</x:v>
      </x:c>
      <x:c r="E473" s="5" t="n">
        <x:f>IF(D473&lt;=1,1,0)</x:f>
        <x:v>1</x:v>
      </x:c>
      <x:c r="F473" s="6" t="n">
        <x:f>4*SUM($E$9:E473)/A473</x:f>
        <x:v>3.0021505376344084</x:v>
      </x:c>
      <x:c r="G473" s="1"/>
      <x:c r="H473" s="1"/>
    </x:row>
    <x:row r="474" ht="22" customHeight="1">
      <x:c r="A474" s="1" t="n">
        <x:v>466</x:v>
      </x:c>
      <x:c r="B474" s="6" t="n">
        <x:f>RAND()</x:f>
        <x:v>0.06944775113812263</x:v>
      </x:c>
      <x:c r="C474" s="6" t="n">
        <x:f>RAND()</x:f>
        <x:v>0.7496321225566214</x:v>
      </x:c>
      <x:c r="D474" s="6" t="n">
        <x:f>B474^2+C474^2</x:f>
        <x:v>0.566771309306888</x:v>
      </x:c>
      <x:c r="E474" s="5" t="n">
        <x:f>IF(D474&lt;=1,1,0)</x:f>
        <x:v>1</x:v>
      </x:c>
      <x:c r="F474" s="6" t="n">
        <x:f>4*SUM($E$9:E474)/A474</x:f>
        <x:v>3.004291845493562</x:v>
      </x:c>
      <x:c r="G474" s="1"/>
      <x:c r="H474" s="1"/>
    </x:row>
    <x:row r="475" ht="22" customHeight="1">
      <x:c r="A475" s="1" t="n">
        <x:v>467</x:v>
      </x:c>
      <x:c r="B475" s="6" t="n">
        <x:f>RAND()</x:f>
        <x:v>0.7852706197438555</x:v>
      </x:c>
      <x:c r="C475" s="6" t="n">
        <x:f>RAND()</x:f>
        <x:v>0.743847225116753</x:v>
      </x:c>
      <x:c r="D475" s="6" t="n">
        <x:f>B475^2+C475^2</x:f>
        <x:v>1.1699586405467923</x:v>
      </x:c>
      <x:c r="E475" s="5" t="n">
        <x:f>IF(D475&lt;=1,1,0)</x:f>
        <x:v>0</x:v>
      </x:c>
      <x:c r="F475" s="6" t="n">
        <x:f>4*SUM($E$9:E475)/A475</x:f>
        <x:v>2.9978586723768736</x:v>
      </x:c>
      <x:c r="G475" s="1"/>
      <x:c r="H475" s="1"/>
    </x:row>
    <x:row r="476" ht="22" customHeight="1">
      <x:c r="A476" s="1" t="n">
        <x:v>468</x:v>
      </x:c>
      <x:c r="B476" s="6" t="n">
        <x:f>RAND()</x:f>
        <x:v>0.9330608368447028</x:v>
      </x:c>
      <x:c r="C476" s="6" t="n">
        <x:f>RAND()</x:f>
        <x:v>0.8282410524378021</x:v>
      </x:c>
      <x:c r="D476" s="6" t="n">
        <x:f>B476^2+C476^2</x:f>
        <x:v>1.5565857661966152</x:v>
      </x:c>
      <x:c r="E476" s="5" t="n">
        <x:f>IF(D476&lt;=1,1,0)</x:f>
        <x:v>0</x:v>
      </x:c>
      <x:c r="F476" s="6" t="n">
        <x:f>4*SUM($E$9:E476)/A476</x:f>
        <x:v>2.9914529914529915</x:v>
      </x:c>
      <x:c r="G476" s="1"/>
      <x:c r="H476" s="1"/>
    </x:row>
    <x:row r="477" ht="22" customHeight="1">
      <x:c r="A477" s="1" t="n">
        <x:v>469</x:v>
      </x:c>
      <x:c r="B477" s="6" t="n">
        <x:f>RAND()</x:f>
        <x:v>0.42636160179357174</x:v>
      </x:c>
      <x:c r="C477" s="6" t="n">
        <x:f>RAND()</x:f>
        <x:v>0.0031507881061710874</x:v>
      </x:c>
      <x:c r="D477" s="6" t="n">
        <x:f>B477^2+C477^2</x:f>
        <x:v>0.18179414294967022</x:v>
      </x:c>
      <x:c r="E477" s="5" t="n">
        <x:f>IF(D477&lt;=1,1,0)</x:f>
        <x:v>1</x:v>
      </x:c>
      <x:c r="F477" s="6" t="n">
        <x:f>4*SUM($E$9:E477)/A477</x:f>
        <x:v>2.9936034115138592</x:v>
      </x:c>
      <x:c r="G477" s="1"/>
      <x:c r="H477" s="1"/>
    </x:row>
    <x:row r="478" ht="22" customHeight="1">
      <x:c r="A478" s="1" t="n">
        <x:v>470</x:v>
      </x:c>
      <x:c r="B478" s="6" t="n">
        <x:f>RAND()</x:f>
        <x:v>0.8825479205823554</x:v>
      </x:c>
      <x:c r="C478" s="6" t="n">
        <x:f>RAND()</x:f>
        <x:v>0.34906157501380397</x:v>
      </x:c>
      <x:c r="D478" s="6" t="n">
        <x:f>B478^2+C478^2</x:f>
        <x:v>0.9007348152753571</x:v>
      </x:c>
      <x:c r="E478" s="5" t="n">
        <x:f>IF(D478&lt;=1,1,0)</x:f>
        <x:v>1</x:v>
      </x:c>
      <x:c r="F478" s="6" t="n">
        <x:f>4*SUM($E$9:E478)/A478</x:f>
        <x:v>2.9957446808510637</x:v>
      </x:c>
      <x:c r="G478" s="1"/>
      <x:c r="H478" s="1"/>
    </x:row>
    <x:row r="479" ht="22" customHeight="1">
      <x:c r="A479" s="1" t="n">
        <x:v>471</x:v>
      </x:c>
      <x:c r="B479" s="6" t="n">
        <x:f>RAND()</x:f>
        <x:v>0.029254048975171143</x:v>
      </x:c>
      <x:c r="C479" s="6" t="n">
        <x:f>RAND()</x:f>
        <x:v>0.45363654662015507</x:v>
      </x:c>
      <x:c r="D479" s="6" t="n">
        <x:f>B479^2+C479^2</x:f>
        <x:v>0.20664191581090183</x:v>
      </x:c>
      <x:c r="E479" s="5" t="n">
        <x:f>IF(D479&lt;=1,1,0)</x:f>
        <x:v>1</x:v>
      </x:c>
      <x:c r="F479" s="6" t="n">
        <x:f>4*SUM($E$9:E479)/A479</x:f>
        <x:v>2.997876857749469</x:v>
      </x:c>
      <x:c r="G479" s="1"/>
      <x:c r="H479" s="1"/>
    </x:row>
    <x:row r="480" ht="22" customHeight="1">
      <x:c r="A480" s="1" t="n">
        <x:v>472</x:v>
      </x:c>
      <x:c r="B480" s="6" t="n">
        <x:f>RAND()</x:f>
        <x:v>0.2870829376093619</x:v>
      </x:c>
      <x:c r="C480" s="6" t="n">
        <x:f>RAND()</x:f>
        <x:v>0.3481402863988331</x:v>
      </x:c>
      <x:c r="D480" s="6" t="n">
        <x:f>B480^2+C480^2</x:f>
        <x:v>0.2036182720802823</x:v>
      </x:c>
      <x:c r="E480" s="5" t="n">
        <x:f>IF(D480&lt;=1,1,0)</x:f>
        <x:v>1</x:v>
      </x:c>
      <x:c r="F480" s="6" t="n">
        <x:f>4*SUM($E$9:E480)/A480</x:f>
        <x:v>3</x:v>
      </x:c>
      <x:c r="G480" s="1"/>
      <x:c r="H480" s="1"/>
    </x:row>
    <x:row r="481" ht="22" customHeight="1">
      <x:c r="A481" s="1" t="n">
        <x:v>473</x:v>
      </x:c>
      <x:c r="B481" s="6" t="n">
        <x:f>RAND()</x:f>
        <x:v>0.7587058331619064</x:v>
      </x:c>
      <x:c r="C481" s="6" t="n">
        <x:f>RAND()</x:f>
        <x:v>0.20041318629814675</x:v>
      </x:c>
      <x:c r="D481" s="6" t="n">
        <x:f>B481^2+C481^2</x:f>
        <x:v>0.6157999865160783</x:v>
      </x:c>
      <x:c r="E481" s="5" t="n">
        <x:f>IF(D481&lt;=1,1,0)</x:f>
        <x:v>1</x:v>
      </x:c>
      <x:c r="F481" s="6" t="n">
        <x:f>4*SUM($E$9:E481)/A481</x:f>
        <x:v>3.0021141649048624</x:v>
      </x:c>
      <x:c r="G481" s="1"/>
      <x:c r="H481" s="1"/>
    </x:row>
    <x:row r="482" ht="22" customHeight="1">
      <x:c r="A482" s="1" t="n">
        <x:v>474</x:v>
      </x:c>
      <x:c r="B482" s="6" t="n">
        <x:f>RAND()</x:f>
        <x:v>0.6568171201827151</x:v>
      </x:c>
      <x:c r="C482" s="6" t="n">
        <x:f>RAND()</x:f>
        <x:v>0.01754362838731005</x:v>
      </x:c>
      <x:c r="D482" s="6" t="n">
        <x:f>B482^2+C482^2</x:f>
        <x:v>0.4317165082621072</x:v>
      </x:c>
      <x:c r="E482" s="5" t="n">
        <x:f>IF(D482&lt;=1,1,0)</x:f>
        <x:v>1</x:v>
      </x:c>
      <x:c r="F482" s="6" t="n">
        <x:f>4*SUM($E$9:E482)/A482</x:f>
        <x:v>3.0042194092827006</x:v>
      </x:c>
      <x:c r="G482" s="1"/>
      <x:c r="H482" s="1"/>
    </x:row>
    <x:row r="483" ht="22" customHeight="1">
      <x:c r="A483" s="1" t="n">
        <x:v>475</x:v>
      </x:c>
      <x:c r="B483" s="6" t="n">
        <x:f>RAND()</x:f>
        <x:v>0.2839411370962097</x:v>
      </x:c>
      <x:c r="C483" s="6" t="n">
        <x:f>RAND()</x:f>
        <x:v>0.13408165360836477</x:v>
      </x:c>
      <x:c r="D483" s="6" t="n">
        <x:f>B483^2+C483^2</x:f>
        <x:v>0.09860045916984207</x:v>
      </x:c>
      <x:c r="E483" s="5" t="n">
        <x:f>IF(D483&lt;=1,1,0)</x:f>
        <x:v>1</x:v>
      </x:c>
      <x:c r="F483" s="6" t="n">
        <x:f>4*SUM($E$9:E483)/A483</x:f>
        <x:v>3.006315789473684</x:v>
      </x:c>
      <x:c r="G483" s="1"/>
      <x:c r="H483" s="1"/>
    </x:row>
    <x:row r="484" ht="22" customHeight="1">
      <x:c r="A484" s="1" t="n">
        <x:v>476</x:v>
      </x:c>
      <x:c r="B484" s="6" t="n">
        <x:f>RAND()</x:f>
        <x:v>0.19348983253400465</x:v>
      </x:c>
      <x:c r="C484" s="6" t="n">
        <x:f>RAND()</x:f>
        <x:v>0.08028364523273634</x:v>
      </x:c>
      <x:c r="D484" s="6" t="n">
        <x:f>B484^2+C484^2</x:f>
        <x:v>0.04388377898589303</x:v>
      </x:c>
      <x:c r="E484" s="5" t="n">
        <x:f>IF(D484&lt;=1,1,0)</x:f>
        <x:v>1</x:v>
      </x:c>
      <x:c r="F484" s="6" t="n">
        <x:f>4*SUM($E$9:E484)/A484</x:f>
        <x:v>3.008403361344538</x:v>
      </x:c>
      <x:c r="G484" s="1"/>
      <x:c r="H484" s="1"/>
    </x:row>
    <x:row r="485" ht="22" customHeight="1">
      <x:c r="A485" s="1" t="n">
        <x:v>477</x:v>
      </x:c>
      <x:c r="B485" s="6" t="n">
        <x:f>RAND()</x:f>
        <x:v>0.8771075930271316</x:v>
      </x:c>
      <x:c r="C485" s="6" t="n">
        <x:f>RAND()</x:f>
        <x:v>0.03263246843838108</x:v>
      </x:c>
      <x:c r="D485" s="6" t="n">
        <x:f>B485^2+C485^2</x:f>
        <x:v>0.7703826077422302</x:v>
      </x:c>
      <x:c r="E485" s="5" t="n">
        <x:f>IF(D485&lt;=1,1,0)</x:f>
        <x:v>1</x:v>
      </x:c>
      <x:c r="F485" s="6" t="n">
        <x:f>4*SUM($E$9:E485)/A485</x:f>
        <x:v>3.010482180293501</x:v>
      </x:c>
      <x:c r="G485" s="1"/>
      <x:c r="H485" s="1"/>
    </x:row>
    <x:row r="486" ht="22" customHeight="1">
      <x:c r="A486" s="1" t="n">
        <x:v>478</x:v>
      </x:c>
      <x:c r="B486" s="6" t="n">
        <x:f>RAND()</x:f>
        <x:v>0.7338349013815043</x:v>
      </x:c>
      <x:c r="C486" s="6" t="n">
        <x:f>RAND()</x:f>
        <x:v>0.3274618239717273</x:v>
      </x:c>
      <x:c r="D486" s="6" t="n">
        <x:f>B486^2+C486^2</x:f>
        <x:v>0.6457449086444926</x:v>
      </x:c>
      <x:c r="E486" s="5" t="n">
        <x:f>IF(D486&lt;=1,1,0)</x:f>
        <x:v>1</x:v>
      </x:c>
      <x:c r="F486" s="6" t="n">
        <x:f>4*SUM($E$9:E486)/A486</x:f>
        <x:v>3.01255230125523</x:v>
      </x:c>
      <x:c r="G486" s="1"/>
      <x:c r="H486" s="1"/>
    </x:row>
    <x:row r="487" ht="22" customHeight="1">
      <x:c r="A487" s="1" t="n">
        <x:v>479</x:v>
      </x:c>
      <x:c r="B487" s="6" t="n">
        <x:f>RAND()</x:f>
        <x:v>0.8995027608720492</x:v>
      </x:c>
      <x:c r="C487" s="6" t="n">
        <x:f>RAND()</x:f>
        <x:v>0.545236020359122</x:v>
      </x:c>
      <x:c r="D487" s="6" t="n">
        <x:f>B487^2+C487^2</x:f>
        <x:v>1.1063875347134917</x:v>
      </x:c>
      <x:c r="E487" s="5" t="n">
        <x:f>IF(D487&lt;=1,1,0)</x:f>
        <x:v>0</x:v>
      </x:c>
      <x:c r="F487" s="6" t="n">
        <x:f>4*SUM($E$9:E487)/A487</x:f>
        <x:v>3.0062630480167014</x:v>
      </x:c>
      <x:c r="G487" s="1"/>
      <x:c r="H487" s="1"/>
    </x:row>
    <x:row r="488" ht="22" customHeight="1">
      <x:c r="A488" s="1" t="n">
        <x:v>480</x:v>
      </x:c>
      <x:c r="B488" s="6" t="n">
        <x:f>RAND()</x:f>
        <x:v>0.10624950699703295</x:v>
      </x:c>
      <x:c r="C488" s="6" t="n">
        <x:f>RAND()</x:f>
        <x:v>0.28209970545205076</x:v>
      </x:c>
      <x:c r="D488" s="6" t="n">
        <x:f>B488^2+C488^2</x:f>
        <x:v>0.09086920155324635</x:v>
      </x:c>
      <x:c r="E488" s="5" t="n">
        <x:f>IF(D488&lt;=1,1,0)</x:f>
        <x:v>1</x:v>
      </x:c>
      <x:c r="F488" s="6" t="n">
        <x:f>4*SUM($E$9:E488)/A488</x:f>
        <x:v>3.0083333333333333</x:v>
      </x:c>
      <x:c r="G488" s="1"/>
      <x:c r="H488" s="1"/>
    </x:row>
    <x:row r="489" ht="22" customHeight="1">
      <x:c r="A489" s="1" t="n">
        <x:v>481</x:v>
      </x:c>
      <x:c r="B489" s="6" t="n">
        <x:f>RAND()</x:f>
        <x:v>0.753184029752503</x:v>
      </x:c>
      <x:c r="C489" s="6" t="n">
        <x:f>RAND()</x:f>
        <x:v>0.7379720453409159</x:v>
      </x:c>
      <x:c r="D489" s="6" t="n">
        <x:f>B489^2+C489^2</x:f>
        <x:v>1.1118889223788742</x:v>
      </x:c>
      <x:c r="E489" s="5" t="n">
        <x:f>IF(D489&lt;=1,1,0)</x:f>
        <x:v>0</x:v>
      </x:c>
      <x:c r="F489" s="6" t="n">
        <x:f>4*SUM($E$9:E489)/A489</x:f>
        <x:v>3.002079002079002</x:v>
      </x:c>
      <x:c r="G489" s="1"/>
      <x:c r="H489" s="1"/>
    </x:row>
    <x:row r="490" ht="22" customHeight="1">
      <x:c r="A490" s="1" t="n">
        <x:v>482</x:v>
      </x:c>
      <x:c r="B490" s="6" t="n">
        <x:f>RAND()</x:f>
        <x:v>0.049941711571276026</x:v>
      </x:c>
      <x:c r="C490" s="6" t="n">
        <x:f>RAND()</x:f>
        <x:v>0.6680874950922563</x:v>
      </x:c>
      <x:c r="D490" s="6" t="n">
        <x:f>B490^2+C490^2</x:f>
        <x:v>0.4488350756533141</x:v>
      </x:c>
      <x:c r="E490" s="5" t="n">
        <x:f>IF(D490&lt;=1,1,0)</x:f>
        <x:v>1</x:v>
      </x:c>
      <x:c r="F490" s="6" t="n">
        <x:f>4*SUM($E$9:E490)/A490</x:f>
        <x:v>3.004149377593361</x:v>
      </x:c>
      <x:c r="G490" s="1"/>
      <x:c r="H490" s="1"/>
    </x:row>
    <x:row r="491" ht="22" customHeight="1">
      <x:c r="A491" s="1" t="n">
        <x:v>483</x:v>
      </x:c>
      <x:c r="B491" s="6" t="n">
        <x:f>RAND()</x:f>
        <x:v>0.4172913791207584</x:v>
      </x:c>
      <x:c r="C491" s="6" t="n">
        <x:f>RAND()</x:f>
        <x:v>0.3566472058174128</x:v>
      </x:c>
      <x:c r="D491" s="6" t="n">
        <x:f>B491^2+C491^2</x:f>
        <x:v>0.3013293245058726</x:v>
      </x:c>
      <x:c r="E491" s="5" t="n">
        <x:f>IF(D491&lt;=1,1,0)</x:f>
        <x:v>1</x:v>
      </x:c>
      <x:c r="F491" s="6" t="n">
        <x:f>4*SUM($E$9:E491)/A491</x:f>
        <x:v>3.0062111801242235</x:v>
      </x:c>
      <x:c r="G491" s="1"/>
      <x:c r="H491" s="1"/>
    </x:row>
    <x:row r="492" ht="22" customHeight="1">
      <x:c r="A492" s="1" t="n">
        <x:v>484</x:v>
      </x:c>
      <x:c r="B492" s="6" t="n">
        <x:f>RAND()</x:f>
        <x:v>0.11561872625230885</x:v>
      </x:c>
      <x:c r="C492" s="6" t="n">
        <x:f>RAND()</x:f>
        <x:v>0.410775087767706</x:v>
      </x:c>
      <x:c r="D492" s="6" t="n">
        <x:f>B492^2+C492^2</x:f>
        <x:v>0.1821038625907729</x:v>
      </x:c>
      <x:c r="E492" s="5" t="n">
        <x:f>IF(D492&lt;=1,1,0)</x:f>
        <x:v>1</x:v>
      </x:c>
      <x:c r="F492" s="6" t="n">
        <x:f>4*SUM($E$9:E492)/A492</x:f>
        <x:v>3.0082644628099175</x:v>
      </x:c>
      <x:c r="G492" s="1"/>
      <x:c r="H492" s="1"/>
    </x:row>
    <x:row r="493" ht="22" customHeight="1">
      <x:c r="A493" s="1" t="n">
        <x:v>485</x:v>
      </x:c>
      <x:c r="B493" s="6" t="n">
        <x:f>RAND()</x:f>
        <x:v>0.14313379679139537</x:v>
      </x:c>
      <x:c r="C493" s="6" t="n">
        <x:f>RAND()</x:f>
        <x:v>0.6948325617345985</x:v>
      </x:c>
      <x:c r="D493" s="6" t="n">
        <x:f>B493^2+C493^2</x:f>
        <x:v>0.5032795726305851</x:v>
      </x:c>
      <x:c r="E493" s="5" t="n">
        <x:f>IF(D493&lt;=1,1,0)</x:f>
        <x:v>1</x:v>
      </x:c>
      <x:c r="F493" s="6" t="n">
        <x:f>4*SUM($E$9:E493)/A493</x:f>
        <x:v>3.0103092783505154</x:v>
      </x:c>
      <x:c r="G493" s="1"/>
      <x:c r="H493" s="1"/>
    </x:row>
    <x:row r="494" ht="22" customHeight="1">
      <x:c r="A494" s="1" t="n">
        <x:v>486</x:v>
      </x:c>
      <x:c r="B494" s="6" t="n">
        <x:f>RAND()</x:f>
        <x:v>0.5507416844953062</x:v>
      </x:c>
      <x:c r="C494" s="6" t="n">
        <x:f>RAND()</x:f>
        <x:v>0.8387377167427892</x:v>
      </x:c>
      <x:c r="D494" s="6" t="n">
        <x:f>B494^2+C494^2</x:f>
        <x:v>1.0067973605276348</x:v>
      </x:c>
      <x:c r="E494" s="5" t="n">
        <x:f>IF(D494&lt;=1,1,0)</x:f>
        <x:v>0</x:v>
      </x:c>
      <x:c r="F494" s="6" t="n">
        <x:f>4*SUM($E$9:E494)/A494</x:f>
        <x:v>3.0041152263374484</x:v>
      </x:c>
      <x:c r="G494" s="1"/>
      <x:c r="H494" s="1"/>
    </x:row>
    <x:row r="495" ht="22" customHeight="1">
      <x:c r="A495" s="1" t="n">
        <x:v>487</x:v>
      </x:c>
      <x:c r="B495" s="6" t="n">
        <x:f>RAND()</x:f>
        <x:v>0.1650232600298983</x:v>
      </x:c>
      <x:c r="C495" s="6" t="n">
        <x:f>RAND()</x:f>
        <x:v>0.28931459346777955</x:v>
      </x:c>
      <x:c r="D495" s="6" t="n">
        <x:f>B495^2+C495^2</x:f>
        <x:v>0.11093561034432198</x:v>
      </x:c>
      <x:c r="E495" s="5" t="n">
        <x:f>IF(D495&lt;=1,1,0)</x:f>
        <x:v>1</x:v>
      </x:c>
      <x:c r="F495" s="6" t="n">
        <x:f>4*SUM($E$9:E495)/A495</x:f>
        <x:v>3.0061601642710474</x:v>
      </x:c>
      <x:c r="G495" s="1"/>
      <x:c r="H495" s="1"/>
    </x:row>
    <x:row r="496" ht="22" customHeight="1">
      <x:c r="A496" s="1" t="n">
        <x:v>488</x:v>
      </x:c>
      <x:c r="B496" s="6" t="n">
        <x:f>RAND()</x:f>
        <x:v>0.989548637293955</x:v>
      </x:c>
      <x:c r="C496" s="6" t="n">
        <x:f>RAND()</x:f>
        <x:v>0.01251857833713188</x:v>
      </x:c>
      <x:c r="D496" s="6" t="n">
        <x:f>B496^2+C496^2</x:f>
        <x:v>0.9793632203739063</x:v>
      </x:c>
      <x:c r="E496" s="5" t="n">
        <x:f>IF(D496&lt;=1,1,0)</x:f>
        <x:v>1</x:v>
      </x:c>
      <x:c r="F496" s="6" t="n">
        <x:f>4*SUM($E$9:E496)/A496</x:f>
        <x:v>3.0081967213114753</x:v>
      </x:c>
      <x:c r="G496" s="1"/>
      <x:c r="H496" s="1"/>
    </x:row>
    <x:row r="497" ht="22" customHeight="1">
      <x:c r="A497" s="1" t="n">
        <x:v>489</x:v>
      </x:c>
      <x:c r="B497" s="6" t="n">
        <x:f>RAND()</x:f>
        <x:v>0.7505147029417408</x:v>
      </x:c>
      <x:c r="C497" s="6" t="n">
        <x:f>RAND()</x:f>
        <x:v>0.7908527894776683</x:v>
      </x:c>
      <x:c r="D497" s="6" t="n">
        <x:f>B497^2+C497^2</x:f>
        <x:v>1.1887204539563387</x:v>
      </x:c>
      <x:c r="E497" s="5" t="n">
        <x:f>IF(D497&lt;=1,1,0)</x:f>
        <x:v>0</x:v>
      </x:c>
      <x:c r="F497" s="6" t="n">
        <x:f>4*SUM($E$9:E497)/A497</x:f>
        <x:v>3.002044989775051</x:v>
      </x:c>
      <x:c r="G497" s="1"/>
      <x:c r="H497" s="1"/>
    </x:row>
    <x:row r="498" ht="22" customHeight="1">
      <x:c r="A498" s="1" t="n">
        <x:v>490</x:v>
      </x:c>
      <x:c r="B498" s="6" t="n">
        <x:f>RAND()</x:f>
        <x:v>0.995461577786924</x:v>
      </x:c>
      <x:c r="C498" s="6" t="n">
        <x:f>RAND()</x:f>
        <x:v>0.5187716113540045</x:v>
      </x:c>
      <x:c r="D498" s="6" t="n">
        <x:f>B498^2+C498^2</x:f>
        <x:v>1.2600677375968625</x:v>
      </x:c>
      <x:c r="E498" s="5" t="n">
        <x:f>IF(D498&lt;=1,1,0)</x:f>
        <x:v>0</x:v>
      </x:c>
      <x:c r="F498" s="6" t="n">
        <x:f>4*SUM($E$9:E498)/A498</x:f>
        <x:v>2.9959183673469387</x:v>
      </x:c>
      <x:c r="G498" s="1"/>
      <x:c r="H498" s="1"/>
    </x:row>
    <x:row r="499" ht="22" customHeight="1">
      <x:c r="A499" s="1" t="n">
        <x:v>491</x:v>
      </x:c>
      <x:c r="B499" s="6" t="n">
        <x:f>RAND()</x:f>
        <x:v>0.8963760879714513</x:v>
      </x:c>
      <x:c r="C499" s="6" t="n">
        <x:f>RAND()</x:f>
        <x:v>0.9901585117002548</x:v>
      </x:c>
      <x:c r="D499" s="6" t="n">
        <x:f>B499^2+C499^2</x:f>
        <x:v>1.7839039693794665</x:v>
      </x:c>
      <x:c r="E499" s="5" t="n">
        <x:f>IF(D499&lt;=1,1,0)</x:f>
        <x:v>0</x:v>
      </x:c>
      <x:c r="F499" s="6" t="n">
        <x:f>4*SUM($E$9:E499)/A499</x:f>
        <x:v>2.989816700610998</x:v>
      </x:c>
      <x:c r="G499" s="1"/>
      <x:c r="H499" s="1"/>
    </x:row>
    <x:row r="500" ht="22" customHeight="1">
      <x:c r="A500" s="1" t="n">
        <x:v>492</x:v>
      </x:c>
      <x:c r="B500" s="6" t="n">
        <x:f>RAND()</x:f>
        <x:v>0.7772422875181456</x:v>
      </x:c>
      <x:c r="C500" s="6" t="n">
        <x:f>RAND()</x:f>
        <x:v>0.5189308819151679</x:v>
      </x:c>
      <x:c r="D500" s="6" t="n">
        <x:f>B500^2+C500^2</x:f>
        <x:v>0.8733948337116937</x:v>
      </x:c>
      <x:c r="E500" s="5" t="n">
        <x:f>IF(D500&lt;=1,1,0)</x:f>
        <x:v>1</x:v>
      </x:c>
      <x:c r="F500" s="6" t="n">
        <x:f>4*SUM($E$9:E500)/A500</x:f>
        <x:v>2.991869918699187</x:v>
      </x:c>
      <x:c r="G500" s="1"/>
      <x:c r="H500" s="1"/>
    </x:row>
    <x:row r="501" ht="22" customHeight="1">
      <x:c r="A501" s="1" t="n">
        <x:v>493</x:v>
      </x:c>
      <x:c r="B501" s="6" t="n">
        <x:f>RAND()</x:f>
        <x:v>0.3458465461894332</x:v>
      </x:c>
      <x:c r="C501" s="6" t="n">
        <x:f>RAND()</x:f>
        <x:v>0.25539035964343026</x:v>
      </x:c>
      <x:c r="D501" s="6" t="n">
        <x:f>B501^2+C501^2</x:f>
        <x:v>0.18483406930996044</x:v>
      </x:c>
      <x:c r="E501" s="5" t="n">
        <x:f>IF(D501&lt;=1,1,0)</x:f>
        <x:v>1</x:v>
      </x:c>
      <x:c r="F501" s="6" t="n">
        <x:f>4*SUM($E$9:E501)/A501</x:f>
        <x:v>2.993914807302231</x:v>
      </x:c>
      <x:c r="G501" s="1"/>
      <x:c r="H501" s="1"/>
    </x:row>
    <x:row r="502" ht="22" customHeight="1">
      <x:c r="A502" s="1" t="n">
        <x:v>494</x:v>
      </x:c>
      <x:c r="B502" s="6" t="n">
        <x:f>RAND()</x:f>
        <x:v>0.4538220678323852</x:v>
      </x:c>
      <x:c r="C502" s="6" t="n">
        <x:f>RAND()</x:f>
        <x:v>0.5985221473752631</x:v>
      </x:c>
      <x:c r="D502" s="6" t="n">
        <x:f>B502^2+C502^2</x:f>
        <x:v>0.5641832301503582</x:v>
      </x:c>
      <x:c r="E502" s="5" t="n">
        <x:f>IF(D502&lt;=1,1,0)</x:f>
        <x:v>1</x:v>
      </x:c>
      <x:c r="F502" s="6" t="n">
        <x:f>4*SUM($E$9:E502)/A502</x:f>
        <x:v>2.9959514170040484</x:v>
      </x:c>
      <x:c r="G502" s="1"/>
      <x:c r="H502" s="1"/>
    </x:row>
    <x:row r="503" ht="22" customHeight="1">
      <x:c r="A503" s="1" t="n">
        <x:v>495</x:v>
      </x:c>
      <x:c r="B503" s="6" t="n">
        <x:f>RAND()</x:f>
        <x:v>0.8977501433247655</x:v>
      </x:c>
      <x:c r="C503" s="6" t="n">
        <x:f>RAND()</x:f>
        <x:v>0.5171920026419127</x:v>
      </x:c>
      <x:c r="D503" s="6" t="n">
        <x:f>B503^2+C503^2</x:f>
        <x:v>1.0734428874363893</x:v>
      </x:c>
      <x:c r="E503" s="5" t="n">
        <x:f>IF(D503&lt;=1,1,0)</x:f>
        <x:v>0</x:v>
      </x:c>
      <x:c r="F503" s="6" t="n">
        <x:f>4*SUM($E$9:E503)/A503</x:f>
        <x:v>2.98989898989899</x:v>
      </x:c>
      <x:c r="G503" s="1"/>
      <x:c r="H503" s="1"/>
    </x:row>
    <x:row r="504" ht="22" customHeight="1">
      <x:c r="A504" s="1" t="n">
        <x:v>496</x:v>
      </x:c>
      <x:c r="B504" s="6" t="n">
        <x:f>RAND()</x:f>
        <x:v>0.37839424675990396</x:v>
      </x:c>
      <x:c r="C504" s="6" t="n">
        <x:f>RAND()</x:f>
        <x:v>0.11603271637591395</x:v>
      </x:c>
      <x:c r="D504" s="6" t="n">
        <x:f>B504^2+C504^2</x:f>
        <x:v>0.15664579725056837</x:v>
      </x:c>
      <x:c r="E504" s="5" t="n">
        <x:f>IF(D504&lt;=1,1,0)</x:f>
        <x:v>1</x:v>
      </x:c>
      <x:c r="F504" s="6" t="n">
        <x:f>4*SUM($E$9:E504)/A504</x:f>
        <x:v>2.9919354838709675</x:v>
      </x:c>
      <x:c r="G504" s="1"/>
      <x:c r="H504" s="1"/>
    </x:row>
    <x:row r="505" ht="22" customHeight="1">
      <x:c r="A505" s="1" t="n">
        <x:v>497</x:v>
      </x:c>
      <x:c r="B505" s="6" t="n">
        <x:f>RAND()</x:f>
        <x:v>0.22165873918264212</x:v>
      </x:c>
      <x:c r="C505" s="6" t="n">
        <x:f>RAND()</x:f>
        <x:v>0.3096365231589654</x:v>
      </x:c>
      <x:c r="D505" s="6" t="n">
        <x:f>B505^2+C505^2</x:f>
        <x:v>0.14500737313001108</x:v>
      </x:c>
      <x:c r="E505" s="5" t="n">
        <x:f>IF(D505&lt;=1,1,0)</x:f>
        <x:v>1</x:v>
      </x:c>
      <x:c r="F505" s="6" t="n">
        <x:f>4*SUM($E$9:E505)/A505</x:f>
        <x:v>2.993963782696177</x:v>
      </x:c>
      <x:c r="G505" s="1"/>
      <x:c r="H505" s="1"/>
    </x:row>
    <x:row r="506" ht="22" customHeight="1">
      <x:c r="A506" s="1" t="n">
        <x:v>498</x:v>
      </x:c>
      <x:c r="B506" s="6" t="n">
        <x:f>RAND()</x:f>
        <x:v>0.522264712624621</x:v>
      </x:c>
      <x:c r="C506" s="6" t="n">
        <x:f>RAND()</x:f>
        <x:v>0.14532028872899405</x:v>
      </x:c>
      <x:c r="D506" s="6" t="n">
        <x:f>B506^2+C506^2</x:f>
        <x:v>0.2938784163691562</x:v>
      </x:c>
      <x:c r="E506" s="5" t="n">
        <x:f>IF(D506&lt;=1,1,0)</x:f>
        <x:v>1</x:v>
      </x:c>
      <x:c r="F506" s="6" t="n">
        <x:f>4*SUM($E$9:E506)/A506</x:f>
        <x:v>2.995983935742972</x:v>
      </x:c>
      <x:c r="G506" s="1"/>
      <x:c r="H506" s="1"/>
    </x:row>
    <x:row r="507" ht="22" customHeight="1">
      <x:c r="A507" s="1" t="n">
        <x:v>499</x:v>
      </x:c>
      <x:c r="B507" s="6" t="n">
        <x:f>RAND()</x:f>
        <x:v>0.4490227487183477</x:v>
      </x:c>
      <x:c r="C507" s="6" t="n">
        <x:f>RAND()</x:f>
        <x:v>0.18068271572975514</x:v>
      </x:c>
      <x:c r="D507" s="6" t="n">
        <x:f>B507^2+C507^2</x:f>
        <x:v>0.23426767263005993</x:v>
      </x:c>
      <x:c r="E507" s="5" t="n">
        <x:f>IF(D507&lt;=1,1,0)</x:f>
        <x:v>1</x:v>
      </x:c>
      <x:c r="F507" s="6" t="n">
        <x:f>4*SUM($E$9:E507)/A507</x:f>
        <x:v>2.997995991983968</x:v>
      </x:c>
      <x:c r="G507" s="1"/>
      <x:c r="H507" s="1"/>
    </x:row>
    <x:row r="508" ht="22" customHeight="1">
      <x:c r="A508" s="1" t="n">
        <x:v>500</x:v>
      </x:c>
      <x:c r="B508" s="6" t="n">
        <x:f>RAND()</x:f>
        <x:v>0.6781344344636216</x:v>
      </x:c>
      <x:c r="C508" s="6" t="n">
        <x:f>RAND()</x:f>
        <x:v>0.6785122372270147</x:v>
      </x:c>
      <x:c r="D508" s="6" t="n">
        <x:f>B508^2+C508^2</x:f>
        <x:v>0.9202451672721046</x:v>
      </x:c>
      <x:c r="E508" s="5" t="n">
        <x:f>IF(D508&lt;=1,1,0)</x:f>
        <x:v>1</x:v>
      </x:c>
      <x:c r="F508" s="6" t="n">
        <x:f>4*SUM($E$9:E508)/A508</x:f>
        <x:v>3</x:v>
      </x:c>
      <x:c r="G508" s="1"/>
      <x:c r="H508" s="1"/>
    </x:row>
    <x:row r="509" ht="22" customHeight="1">
      <x:c r="A509" s="1" t="n">
        <x:v>501</x:v>
      </x:c>
      <x:c r="B509" s="6" t="n">
        <x:f>RAND()</x:f>
        <x:v>0.3837395171068271</x:v>
      </x:c>
      <x:c r="C509" s="6" t="n">
        <x:f>RAND()</x:f>
        <x:v>0.4230640697127228</x:v>
      </x:c>
      <x:c r="D509" s="6" t="n">
        <x:f>B509^2+C509^2</x:f>
        <x:v>0.3262392240712724</x:v>
      </x:c>
      <x:c r="E509" s="5" t="n">
        <x:f>IF(D509&lt;=1,1,0)</x:f>
        <x:v>1</x:v>
      </x:c>
      <x:c r="F509" s="6" t="n">
        <x:f>4*SUM($E$9:E509)/A509</x:f>
        <x:v>3.0019960079840318</x:v>
      </x:c>
      <x:c r="G509" s="1"/>
      <x:c r="H509" s="1"/>
    </x:row>
    <x:row r="510" ht="22" customHeight="1">
      <x:c r="A510" s="1" t="n">
        <x:v>502</x:v>
      </x:c>
      <x:c r="B510" s="6" t="n">
        <x:f>RAND()</x:f>
        <x:v>0.17787946945583777</x:v>
      </x:c>
      <x:c r="C510" s="6" t="n">
        <x:f>RAND()</x:f>
        <x:v>0.7688730382661992</x:v>
      </x:c>
      <x:c r="D510" s="6" t="n">
        <x:f>B510^2+C510^2</x:f>
        <x:v>0.6228068546265866</x:v>
      </x:c>
      <x:c r="E510" s="5" t="n">
        <x:f>IF(D510&lt;=1,1,0)</x:f>
        <x:v>1</x:v>
      </x:c>
      <x:c r="F510" s="6" t="n">
        <x:f>4*SUM($E$9:E510)/A510</x:f>
        <x:v>3.00398406374502</x:v>
      </x:c>
      <x:c r="G510" s="1"/>
      <x:c r="H510" s="1"/>
    </x:row>
    <x:row r="511" ht="22" customHeight="1">
      <x:c r="A511" s="1" t="n">
        <x:v>503</x:v>
      </x:c>
      <x:c r="B511" s="6" t="n">
        <x:f>RAND()</x:f>
        <x:v>0.6121749234922989</x:v>
      </x:c>
      <x:c r="C511" s="6" t="n">
        <x:f>RAND()</x:f>
        <x:v>0.2656113037893828</x:v>
      </x:c>
      <x:c r="D511" s="6" t="n">
        <x:f>B511^2+C511^2</x:f>
        <x:v>0.44530750165349775</x:v>
      </x:c>
      <x:c r="E511" s="5" t="n">
        <x:f>IF(D511&lt;=1,1,0)</x:f>
        <x:v>1</x:v>
      </x:c>
      <x:c r="F511" s="6" t="n">
        <x:f>4*SUM($E$9:E511)/A511</x:f>
        <x:v>3.00596421471173</x:v>
      </x:c>
      <x:c r="G511" s="1"/>
      <x:c r="H511" s="1"/>
    </x:row>
    <x:row r="512" ht="22" customHeight="1">
      <x:c r="A512" s="1" t="n">
        <x:v>504</x:v>
      </x:c>
      <x:c r="B512" s="6" t="n">
        <x:f>RAND()</x:f>
        <x:v>0.7111732257898902</x:v>
      </x:c>
      <x:c r="C512" s="6" t="n">
        <x:f>RAND()</x:f>
        <x:v>0.9774491860481346</x:v>
      </x:c>
      <x:c r="D512" s="6" t="n">
        <x:f>B512^2+C512^2</x:f>
        <x:v>1.461174268386559</x:v>
      </x:c>
      <x:c r="E512" s="5" t="n">
        <x:f>IF(D512&lt;=1,1,0)</x:f>
        <x:v>0</x:v>
      </x:c>
      <x:c r="F512" s="6" t="n">
        <x:f>4*SUM($E$9:E512)/A512</x:f>
        <x:v>3</x:v>
      </x:c>
      <x:c r="G512" s="1"/>
      <x:c r="H512" s="1"/>
    </x:row>
    <x:row r="513" ht="22" customHeight="1">
      <x:c r="A513" s="1" t="n">
        <x:v>505</x:v>
      </x:c>
      <x:c r="B513" s="6" t="n">
        <x:f>RAND()</x:f>
        <x:v>0.08519784825840548</x:v>
      </x:c>
      <x:c r="C513" s="6" t="n">
        <x:f>RAND()</x:f>
        <x:v>0.41832787025922147</x:v>
      </x:c>
      <x:c r="D513" s="6" t="n">
        <x:f>B513^2+C513^2</x:f>
        <x:v>0.18225688038347831</x:v>
      </x:c>
      <x:c r="E513" s="5" t="n">
        <x:f>IF(D513&lt;=1,1,0)</x:f>
        <x:v>1</x:v>
      </x:c>
      <x:c r="F513" s="6" t="n">
        <x:f>4*SUM($E$9:E513)/A513</x:f>
        <x:v>3.001980198019802</x:v>
      </x:c>
      <x:c r="G513" s="1"/>
      <x:c r="H513" s="1"/>
    </x:row>
    <x:row r="514" ht="22" customHeight="1">
      <x:c r="A514" s="1" t="n">
        <x:v>506</x:v>
      </x:c>
      <x:c r="B514" s="6" t="n">
        <x:f>RAND()</x:f>
        <x:v>0.08537059044994133</x:v>
      </x:c>
      <x:c r="C514" s="6" t="n">
        <x:f>RAND()</x:f>
        <x:v>0.05407469864207104</x:v>
      </x:c>
      <x:c r="D514" s="6" t="n">
        <x:f>B514^2+C514^2</x:f>
        <x:v>0.010212210747002414</x:v>
      </x:c>
      <x:c r="E514" s="5" t="n">
        <x:f>IF(D514&lt;=1,1,0)</x:f>
        <x:v>1</x:v>
      </x:c>
      <x:c r="F514" s="6" t="n">
        <x:f>4*SUM($E$9:E514)/A514</x:f>
        <x:v>3.0039525691699605</x:v>
      </x:c>
      <x:c r="G514" s="1"/>
      <x:c r="H514" s="1"/>
    </x:row>
    <x:row r="515" ht="22" customHeight="1">
      <x:c r="A515" s="1" t="n">
        <x:v>507</x:v>
      </x:c>
      <x:c r="B515" s="6" t="n">
        <x:f>RAND()</x:f>
        <x:v>0.9547713903719449</x:v>
      </x:c>
      <x:c r="C515" s="6" t="n">
        <x:f>RAND()</x:f>
        <x:v>0.16396114987779586</x:v>
      </x:c>
      <x:c r="D515" s="6" t="n">
        <x:f>B515^2+C515^2</x:f>
        <x:v>0.9384716665420259</x:v>
      </x:c>
      <x:c r="E515" s="5" t="n">
        <x:f>IF(D515&lt;=1,1,0)</x:f>
        <x:v>1</x:v>
      </x:c>
      <x:c r="F515" s="6" t="n">
        <x:f>4*SUM($E$9:E515)/A515</x:f>
        <x:v>3.0059171597633134</x:v>
      </x:c>
      <x:c r="G515" s="1"/>
      <x:c r="H515" s="1"/>
    </x:row>
    <x:row r="516" ht="22" customHeight="1">
      <x:c r="A516" s="1" t="n">
        <x:v>508</x:v>
      </x:c>
      <x:c r="B516" s="6" t="n">
        <x:f>RAND()</x:f>
        <x:v>0.5944236841732375</x:v>
      </x:c>
      <x:c r="C516" s="6" t="n">
        <x:f>RAND()</x:f>
        <x:v>0.8814083712475115</x:v>
      </x:c>
      <x:c r="D516" s="6" t="n">
        <x:f>B516^2+C516^2</x:f>
        <x:v>1.1302202332112758</x:v>
      </x:c>
      <x:c r="E516" s="5" t="n">
        <x:f>IF(D516&lt;=1,1,0)</x:f>
        <x:v>0</x:v>
      </x:c>
      <x:c r="F516" s="6" t="n">
        <x:f>4*SUM($E$9:E516)/A516</x:f>
        <x:v>3</x:v>
      </x:c>
      <x:c r="G516" s="1"/>
      <x:c r="H516" s="1"/>
    </x:row>
    <x:row r="517" ht="22" customHeight="1">
      <x:c r="A517" s="1" t="n">
        <x:v>509</x:v>
      </x:c>
      <x:c r="B517" s="6" t="n">
        <x:f>RAND()</x:f>
        <x:v>0.512851951072002</x:v>
      </x:c>
      <x:c r="C517" s="6" t="n">
        <x:f>RAND()</x:f>
        <x:v>0.25006462769980164</x:v>
      </x:c>
      <x:c r="D517" s="6" t="n">
        <x:f>B517^2+C517^2</x:f>
        <x:v>0.3255494417449995</x:v>
      </x:c>
      <x:c r="E517" s="5" t="n">
        <x:f>IF(D517&lt;=1,1,0)</x:f>
        <x:v>1</x:v>
      </x:c>
      <x:c r="F517" s="6" t="n">
        <x:f>4*SUM($E$9:E517)/A517</x:f>
        <x:v>3.00196463654224</x:v>
      </x:c>
      <x:c r="G517" s="1"/>
      <x:c r="H517" s="1"/>
    </x:row>
    <x:row r="518" ht="22" customHeight="1">
      <x:c r="A518" s="1" t="n">
        <x:v>510</x:v>
      </x:c>
      <x:c r="B518" s="6" t="n">
        <x:f>RAND()</x:f>
        <x:v>0.3668908619484996</x:v>
      </x:c>
      <x:c r="C518" s="6" t="n">
        <x:f>RAND()</x:f>
        <x:v>0.9211072875861138</x:v>
      </x:c>
      <x:c r="D518" s="6" t="n">
        <x:f>B518^2+C518^2</x:f>
        <x:v>0.9830475398255608</x:v>
      </x:c>
      <x:c r="E518" s="5" t="n">
        <x:f>IF(D518&lt;=1,1,0)</x:f>
        <x:v>1</x:v>
      </x:c>
      <x:c r="F518" s="6" t="n">
        <x:f>4*SUM($E$9:E518)/A518</x:f>
        <x:v>3.003921568627451</x:v>
      </x:c>
      <x:c r="G518" s="1"/>
      <x:c r="H518" s="1"/>
    </x:row>
    <x:row r="519" ht="22" customHeight="1">
      <x:c r="A519" s="1" t="n">
        <x:v>511</x:v>
      </x:c>
      <x:c r="B519" s="6" t="n">
        <x:f>RAND()</x:f>
        <x:v>0.4824592832647481</x:v>
      </x:c>
      <x:c r="C519" s="6" t="n">
        <x:f>RAND()</x:f>
        <x:v>0.25687144024010367</x:v>
      </x:c>
      <x:c r="D519" s="6" t="n">
        <x:f>B519^2+C519^2</x:f>
        <x:v>0.29874989681935954</x:v>
      </x:c>
      <x:c r="E519" s="5" t="n">
        <x:f>IF(D519&lt;=1,1,0)</x:f>
        <x:v>1</x:v>
      </x:c>
      <x:c r="F519" s="6" t="n">
        <x:f>4*SUM($E$9:E519)/A519</x:f>
        <x:v>3.0058708414872797</x:v>
      </x:c>
      <x:c r="G519" s="1"/>
      <x:c r="H519" s="1"/>
    </x:row>
    <x:row r="520" ht="22" customHeight="1">
      <x:c r="A520" s="1" t="n">
        <x:v>512</x:v>
      </x:c>
      <x:c r="B520" s="6" t="n">
        <x:f>RAND()</x:f>
        <x:v>0.2676541203487087</x:v>
      </x:c>
      <x:c r="C520" s="6" t="n">
        <x:f>RAND()</x:f>
        <x:v>0.7987031681430244</x:v>
      </x:c>
      <x:c r="D520" s="6" t="n">
        <x:f>B520^2+C520^2</x:f>
        <x:v>0.7095654789413454</x:v>
      </x:c>
      <x:c r="E520" s="5" t="n">
        <x:f>IF(D520&lt;=1,1,0)</x:f>
        <x:v>1</x:v>
      </x:c>
      <x:c r="F520" s="6" t="n">
        <x:f>4*SUM($E$9:E520)/A520</x:f>
        <x:v>3.0078125</x:v>
      </x:c>
      <x:c r="G520" s="1"/>
      <x:c r="H520" s="1"/>
    </x:row>
    <x:row r="521" ht="22" customHeight="1">
      <x:c r="A521" s="1" t="n">
        <x:v>513</x:v>
      </x:c>
      <x:c r="B521" s="6" t="n">
        <x:f>RAND()</x:f>
        <x:v>0.5592290199616852</x:v>
      </x:c>
      <x:c r="C521" s="6" t="n">
        <x:f>RAND()</x:f>
        <x:v>0.9000021988627462</x:v>
      </x:c>
      <x:c r="D521" s="6" t="n">
        <x:f>B521^2+C521^2</x:f>
        <x:v>1.1227410547250851</x:v>
      </x:c>
      <x:c r="E521" s="5" t="n">
        <x:f>IF(D521&lt;=1,1,0)</x:f>
        <x:v>0</x:v>
      </x:c>
      <x:c r="F521" s="6" t="n">
        <x:f>4*SUM($E$9:E521)/A521</x:f>
        <x:v>3.0019493177387915</x:v>
      </x:c>
      <x:c r="G521" s="1"/>
      <x:c r="H521" s="1"/>
    </x:row>
    <x:row r="522" ht="22" customHeight="1">
      <x:c r="A522" s="1" t="n">
        <x:v>514</x:v>
      </x:c>
      <x:c r="B522" s="6" t="n">
        <x:f>RAND()</x:f>
        <x:v>0.4480885397551043</x:v>
      </x:c>
      <x:c r="C522" s="6" t="n">
        <x:f>RAND()</x:f>
        <x:v>0.7484114371560179</x:v>
      </x:c>
      <x:c r="D522" s="6" t="n">
        <x:f>B522^2+C522^2</x:f>
        <x:v>0.7609030187257978</x:v>
      </x:c>
      <x:c r="E522" s="5" t="n">
        <x:f>IF(D522&lt;=1,1,0)</x:f>
        <x:v>1</x:v>
      </x:c>
      <x:c r="F522" s="6" t="n">
        <x:f>4*SUM($E$9:E522)/A522</x:f>
        <x:v>3.0038910505836576</x:v>
      </x:c>
      <x:c r="G522" s="1"/>
      <x:c r="H522" s="1"/>
    </x:row>
    <x:row r="523" ht="22" customHeight="1">
      <x:c r="A523" s="1" t="n">
        <x:v>515</x:v>
      </x:c>
      <x:c r="B523" s="6" t="n">
        <x:f>RAND()</x:f>
        <x:v>0.29457277352676536</x:v>
      </x:c>
      <x:c r="C523" s="6" t="n">
        <x:f>RAND()</x:f>
        <x:v>0.1632017927351409</x:v>
      </x:c>
      <x:c r="D523" s="6" t="n">
        <x:f>B523^2+C523^2</x:f>
        <x:v>0.11340794405521488</x:v>
      </x:c>
      <x:c r="E523" s="5" t="n">
        <x:f>IF(D523&lt;=1,1,0)</x:f>
        <x:v>1</x:v>
      </x:c>
      <x:c r="F523" s="6" t="n">
        <x:f>4*SUM($E$9:E523)/A523</x:f>
        <x:v>3.0058252427184464</x:v>
      </x:c>
      <x:c r="G523" s="1"/>
      <x:c r="H523" s="1"/>
    </x:row>
    <x:row r="524" ht="22" customHeight="1">
      <x:c r="A524" s="1" t="n">
        <x:v>516</x:v>
      </x:c>
      <x:c r="B524" s="6" t="n">
        <x:f>RAND()</x:f>
        <x:v>0.22926835349049202</x:v>
      </x:c>
      <x:c r="C524" s="6" t="n">
        <x:f>RAND()</x:f>
        <x:v>0.10998845816174185</x:v>
      </x:c>
      <x:c r="D524" s="6" t="n">
        <x:f>B524^2+C524^2</x:f>
        <x:v>0.06466143884103845</x:v>
      </x:c>
      <x:c r="E524" s="5" t="n">
        <x:f>IF(D524&lt;=1,1,0)</x:f>
        <x:v>1</x:v>
      </x:c>
      <x:c r="F524" s="6" t="n">
        <x:f>4*SUM($E$9:E524)/A524</x:f>
        <x:v>3.007751937984496</x:v>
      </x:c>
      <x:c r="G524" s="1"/>
      <x:c r="H524" s="1"/>
    </x:row>
    <x:row r="525" ht="22" customHeight="1">
      <x:c r="A525" s="1" t="n">
        <x:v>517</x:v>
      </x:c>
      <x:c r="B525" s="6" t="n">
        <x:f>RAND()</x:f>
        <x:v>0.8074779399606499</x:v>
      </x:c>
      <x:c r="C525" s="6" t="n">
        <x:f>RAND()</x:f>
        <x:v>0.49021764838907644</x:v>
      </x:c>
      <x:c r="D525" s="6" t="n">
        <x:f>B525^2+C525^2</x:f>
        <x:v>0.892333966315211</x:v>
      </x:c>
      <x:c r="E525" s="5" t="n">
        <x:f>IF(D525&lt;=1,1,0)</x:f>
        <x:v>1</x:v>
      </x:c>
      <x:c r="F525" s="6" t="n">
        <x:f>4*SUM($E$9:E525)/A525</x:f>
        <x:v>3.009671179883946</x:v>
      </x:c>
      <x:c r="G525" s="1"/>
      <x:c r="H525" s="1"/>
    </x:row>
    <x:row r="526" ht="22" customHeight="1">
      <x:c r="A526" s="1" t="n">
        <x:v>518</x:v>
      </x:c>
      <x:c r="B526" s="6" t="n">
        <x:f>RAND()</x:f>
        <x:v>0.05490359560332114</x:v>
      </x:c>
      <x:c r="C526" s="6" t="n">
        <x:f>RAND()</x:f>
        <x:v>0.17493776964021723</x:v>
      </x:c>
      <x:c r="D526" s="6" t="n">
        <x:f>B526^2+C526^2</x:f>
        <x:v>0.03361762805686674</x:v>
      </x:c>
      <x:c r="E526" s="5" t="n">
        <x:f>IF(D526&lt;=1,1,0)</x:f>
        <x:v>1</x:v>
      </x:c>
      <x:c r="F526" s="6" t="n">
        <x:f>4*SUM($E$9:E526)/A526</x:f>
        <x:v>3.011583011583012</x:v>
      </x:c>
      <x:c r="G526" s="1"/>
      <x:c r="H526" s="1"/>
    </x:row>
    <x:row r="527" ht="22" customHeight="1">
      <x:c r="A527" s="1" t="n">
        <x:v>519</x:v>
      </x:c>
      <x:c r="B527" s="6" t="n">
        <x:f>RAND()</x:f>
        <x:v>0.9741856882514746</x:v>
      </x:c>
      <x:c r="C527" s="6" t="n">
        <x:f>RAND()</x:f>
        <x:v>0.5012456579084648</x:v>
      </x:c>
      <x:c r="D527" s="6" t="n">
        <x:f>B527^2+C527^2</x:f>
        <x:v>1.2002849647660887</x:v>
      </x:c>
      <x:c r="E527" s="5" t="n">
        <x:f>IF(D527&lt;=1,1,0)</x:f>
        <x:v>0</x:v>
      </x:c>
      <x:c r="F527" s="6" t="n">
        <x:f>4*SUM($E$9:E527)/A527</x:f>
        <x:v>3.005780346820809</x:v>
      </x:c>
      <x:c r="G527" s="1"/>
      <x:c r="H527" s="1"/>
    </x:row>
    <x:row r="528" ht="22" customHeight="1">
      <x:c r="A528" s="1" t="n">
        <x:v>520</x:v>
      </x:c>
      <x:c r="B528" s="6" t="n">
        <x:f>RAND()</x:f>
        <x:v>0.4044346952517628</x:v>
      </x:c>
      <x:c r="C528" s="6" t="n">
        <x:f>RAND()</x:f>
        <x:v>0.3346122949780862</x:v>
      </x:c>
      <x:c r="D528" s="6" t="n">
        <x:f>B528^2+C528^2</x:f>
        <x:v>0.275532810673888</x:v>
      </x:c>
      <x:c r="E528" s="5" t="n">
        <x:f>IF(D528&lt;=1,1,0)</x:f>
        <x:v>1</x:v>
      </x:c>
      <x:c r="F528" s="6" t="n">
        <x:f>4*SUM($E$9:E528)/A528</x:f>
        <x:v>3.0076923076923077</x:v>
      </x:c>
      <x:c r="G528" s="1"/>
      <x:c r="H528" s="1"/>
    </x:row>
    <x:row r="529" ht="22" customHeight="1">
      <x:c r="A529" s="1" t="n">
        <x:v>521</x:v>
      </x:c>
      <x:c r="B529" s="6" t="n">
        <x:f>RAND()</x:f>
        <x:v>0.10446957765011422</x:v>
      </x:c>
      <x:c r="C529" s="6" t="n">
        <x:f>RAND()</x:f>
        <x:v>0.4385716017891347</x:v>
      </x:c>
      <x:c r="D529" s="6" t="n">
        <x:f>B529^2+C529^2</x:f>
        <x:v>0.20325894255028057</x:v>
      </x:c>
      <x:c r="E529" s="5" t="n">
        <x:f>IF(D529&lt;=1,1,0)</x:f>
        <x:v>1</x:v>
      </x:c>
      <x:c r="F529" s="6" t="n">
        <x:f>4*SUM($E$9:E529)/A529</x:f>
        <x:v>3.0095969289827256</x:v>
      </x:c>
      <x:c r="G529" s="1"/>
      <x:c r="H529" s="1"/>
    </x:row>
    <x:row r="530" ht="22" customHeight="1">
      <x:c r="A530" s="1" t="n">
        <x:v>522</x:v>
      </x:c>
      <x:c r="B530" s="6" t="n">
        <x:f>RAND()</x:f>
        <x:v>0.16376951480247603</x:v>
      </x:c>
      <x:c r="C530" s="6" t="n">
        <x:f>RAND()</x:f>
        <x:v>0.10874858614289895</x:v>
      </x:c>
      <x:c r="D530" s="6" t="n">
        <x:f>B530^2+C530^2</x:f>
        <x:v>0.03864670896671793</x:v>
      </x:c>
      <x:c r="E530" s="5" t="n">
        <x:f>IF(D530&lt;=1,1,0)</x:f>
        <x:v>1</x:v>
      </x:c>
      <x:c r="F530" s="6" t="n">
        <x:f>4*SUM($E$9:E530)/A530</x:f>
        <x:v>3.0114942528735633</x:v>
      </x:c>
      <x:c r="G530" s="1"/>
      <x:c r="H530" s="1"/>
    </x:row>
    <x:row r="531" ht="22" customHeight="1">
      <x:c r="A531" s="1" t="n">
        <x:v>523</x:v>
      </x:c>
      <x:c r="B531" s="6" t="n">
        <x:f>RAND()</x:f>
        <x:v>0.47011664993572955</x:v>
      </x:c>
      <x:c r="C531" s="6" t="n">
        <x:f>RAND()</x:f>
        <x:v>0.16159895566283466</x:v>
      </x:c>
      <x:c r="D531" s="6" t="n">
        <x:f>B531^2+C531^2</x:f>
        <x:v>0.24712388701811208</x:v>
      </x:c>
      <x:c r="E531" s="5" t="n">
        <x:f>IF(D531&lt;=1,1,0)</x:f>
        <x:v>1</x:v>
      </x:c>
      <x:c r="F531" s="6" t="n">
        <x:f>4*SUM($E$9:E531)/A531</x:f>
        <x:v>3.0133843212237093</x:v>
      </x:c>
      <x:c r="G531" s="1"/>
      <x:c r="H531" s="1"/>
    </x:row>
    <x:row r="532" ht="22" customHeight="1">
      <x:c r="A532" s="1" t="n">
        <x:v>524</x:v>
      </x:c>
      <x:c r="B532" s="6" t="n">
        <x:f>RAND()</x:f>
        <x:v>0.6319303441580033</x:v>
      </x:c>
      <x:c r="C532" s="6" t="n">
        <x:f>RAND()</x:f>
        <x:v>0.8765317690495475</x:v>
      </x:c>
      <x:c r="D532" s="6" t="n">
        <x:f>B532^2+C532^2</x:f>
        <x:v>1.1676439020207818</x:v>
      </x:c>
      <x:c r="E532" s="5" t="n">
        <x:f>IF(D532&lt;=1,1,0)</x:f>
        <x:v>0</x:v>
      </x:c>
      <x:c r="F532" s="6" t="n">
        <x:f>4*SUM($E$9:E532)/A532</x:f>
        <x:v>3.0076335877862594</x:v>
      </x:c>
      <x:c r="G532" s="1"/>
      <x:c r="H532" s="1"/>
    </x:row>
    <x:row r="533" ht="22" customHeight="1">
      <x:c r="A533" s="1" t="n">
        <x:v>525</x:v>
      </x:c>
      <x:c r="B533" s="6" t="n">
        <x:f>RAND()</x:f>
        <x:v>0.9959455427381602</x:v>
      </x:c>
      <x:c r="C533" s="6" t="n">
        <x:f>RAND()</x:f>
        <x:v>0.4111859164283814</x:v>
      </x:c>
      <x:c r="D533" s="6" t="n">
        <x:f>B533^2+C533^2</x:f>
        <x:v>1.1609813819690562</x:v>
      </x:c>
      <x:c r="E533" s="5" t="n">
        <x:f>IF(D533&lt;=1,1,0)</x:f>
        <x:v>0</x:v>
      </x:c>
      <x:c r="F533" s="6" t="n">
        <x:f>4*SUM($E$9:E533)/A533</x:f>
        <x:v>3.001904761904762</x:v>
      </x:c>
      <x:c r="G533" s="1"/>
      <x:c r="H533" s="1"/>
    </x:row>
    <x:row r="534" ht="22" customHeight="1">
      <x:c r="A534" s="1" t="n">
        <x:v>526</x:v>
      </x:c>
      <x:c r="B534" s="6" t="n">
        <x:f>RAND()</x:f>
        <x:v>0.3971630270116414</x:v>
      </x:c>
      <x:c r="C534" s="6" t="n">
        <x:f>RAND()</x:f>
        <x:v>0.3084533522374633</x:v>
      </x:c>
      <x:c r="D534" s="6" t="n">
        <x:f>B534^2+C534^2</x:f>
        <x:v>0.2528819405315784</x:v>
      </x:c>
      <x:c r="E534" s="5" t="n">
        <x:f>IF(D534&lt;=1,1,0)</x:f>
        <x:v>1</x:v>
      </x:c>
      <x:c r="F534" s="6" t="n">
        <x:f>4*SUM($E$9:E534)/A534</x:f>
        <x:v>3.0038022813688214</x:v>
      </x:c>
      <x:c r="G534" s="1"/>
      <x:c r="H534" s="1"/>
    </x:row>
    <x:row r="535" ht="22" customHeight="1">
      <x:c r="A535" s="1" t="n">
        <x:v>527</x:v>
      </x:c>
      <x:c r="B535" s="6" t="n">
        <x:f>RAND()</x:f>
        <x:v>0.4830516953732519</x:v>
      </x:c>
      <x:c r="C535" s="6" t="n">
        <x:f>RAND()</x:f>
        <x:v>0.26884382290406317</x:v>
      </x:c>
      <x:c r="D535" s="6" t="n">
        <x:f>B535^2+C535^2</x:f>
        <x:v>0.3056159415166442</x:v>
      </x:c>
      <x:c r="E535" s="5" t="n">
        <x:f>IF(D535&lt;=1,1,0)</x:f>
        <x:v>1</x:v>
      </x:c>
      <x:c r="F535" s="6" t="n">
        <x:f>4*SUM($E$9:E535)/A535</x:f>
        <x:v>3.0056925996204935</x:v>
      </x:c>
      <x:c r="G535" s="1"/>
      <x:c r="H535" s="1"/>
    </x:row>
    <x:row r="536" ht="22" customHeight="1">
      <x:c r="A536" s="1" t="n">
        <x:v>528</x:v>
      </x:c>
      <x:c r="B536" s="6" t="n">
        <x:f>RAND()</x:f>
        <x:v>0.13183273317623767</x:v>
      </x:c>
      <x:c r="C536" s="6" t="n">
        <x:f>RAND()</x:f>
        <x:v>0.17061475606239884</x:v>
      </x:c>
      <x:c r="D536" s="6" t="n">
        <x:f>B536^2+C536^2</x:f>
        <x:v>0.046489264522948937</x:v>
      </x:c>
      <x:c r="E536" s="5" t="n">
        <x:f>IF(D536&lt;=1,1,0)</x:f>
        <x:v>1</x:v>
      </x:c>
      <x:c r="F536" s="6" t="n">
        <x:f>4*SUM($E$9:E536)/A536</x:f>
        <x:v>3.007575757575758</x:v>
      </x:c>
      <x:c r="G536" s="1"/>
      <x:c r="H536" s="1"/>
    </x:row>
    <x:row r="537" ht="22" customHeight="1">
      <x:c r="A537" s="1" t="n">
        <x:v>529</x:v>
      </x:c>
      <x:c r="B537" s="6" t="n">
        <x:f>RAND()</x:f>
        <x:v>0.700029459388182</x:v>
      </x:c>
      <x:c r="C537" s="6" t="n">
        <x:f>RAND()</x:f>
        <x:v>0.7430404604818062</x:v>
      </x:c>
      <x:c r="D537" s="6" t="n">
        <x:f>B537^2+C537^2</x:f>
        <x:v>1.0421503699243249</x:v>
      </x:c>
      <x:c r="E537" s="5" t="n">
        <x:f>IF(D537&lt;=1,1,0)</x:f>
        <x:v>0</x:v>
      </x:c>
      <x:c r="F537" s="6" t="n">
        <x:f>4*SUM($E$9:E537)/A537</x:f>
        <x:v>3.0018903591682418</x:v>
      </x:c>
      <x:c r="G537" s="1"/>
      <x:c r="H537" s="1"/>
    </x:row>
    <x:row r="538" ht="22" customHeight="1">
      <x:c r="A538" s="1" t="n">
        <x:v>530</x:v>
      </x:c>
      <x:c r="B538" s="6" t="n">
        <x:f>RAND()</x:f>
        <x:v>0.09092308313937025</x:v>
      </x:c>
      <x:c r="C538" s="6" t="n">
        <x:f>RAND()</x:f>
        <x:v>0.671176315582164</x:v>
      </x:c>
      <x:c r="D538" s="6" t="n">
        <x:f>B538^2+C538^2</x:f>
        <x:v>0.45874465364601735</x:v>
      </x:c>
      <x:c r="E538" s="5" t="n">
        <x:f>IF(D538&lt;=1,1,0)</x:f>
        <x:v>1</x:v>
      </x:c>
      <x:c r="F538" s="6" t="n">
        <x:f>4*SUM($E$9:E538)/A538</x:f>
        <x:v>3.0037735849056606</x:v>
      </x:c>
      <x:c r="G538" s="1"/>
      <x:c r="H538" s="1"/>
    </x:row>
    <x:row r="539" ht="22" customHeight="1">
      <x:c r="A539" s="1" t="n">
        <x:v>531</x:v>
      </x:c>
      <x:c r="B539" s="6" t="n">
        <x:f>RAND()</x:f>
        <x:v>0.42266867339065994</x:v>
      </x:c>
      <x:c r="C539" s="6" t="n">
        <x:f>RAND()</x:f>
        <x:v>0.7781778577791293</x:v>
      </x:c>
      <x:c r="D539" s="6" t="n">
        <x:f>B539^2+C539^2</x:f>
        <x:v>0.7842095858035352</x:v>
      </x:c>
      <x:c r="E539" s="5" t="n">
        <x:f>IF(D539&lt;=1,1,0)</x:f>
        <x:v>1</x:v>
      </x:c>
      <x:c r="F539" s="6" t="n">
        <x:f>4*SUM($E$9:E539)/A539</x:f>
        <x:v>3.005649717514124</x:v>
      </x:c>
      <x:c r="G539" s="1"/>
      <x:c r="H539" s="1"/>
    </x:row>
    <x:row r="540" ht="22" customHeight="1">
      <x:c r="A540" s="1" t="n">
        <x:v>532</x:v>
      </x:c>
      <x:c r="B540" s="6" t="n">
        <x:f>RAND()</x:f>
        <x:v>0.841907916833825</x:v>
      </x:c>
      <x:c r="C540" s="6" t="n">
        <x:f>RAND()</x:f>
        <x:v>0.8152379691647061</x:v>
      </x:c>
      <x:c r="D540" s="6" t="n">
        <x:f>B540^2+C540^2</x:f>
        <x:v>1.3734218867952652</x:v>
      </x:c>
      <x:c r="E540" s="5" t="n">
        <x:f>IF(D540&lt;=1,1,0)</x:f>
        <x:v>0</x:v>
      </x:c>
      <x:c r="F540" s="6" t="n">
        <x:f>4*SUM($E$9:E540)/A540</x:f>
        <x:v>3</x:v>
      </x:c>
      <x:c r="G540" s="1"/>
      <x:c r="H540" s="1"/>
    </x:row>
    <x:row r="541" ht="22" customHeight="1">
      <x:c r="A541" s="1" t="n">
        <x:v>533</x:v>
      </x:c>
      <x:c r="B541" s="6" t="n">
        <x:f>RAND()</x:f>
        <x:v>0.5474779061399442</x:v>
      </x:c>
      <x:c r="C541" s="6" t="n">
        <x:f>RAND()</x:f>
        <x:v>0.5678548579056538</x:v>
      </x:c>
      <x:c r="D541" s="6" t="n">
        <x:f>B541^2+C541^2</x:f>
        <x:v>0.6221911973584278</x:v>
      </x:c>
      <x:c r="E541" s="5" t="n">
        <x:f>IF(D541&lt;=1,1,0)</x:f>
        <x:v>1</x:v>
      </x:c>
      <x:c r="F541" s="6" t="n">
        <x:f>4*SUM($E$9:E541)/A541</x:f>
        <x:v>3.0018761726078798</x:v>
      </x:c>
      <x:c r="G541" s="1"/>
      <x:c r="H541" s="1"/>
    </x:row>
    <x:row r="542" ht="22" customHeight="1">
      <x:c r="A542" s="1" t="n">
        <x:v>534</x:v>
      </x:c>
      <x:c r="B542" s="6" t="n">
        <x:f>RAND()</x:f>
        <x:v>0.08683765459065285</x:v>
      </x:c>
      <x:c r="C542" s="6" t="n">
        <x:f>RAND()</x:f>
        <x:v>0.6182929394637997</x:v>
      </x:c>
      <x:c r="D542" s="6" t="n">
        <x:f>B542^2+C542^2</x:f>
        <x:v>0.3898269372455914</x:v>
      </x:c>
      <x:c r="E542" s="5" t="n">
        <x:f>IF(D542&lt;=1,1,0)</x:f>
        <x:v>1</x:v>
      </x:c>
      <x:c r="F542" s="6" t="n">
        <x:f>4*SUM($E$9:E542)/A542</x:f>
        <x:v>3.0037453183520597</x:v>
      </x:c>
      <x:c r="G542" s="1"/>
      <x:c r="H542" s="1"/>
    </x:row>
    <x:row r="543" ht="22" customHeight="1">
      <x:c r="A543" s="1" t="n">
        <x:v>535</x:v>
      </x:c>
      <x:c r="B543" s="6" t="n">
        <x:f>RAND()</x:f>
        <x:v>0.9646599881839163</x:v>
      </x:c>
      <x:c r="C543" s="6" t="n">
        <x:f>RAND()</x:f>
        <x:v>0.94100923480853</x:v>
      </x:c>
      <x:c r="D543" s="6" t="n">
        <x:f>B543^2+C543^2</x:f>
        <x:v>1.8160672727979286</x:v>
      </x:c>
      <x:c r="E543" s="5" t="n">
        <x:f>IF(D543&lt;=1,1,0)</x:f>
        <x:v>0</x:v>
      </x:c>
      <x:c r="F543" s="6" t="n">
        <x:f>4*SUM($E$9:E543)/A543</x:f>
        <x:v>2.9981308411214953</x:v>
      </x:c>
      <x:c r="G543" s="1"/>
      <x:c r="H543" s="1"/>
    </x:row>
    <x:row r="544" ht="22" customHeight="1">
      <x:c r="A544" s="1" t="n">
        <x:v>536</x:v>
      </x:c>
      <x:c r="B544" s="6" t="n">
        <x:f>RAND()</x:f>
        <x:v>0.20392181823664124</x:v>
      </x:c>
      <x:c r="C544" s="6" t="n">
        <x:f>RAND()</x:f>
        <x:v>0.49233385680456554</x:v>
      </x:c>
      <x:c r="D544" s="6" t="n">
        <x:f>B544^2+C544^2</x:f>
        <x:v>0.2839767345089962</x:v>
      </x:c>
      <x:c r="E544" s="5" t="n">
        <x:f>IF(D544&lt;=1,1,0)</x:f>
        <x:v>1</x:v>
      </x:c>
      <x:c r="F544" s="6" t="n">
        <x:f>4*SUM($E$9:E544)/A544</x:f>
        <x:v>3</x:v>
      </x:c>
      <x:c r="G544" s="1"/>
      <x:c r="H544" s="1"/>
    </x:row>
    <x:row r="545" ht="22" customHeight="1">
      <x:c r="A545" s="1" t="n">
        <x:v>537</x:v>
      </x:c>
      <x:c r="B545" s="6" t="n">
        <x:f>RAND()</x:f>
        <x:v>0.3065565844443945</x:v>
      </x:c>
      <x:c r="C545" s="6" t="n">
        <x:f>RAND()</x:f>
        <x:v>0.7429986662588723</x:v>
      </x:c>
      <x:c r="D545" s="6" t="n">
        <x:f>B545^2+C545^2</x:f>
        <x:v>0.6460239575286764</x:v>
      </x:c>
      <x:c r="E545" s="5" t="n">
        <x:f>IF(D545&lt;=1,1,0)</x:f>
        <x:v>1</x:v>
      </x:c>
      <x:c r="F545" s="6" t="n">
        <x:f>4*SUM($E$9:E545)/A545</x:f>
        <x:v>3.001862197392924</x:v>
      </x:c>
      <x:c r="G545" s="1"/>
      <x:c r="H545" s="1"/>
    </x:row>
    <x:row r="546" ht="22" customHeight="1">
      <x:c r="A546" s="1" t="n">
        <x:v>538</x:v>
      </x:c>
      <x:c r="B546" s="6" t="n">
        <x:f>RAND()</x:f>
        <x:v>0.2711850056135635</x:v>
      </x:c>
      <x:c r="C546" s="6" t="n">
        <x:f>RAND()</x:f>
        <x:v>0.4683702647419694</x:v>
      </x:c>
      <x:c r="D546" s="6" t="n">
        <x:f>B546^2+C546^2</x:f>
        <x:v>0.29291201216409096</x:v>
      </x:c>
      <x:c r="E546" s="5" t="n">
        <x:f>IF(D546&lt;=1,1,0)</x:f>
        <x:v>1</x:v>
      </x:c>
      <x:c r="F546" s="6" t="n">
        <x:f>4*SUM($E$9:E546)/A546</x:f>
        <x:v>3.003717472118959</x:v>
      </x:c>
      <x:c r="G546" s="1"/>
      <x:c r="H546" s="1"/>
    </x:row>
    <x:row r="547" ht="22" customHeight="1">
      <x:c r="A547" s="1" t="n">
        <x:v>539</x:v>
      </x:c>
      <x:c r="B547" s="6" t="n">
        <x:f>RAND()</x:f>
        <x:v>0.2910754047489934</x:v>
      </x:c>
      <x:c r="C547" s="6" t="n">
        <x:f>RAND()</x:f>
        <x:v>0.519781198564546</x:v>
      </x:c>
      <x:c r="D547" s="6" t="n">
        <x:f>B547^2+C547^2</x:f>
        <x:v>0.3548973856309863</x:v>
      </x:c>
      <x:c r="E547" s="5" t="n">
        <x:f>IF(D547&lt;=1,1,0)</x:f>
        <x:v>1</x:v>
      </x:c>
      <x:c r="F547" s="6" t="n">
        <x:f>4*SUM($E$9:E547)/A547</x:f>
        <x:v>3.00556586270872</x:v>
      </x:c>
      <x:c r="G547" s="1"/>
      <x:c r="H547" s="1"/>
    </x:row>
    <x:row r="548" ht="22" customHeight="1">
      <x:c r="A548" s="1" t="n">
        <x:v>540</x:v>
      </x:c>
      <x:c r="B548" s="6" t="n">
        <x:f>RAND()</x:f>
        <x:v>0.0816114970795202</x:v>
      </x:c>
      <x:c r="C548" s="6" t="n">
        <x:f>RAND()</x:f>
        <x:v>0.5285117731997963</x:v>
      </x:c>
      <x:c r="D548" s="6" t="n">
        <x:f>B548^2+C548^2</x:f>
        <x:v>0.2859851308663534</x:v>
      </x:c>
      <x:c r="E548" s="5" t="n">
        <x:f>IF(D548&lt;=1,1,0)</x:f>
        <x:v>1</x:v>
      </x:c>
      <x:c r="F548" s="6" t="n">
        <x:f>4*SUM($E$9:E548)/A548</x:f>
        <x:v>3.0074074074074075</x:v>
      </x:c>
      <x:c r="G548" s="1"/>
      <x:c r="H548" s="1"/>
    </x:row>
    <x:row r="549" ht="22" customHeight="1">
      <x:c r="A549" s="1" t="n">
        <x:v>541</x:v>
      </x:c>
      <x:c r="B549" s="6" t="n">
        <x:f>RAND()</x:f>
        <x:v>0.254508712590477</x:v>
      </x:c>
      <x:c r="C549" s="6" t="n">
        <x:f>RAND()</x:f>
        <x:v>0.47189399537023613</x:v>
      </x:c>
      <x:c r="D549" s="6" t="n">
        <x:f>B549^2+C549^2</x:f>
        <x:v>0.2874586276509465</x:v>
      </x:c>
      <x:c r="E549" s="5" t="n">
        <x:f>IF(D549&lt;=1,1,0)</x:f>
        <x:v>1</x:v>
      </x:c>
      <x:c r="F549" s="6" t="n">
        <x:f>4*SUM($E$9:E549)/A549</x:f>
        <x:v>3.009242144177449</x:v>
      </x:c>
      <x:c r="G549" s="1"/>
      <x:c r="H549" s="1"/>
    </x:row>
    <x:row r="550" ht="22" customHeight="1">
      <x:c r="A550" s="1" t="n">
        <x:v>542</x:v>
      </x:c>
      <x:c r="B550" s="6" t="n">
        <x:f>RAND()</x:f>
        <x:v>0.7525252072592945</x:v>
      </x:c>
      <x:c r="C550" s="6" t="n">
        <x:f>RAND()</x:f>
        <x:v>0.4057947246056074</x:v>
      </x:c>
      <x:c r="D550" s="6" t="n">
        <x:f>B550^2+C550^2</x:f>
        <x:v>0.730963546078385</x:v>
      </x:c>
      <x:c r="E550" s="5" t="n">
        <x:f>IF(D550&lt;=1,1,0)</x:f>
        <x:v>1</x:v>
      </x:c>
      <x:c r="F550" s="6" t="n">
        <x:f>4*SUM($E$9:E550)/A550</x:f>
        <x:v>3.011070110701107</x:v>
      </x:c>
      <x:c r="G550" s="1"/>
      <x:c r="H550" s="1"/>
    </x:row>
    <x:row r="551" ht="22" customHeight="1">
      <x:c r="A551" s="1" t="n">
        <x:v>543</x:v>
      </x:c>
      <x:c r="B551" s="6" t="n">
        <x:f>RAND()</x:f>
        <x:v>0.26559721153383176</x:v>
      </x:c>
      <x:c r="C551" s="6" t="n">
        <x:f>RAND()</x:f>
        <x:v>0.3579693435457797</x:v>
      </x:c>
      <x:c r="D551" s="6" t="n">
        <x:f>B551^2+C551^2</x:f>
        <x:v>0.1986839296931434</x:v>
      </x:c>
      <x:c r="E551" s="5" t="n">
        <x:f>IF(D551&lt;=1,1,0)</x:f>
        <x:v>1</x:v>
      </x:c>
      <x:c r="F551" s="6" t="n">
        <x:f>4*SUM($E$9:E551)/A551</x:f>
        <x:v>3.012891344383057</x:v>
      </x:c>
      <x:c r="G551" s="1"/>
      <x:c r="H551" s="1"/>
    </x:row>
    <x:row r="552" ht="22" customHeight="1">
      <x:c r="A552" s="1" t="n">
        <x:v>544</x:v>
      </x:c>
      <x:c r="B552" s="6" t="n">
        <x:f>RAND()</x:f>
        <x:v>0.018129481457231145</x:v>
      </x:c>
      <x:c r="C552" s="6" t="n">
        <x:f>RAND()</x:f>
        <x:v>0.5187939236789201</x:v>
      </x:c>
      <x:c r="D552" s="6" t="n">
        <x:f>B552^2+C552^2</x:f>
        <x:v>0.2694758133440772</x:v>
      </x:c>
      <x:c r="E552" s="5" t="n">
        <x:f>IF(D552&lt;=1,1,0)</x:f>
        <x:v>1</x:v>
      </x:c>
      <x:c r="F552" s="6" t="n">
        <x:f>4*SUM($E$9:E552)/A552</x:f>
        <x:v>3.014705882352941</x:v>
      </x:c>
      <x:c r="G552" s="1"/>
      <x:c r="H552" s="1"/>
    </x:row>
    <x:row r="553" ht="22" customHeight="1">
      <x:c r="A553" s="1" t="n">
        <x:v>545</x:v>
      </x:c>
      <x:c r="B553" s="6" t="n">
        <x:f>RAND()</x:f>
        <x:v>0.1357421441138119</x:v>
      </x:c>
      <x:c r="C553" s="6" t="n">
        <x:f>RAND()</x:f>
        <x:v>0.968517222210262</x:v>
      </x:c>
      <x:c r="D553" s="6" t="n">
        <x:f>B553^2+C553^2</x:f>
        <x:v>0.956451539406497</x:v>
      </x:c>
      <x:c r="E553" s="5" t="n">
        <x:f>IF(D553&lt;=1,1,0)</x:f>
        <x:v>1</x:v>
      </x:c>
      <x:c r="F553" s="6" t="n">
        <x:f>4*SUM($E$9:E553)/A553</x:f>
        <x:v>3.01651376146789</x:v>
      </x:c>
      <x:c r="G553" s="1"/>
      <x:c r="H553" s="1"/>
    </x:row>
    <x:row r="554" ht="22" customHeight="1">
      <x:c r="A554" s="1" t="n">
        <x:v>546</x:v>
      </x:c>
      <x:c r="B554" s="6" t="n">
        <x:f>RAND()</x:f>
        <x:v>0.7745730965494271</x:v>
      </x:c>
      <x:c r="C554" s="6" t="n">
        <x:f>RAND()</x:f>
        <x:v>0.8945601977087545</x:v>
      </x:c>
      <x:c r="D554" s="6" t="n">
        <x:f>B554^2+C554^2</x:f>
        <x:v>1.4002014292228941</x:v>
      </x:c>
      <x:c r="E554" s="5" t="n">
        <x:f>IF(D554&lt;=1,1,0)</x:f>
        <x:v>0</x:v>
      </x:c>
      <x:c r="F554" s="6" t="n">
        <x:f>4*SUM($E$9:E554)/A554</x:f>
        <x:v>3.010989010989011</x:v>
      </x:c>
      <x:c r="G554" s="1"/>
      <x:c r="H554" s="1"/>
    </x:row>
    <x:row r="555" ht="22" customHeight="1">
      <x:c r="A555" s="1" t="n">
        <x:v>547</x:v>
      </x:c>
      <x:c r="B555" s="6" t="n">
        <x:f>RAND()</x:f>
        <x:v>0.26197104172582053</x:v>
      </x:c>
      <x:c r="C555" s="6" t="n">
        <x:f>RAND()</x:f>
        <x:v>0.6576697892964093</x:v>
      </x:c>
      <x:c r="D555" s="6" t="n">
        <x:f>B555^2+C555^2</x:f>
        <x:v>0.501158378456095</x:v>
      </x:c>
      <x:c r="E555" s="5" t="n">
        <x:f>IF(D555&lt;=1,1,0)</x:f>
        <x:v>1</x:v>
      </x:c>
      <x:c r="F555" s="6" t="n">
        <x:f>4*SUM($E$9:E555)/A555</x:f>
        <x:v>3.012797074954296</x:v>
      </x:c>
      <x:c r="G555" s="1"/>
      <x:c r="H555" s="1"/>
    </x:row>
    <x:row r="556" ht="22" customHeight="1">
      <x:c r="A556" s="1" t="n">
        <x:v>548</x:v>
      </x:c>
      <x:c r="B556" s="6" t="n">
        <x:f>RAND()</x:f>
        <x:v>0.7732490518798659</x:v>
      </x:c>
      <x:c r="C556" s="6" t="n">
        <x:f>RAND()</x:f>
        <x:v>0.06645804489011453</x:v>
      </x:c>
      <x:c r="D556" s="6" t="n">
        <x:f>B556^2+C556^2</x:f>
        <x:v>0.602330767963728</x:v>
      </x:c>
      <x:c r="E556" s="5" t="n">
        <x:f>IF(D556&lt;=1,1,0)</x:f>
        <x:v>1</x:v>
      </x:c>
      <x:c r="F556" s="6" t="n">
        <x:f>4*SUM($E$9:E556)/A556</x:f>
        <x:v>3.0145985401459856</x:v>
      </x:c>
      <x:c r="G556" s="1"/>
      <x:c r="H556" s="1"/>
    </x:row>
    <x:row r="557" ht="22" customHeight="1">
      <x:c r="A557" s="1" t="n">
        <x:v>549</x:v>
      </x:c>
      <x:c r="B557" s="6" t="n">
        <x:f>RAND()</x:f>
        <x:v>0.34609777313282386</x:v>
      </x:c>
      <x:c r="C557" s="6" t="n">
        <x:f>RAND()</x:f>
        <x:v>0.58763347564258</x:v>
      </x:c>
      <x:c r="D557" s="6" t="n">
        <x:f>B557^2+C557^2</x:f>
        <x:v>0.4650967702632782</x:v>
      </x:c>
      <x:c r="E557" s="5" t="n">
        <x:f>IF(D557&lt;=1,1,0)</x:f>
        <x:v>1</x:v>
      </x:c>
      <x:c r="F557" s="6" t="n">
        <x:f>4*SUM($E$9:E557)/A557</x:f>
        <x:v>3.0163934426229506</x:v>
      </x:c>
      <x:c r="G557" s="1"/>
      <x:c r="H557" s="1"/>
    </x:row>
    <x:row r="558" ht="22" customHeight="1">
      <x:c r="A558" s="1" t="n">
        <x:v>550</x:v>
      </x:c>
      <x:c r="B558" s="6" t="n">
        <x:f>RAND()</x:f>
        <x:v>0.9638486170594514</x:v>
      </x:c>
      <x:c r="C558" s="6" t="n">
        <x:f>RAND()</x:f>
        <x:v>0.9205673390453096</x:v>
      </x:c>
      <x:c r="D558" s="6" t="n">
        <x:f>B558^2+C558^2</x:f>
        <x:v>1.776448382324379</x:v>
      </x:c>
      <x:c r="E558" s="5" t="n">
        <x:f>IF(D558&lt;=1,1,0)</x:f>
        <x:v>0</x:v>
      </x:c>
      <x:c r="F558" s="6" t="n">
        <x:f>4*SUM($E$9:E558)/A558</x:f>
        <x:v>3.0109090909090908</x:v>
      </x:c>
      <x:c r="G558" s="1"/>
      <x:c r="H558" s="1"/>
    </x:row>
    <x:row r="559" ht="22" customHeight="1">
      <x:c r="A559" s="1" t="n">
        <x:v>551</x:v>
      </x:c>
      <x:c r="B559" s="6" t="n">
        <x:f>RAND()</x:f>
        <x:v>0.4876890637928787</x:v>
      </x:c>
      <x:c r="C559" s="6" t="n">
        <x:f>RAND()</x:f>
        <x:v>0.08693546112466377</x:v>
      </x:c>
      <x:c r="D559" s="6" t="n">
        <x:f>B559^2+C559^2</x:f>
        <x:v>0.2453983973441324</x:v>
      </x:c>
      <x:c r="E559" s="5" t="n">
        <x:f>IF(D559&lt;=1,1,0)</x:f>
        <x:v>1</x:v>
      </x:c>
      <x:c r="F559" s="6" t="n">
        <x:f>4*SUM($E$9:E559)/A559</x:f>
        <x:v>3.0127041742286753</x:v>
      </x:c>
      <x:c r="G559" s="1"/>
      <x:c r="H559" s="1"/>
    </x:row>
    <x:row r="560" ht="22" customHeight="1">
      <x:c r="A560" s="1" t="n">
        <x:v>552</x:v>
      </x:c>
      <x:c r="B560" s="6" t="n">
        <x:f>RAND()</x:f>
        <x:v>0.4031261269322255</x:v>
      </x:c>
      <x:c r="C560" s="6" t="n">
        <x:f>RAND()</x:f>
        <x:v>0.8633817831935449</x:v>
      </x:c>
      <x:c r="D560" s="6" t="n">
        <x:f>B560^2+C560^2</x:f>
        <x:v>0.9079387777658421</x:v>
      </x:c>
      <x:c r="E560" s="5" t="n">
        <x:f>IF(D560&lt;=1,1,0)</x:f>
        <x:v>1</x:v>
      </x:c>
      <x:c r="F560" s="6" t="n">
        <x:f>4*SUM($E$9:E560)/A560</x:f>
        <x:v>3.0144927536231885</x:v>
      </x:c>
      <x:c r="G560" s="1"/>
      <x:c r="H560" s="1"/>
    </x:row>
    <x:row r="561" ht="22" customHeight="1">
      <x:c r="A561" s="1" t="n">
        <x:v>553</x:v>
      </x:c>
      <x:c r="B561" s="6" t="n">
        <x:f>RAND()</x:f>
        <x:v>0.6133466394957301</x:v>
      </x:c>
      <x:c r="C561" s="6" t="n">
        <x:f>RAND()</x:f>
        <x:v>0.1415446271398315</x:v>
      </x:c>
      <x:c r="D561" s="6" t="n">
        <x:f>B561^2+C561^2</x:f>
        <x:v>0.396228981652859</x:v>
      </x:c>
      <x:c r="E561" s="5" t="n">
        <x:f>IF(D561&lt;=1,1,0)</x:f>
        <x:v>1</x:v>
      </x:c>
      <x:c r="F561" s="6" t="n">
        <x:f>4*SUM($E$9:E561)/A561</x:f>
        <x:v>3.0162748643761303</x:v>
      </x:c>
      <x:c r="G561" s="1"/>
      <x:c r="H561" s="1"/>
    </x:row>
    <x:row r="562" ht="22" customHeight="1">
      <x:c r="A562" s="1" t="n">
        <x:v>554</x:v>
      </x:c>
      <x:c r="B562" s="6" t="n">
        <x:f>RAND()</x:f>
        <x:v>0.07933851213572063</x:v>
      </x:c>
      <x:c r="C562" s="6" t="n">
        <x:f>RAND()</x:f>
        <x:v>0.9958218106148009</x:v>
      </x:c>
      <x:c r="D562" s="6" t="n">
        <x:f>B562^2+C562^2</x:f>
        <x:v>0.9979556780040503</x:v>
      </x:c>
      <x:c r="E562" s="5" t="n">
        <x:f>IF(D562&lt;=1,1,0)</x:f>
        <x:v>1</x:v>
      </x:c>
      <x:c r="F562" s="6" t="n">
        <x:f>4*SUM($E$9:E562)/A562</x:f>
        <x:v>3.0180505415162453</x:v>
      </x:c>
      <x:c r="G562" s="1"/>
      <x:c r="H562" s="1"/>
    </x:row>
    <x:row r="563" ht="22" customHeight="1">
      <x:c r="A563" s="1" t="n">
        <x:v>555</x:v>
      </x:c>
      <x:c r="B563" s="6" t="n">
        <x:f>RAND()</x:f>
        <x:v>0.9204072958056007</x:v>
      </x:c>
      <x:c r="C563" s="6" t="n">
        <x:f>RAND()</x:f>
        <x:v>0.9858314884741389</x:v>
      </x:c>
      <x:c r="D563" s="6" t="n">
        <x:f>B563^2+C563^2</x:f>
        <x:v>1.819013313839315</x:v>
      </x:c>
      <x:c r="E563" s="5" t="n">
        <x:f>IF(D563&lt;=1,1,0)</x:f>
        <x:v>0</x:v>
      </x:c>
      <x:c r="F563" s="6" t="n">
        <x:f>4*SUM($E$9:E563)/A563</x:f>
        <x:v>3.0126126126126125</x:v>
      </x:c>
      <x:c r="G563" s="1"/>
      <x:c r="H563" s="1"/>
    </x:row>
    <x:row r="564" ht="22" customHeight="1">
      <x:c r="A564" s="1" t="n">
        <x:v>556</x:v>
      </x:c>
      <x:c r="B564" s="6" t="n">
        <x:f>RAND()</x:f>
        <x:v>0.45289318458599415</x:v>
      </x:c>
      <x:c r="C564" s="6" t="n">
        <x:f>RAND()</x:f>
        <x:v>0.156833011442015</x:v>
      </x:c>
      <x:c r="D564" s="6" t="n">
        <x:f>B564^2+C564^2</x:f>
        <x:v>0.22970883012241458</x:v>
      </x:c>
      <x:c r="E564" s="5" t="n">
        <x:f>IF(D564&lt;=1,1,0)</x:f>
        <x:v>1</x:v>
      </x:c>
      <x:c r="F564" s="6" t="n">
        <x:f>4*SUM($E$9:E564)/A564</x:f>
        <x:v>3.014388489208633</x:v>
      </x:c>
      <x:c r="G564" s="1"/>
      <x:c r="H564" s="1"/>
    </x:row>
    <x:row r="565" ht="22" customHeight="1">
      <x:c r="A565" s="1" t="n">
        <x:v>557</x:v>
      </x:c>
      <x:c r="B565" s="6" t="n">
        <x:f>RAND()</x:f>
        <x:v>0.3223285718467427</x:v>
      </x:c>
      <x:c r="C565" s="6" t="n">
        <x:f>RAND()</x:f>
        <x:v>0.5104153119186485</x:v>
      </x:c>
      <x:c r="D565" s="6" t="n">
        <x:f>B565^2+C565^2</x:f>
        <x:v>0.36441949886977204</x:v>
      </x:c>
      <x:c r="E565" s="5" t="n">
        <x:f>IF(D565&lt;=1,1,0)</x:f>
        <x:v>1</x:v>
      </x:c>
      <x:c r="F565" s="6" t="n">
        <x:f>4*SUM($E$9:E565)/A565</x:f>
        <x:v>3.0161579892280073</x:v>
      </x:c>
      <x:c r="G565" s="1"/>
      <x:c r="H565" s="1"/>
    </x:row>
    <x:row r="566" ht="22" customHeight="1">
      <x:c r="A566" s="1" t="n">
        <x:v>558</x:v>
      </x:c>
      <x:c r="B566" s="6" t="n">
        <x:f>RAND()</x:f>
        <x:v>0.39745625367762283</x:v>
      </x:c>
      <x:c r="C566" s="6" t="n">
        <x:f>RAND()</x:f>
        <x:v>0.751555699594329</x:v>
      </x:c>
      <x:c r="D566" s="6" t="n">
        <x:f>B566^2+C566^2</x:f>
        <x:v>0.7228074431801722</x:v>
      </x:c>
      <x:c r="E566" s="5" t="n">
        <x:f>IF(D566&lt;=1,1,0)</x:f>
        <x:v>1</x:v>
      </x:c>
      <x:c r="F566" s="6" t="n">
        <x:f>4*SUM($E$9:E566)/A566</x:f>
        <x:v>3.017921146953405</x:v>
      </x:c>
      <x:c r="G566" s="1"/>
      <x:c r="H566" s="1"/>
    </x:row>
    <x:row r="567" ht="22" customHeight="1">
      <x:c r="A567" s="1" t="n">
        <x:v>559</x:v>
      </x:c>
      <x:c r="B567" s="6" t="n">
        <x:f>RAND()</x:f>
        <x:v>0.9818892919121202</x:v>
      </x:c>
      <x:c r="C567" s="6" t="n">
        <x:f>RAND()</x:f>
        <x:v>0.19425082696145968</x:v>
      </x:c>
      <x:c r="D567" s="6" t="n">
        <x:f>B567^2+C567^2</x:f>
        <x:v>1.0018399653468957</x:v>
      </x:c>
      <x:c r="E567" s="5" t="n">
        <x:f>IF(D567&lt;=1,1,0)</x:f>
        <x:v>0</x:v>
      </x:c>
      <x:c r="F567" s="6" t="n">
        <x:f>4*SUM($E$9:E567)/A567</x:f>
        <x:v>3.012522361359571</x:v>
      </x:c>
      <x:c r="G567" s="1"/>
      <x:c r="H567" s="1"/>
    </x:row>
    <x:row r="568" ht="22" customHeight="1">
      <x:c r="A568" s="1" t="n">
        <x:v>560</x:v>
      </x:c>
      <x:c r="B568" s="6" t="n">
        <x:f>RAND()</x:f>
        <x:v>0.11386464152231546</x:v>
      </x:c>
      <x:c r="C568" s="6" t="n">
        <x:f>RAND()</x:f>
        <x:v>0.5479286466021214</x:v>
      </x:c>
      <x:c r="D568" s="6" t="n">
        <x:f>B568^2+C568^2</x:f>
        <x:v>0.3131909583562378</x:v>
      </x:c>
      <x:c r="E568" s="5" t="n">
        <x:f>IF(D568&lt;=1,1,0)</x:f>
        <x:v>1</x:v>
      </x:c>
      <x:c r="F568" s="6" t="n">
        <x:f>4*SUM($E$9:E568)/A568</x:f>
        <x:v>3.0142857142857142</x:v>
      </x:c>
      <x:c r="G568" s="1"/>
      <x:c r="H568" s="1"/>
    </x:row>
    <x:row r="569" ht="22" customHeight="1">
      <x:c r="A569" s="1" t="n">
        <x:v>561</x:v>
      </x:c>
      <x:c r="B569" s="6" t="n">
        <x:f>RAND()</x:f>
        <x:v>0.5545791520773397</x:v>
      </x:c>
      <x:c r="C569" s="6" t="n">
        <x:f>RAND()</x:f>
        <x:v>0.47890108597614356</x:v>
      </x:c>
      <x:c r="D569" s="6" t="n">
        <x:f>B569^2+C569^2</x:f>
        <x:v>0.5369042860679507</x:v>
      </x:c>
      <x:c r="E569" s="5" t="n">
        <x:f>IF(D569&lt;=1,1,0)</x:f>
        <x:v>1</x:v>
      </x:c>
      <x:c r="F569" s="6" t="n">
        <x:f>4*SUM($E$9:E569)/A569</x:f>
        <x:v>3.016042780748663</x:v>
      </x:c>
      <x:c r="G569" s="1"/>
      <x:c r="H569" s="1"/>
    </x:row>
    <x:row r="570" ht="22" customHeight="1">
      <x:c r="A570" s="1" t="n">
        <x:v>562</x:v>
      </x:c>
      <x:c r="B570" s="6" t="n">
        <x:f>RAND()</x:f>
        <x:v>0.8324221533116624</x:v>
      </x:c>
      <x:c r="C570" s="6" t="n">
        <x:f>RAND()</x:f>
        <x:v>0.20336921306541766</x:v>
      </x:c>
      <x:c r="D570" s="6" t="n">
        <x:f>B570^2+C570^2</x:f>
        <x:v>0.734285678146872</x:v>
      </x:c>
      <x:c r="E570" s="5" t="n">
        <x:f>IF(D570&lt;=1,1,0)</x:f>
        <x:v>1</x:v>
      </x:c>
      <x:c r="F570" s="6" t="n">
        <x:f>4*SUM($E$9:E570)/A570</x:f>
        <x:v>3.01779359430605</x:v>
      </x:c>
      <x:c r="G570" s="1"/>
      <x:c r="H570" s="1"/>
    </x:row>
    <x:row r="571" ht="22" customHeight="1">
      <x:c r="A571" s="1" t="n">
        <x:v>563</x:v>
      </x:c>
      <x:c r="B571" s="6" t="n">
        <x:f>RAND()</x:f>
        <x:v>0.8810058834505268</x:v>
      </x:c>
      <x:c r="C571" s="6" t="n">
        <x:f>RAND()</x:f>
        <x:v>0.025017598641144834</x:v>
      </x:c>
      <x:c r="D571" s="6" t="n">
        <x:f>B571^2+C571^2</x:f>
        <x:v>0.7767972469162127</x:v>
      </x:c>
      <x:c r="E571" s="5" t="n">
        <x:f>IF(D571&lt;=1,1,0)</x:f>
        <x:v>1</x:v>
      </x:c>
      <x:c r="F571" s="6" t="n">
        <x:f>4*SUM($E$9:E571)/A571</x:f>
        <x:v>3.019538188277087</x:v>
      </x:c>
      <x:c r="G571" s="1"/>
      <x:c r="H571" s="1"/>
    </x:row>
    <x:row r="572" ht="22" customHeight="1">
      <x:c r="A572" s="1" t="n">
        <x:v>564</x:v>
      </x:c>
      <x:c r="B572" s="6" t="n">
        <x:f>RAND()</x:f>
        <x:v>0.8142667075693185</x:v>
      </x:c>
      <x:c r="C572" s="6" t="n">
        <x:f>RAND()</x:f>
        <x:v>0.8713566106836544</x:v>
      </x:c>
      <x:c r="D572" s="6" t="n">
        <x:f>B572^2+C572^2</x:f>
        <x:v>1.4222926140378838</x:v>
      </x:c>
      <x:c r="E572" s="5" t="n">
        <x:f>IF(D572&lt;=1,1,0)</x:f>
        <x:v>0</x:v>
      </x:c>
      <x:c r="F572" s="6" t="n">
        <x:f>4*SUM($E$9:E572)/A572</x:f>
        <x:v>3.0141843971631204</x:v>
      </x:c>
      <x:c r="G572" s="1"/>
      <x:c r="H572" s="1"/>
    </x:row>
    <x:row r="573" ht="22" customHeight="1">
      <x:c r="A573" s="1" t="n">
        <x:v>565</x:v>
      </x:c>
      <x:c r="B573" s="6" t="n">
        <x:f>RAND()</x:f>
        <x:v>0.31116607822037756</x:v>
      </x:c>
      <x:c r="C573" s="6" t="n">
        <x:f>RAND()</x:f>
        <x:v>0.9120172829135539</x:v>
      </x:c>
      <x:c r="D573" s="6" t="n">
        <x:f>B573^2+C573^2</x:f>
        <x:v>0.9285998525680715</x:v>
      </x:c>
      <x:c r="E573" s="5" t="n">
        <x:f>IF(D573&lt;=1,1,0)</x:f>
        <x:v>1</x:v>
      </x:c>
      <x:c r="F573" s="6" t="n">
        <x:f>4*SUM($E$9:E573)/A573</x:f>
        <x:v>3.015929203539823</x:v>
      </x:c>
      <x:c r="G573" s="1"/>
      <x:c r="H573" s="1"/>
    </x:row>
    <x:row r="574" ht="22" customHeight="1">
      <x:c r="A574" s="1" t="n">
        <x:v>566</x:v>
      </x:c>
      <x:c r="B574" s="6" t="n">
        <x:f>RAND()</x:f>
        <x:v>0.9113725794568931</x:v>
      </x:c>
      <x:c r="C574" s="6" t="n">
        <x:f>RAND()</x:f>
        <x:v>0.24429622233664494</x:v>
      </x:c>
      <x:c r="D574" s="6" t="n">
        <x:f>B574^2+C574^2</x:f>
        <x:v>0.8902806228338664</x:v>
      </x:c>
      <x:c r="E574" s="5" t="n">
        <x:f>IF(D574&lt;=1,1,0)</x:f>
        <x:v>1</x:v>
      </x:c>
      <x:c r="F574" s="6" t="n">
        <x:f>4*SUM($E$9:E574)/A574</x:f>
        <x:v>3.0176678445229683</x:v>
      </x:c>
      <x:c r="G574" s="1"/>
      <x:c r="H574" s="1"/>
    </x:row>
    <x:row r="575" ht="22" customHeight="1">
      <x:c r="A575" s="1" t="n">
        <x:v>567</x:v>
      </x:c>
      <x:c r="B575" s="6" t="n">
        <x:f>RAND()</x:f>
        <x:v>0.3209628490429851</x:v>
      </x:c>
      <x:c r="C575" s="6" t="n">
        <x:f>RAND()</x:f>
        <x:v>0.3250507412414926</x:v>
      </x:c>
      <x:c r="D575" s="6" t="n">
        <x:f>B575^2+C575^2</x:f>
        <x:v>0.20867513484743383</x:v>
      </x:c>
      <x:c r="E575" s="5" t="n">
        <x:f>IF(D575&lt;=1,1,0)</x:f>
        <x:v>1</x:v>
      </x:c>
      <x:c r="F575" s="6" t="n">
        <x:f>4*SUM($E$9:E575)/A575</x:f>
        <x:v>3.019400352733686</x:v>
      </x:c>
      <x:c r="G575" s="1"/>
      <x:c r="H575" s="1"/>
    </x:row>
    <x:row r="576" ht="22" customHeight="1">
      <x:c r="A576" s="1" t="n">
        <x:v>568</x:v>
      </x:c>
      <x:c r="B576" s="6" t="n">
        <x:f>RAND()</x:f>
        <x:v>0.9503040250183832</x:v>
      </x:c>
      <x:c r="C576" s="6" t="n">
        <x:f>RAND()</x:f>
        <x:v>0.7809843307466005</x:v>
      </x:c>
      <x:c r="D576" s="6" t="n">
        <x:f>B576^2+C576^2</x:f>
        <x:v>1.5130142648378553</x:v>
      </x:c>
      <x:c r="E576" s="5" t="n">
        <x:f>IF(D576&lt;=1,1,0)</x:f>
        <x:v>0</x:v>
      </x:c>
      <x:c r="F576" s="6" t="n">
        <x:f>4*SUM($E$9:E576)/A576</x:f>
        <x:v>3.0140845070422535</x:v>
      </x:c>
      <x:c r="G576" s="1"/>
      <x:c r="H576" s="1"/>
    </x:row>
    <x:row r="577" ht="22" customHeight="1">
      <x:c r="A577" s="1" t="n">
        <x:v>569</x:v>
      </x:c>
      <x:c r="B577" s="6" t="n">
        <x:f>RAND()</x:f>
        <x:v>0.5209204787144598</x:v>
      </x:c>
      <x:c r="C577" s="6" t="n">
        <x:f>RAND()</x:f>
        <x:v>0.79543585007937</x:v>
      </x:c>
      <x:c r="D577" s="6" t="n">
        <x:f>B577^2+C577^2</x:f>
        <x:v>0.904076336735592</x:v>
      </x:c>
      <x:c r="E577" s="5" t="n">
        <x:f>IF(D577&lt;=1,1,0)</x:f>
        <x:v>1</x:v>
      </x:c>
      <x:c r="F577" s="6" t="n">
        <x:f>4*SUM($E$9:E577)/A577</x:f>
        <x:v>3.015817223198594</x:v>
      </x:c>
      <x:c r="G577" s="1"/>
      <x:c r="H577" s="1"/>
    </x:row>
    <x:row r="578" ht="22" customHeight="1">
      <x:c r="A578" s="1" t="n">
        <x:v>570</x:v>
      </x:c>
      <x:c r="B578" s="6" t="n">
        <x:f>RAND()</x:f>
        <x:v>0.09528271417174183</x:v>
      </x:c>
      <x:c r="C578" s="6" t="n">
        <x:f>RAND()</x:f>
        <x:v>0.5203026938092631</x:v>
      </x:c>
      <x:c r="D578" s="6" t="n">
        <x:f>B578^2+C578^2</x:f>
        <x:v>0.27979368880510963</x:v>
      </x:c>
      <x:c r="E578" s="5" t="n">
        <x:f>IF(D578&lt;=1,1,0)</x:f>
        <x:v>1</x:v>
      </x:c>
      <x:c r="F578" s="6" t="n">
        <x:f>4*SUM($E$9:E578)/A578</x:f>
        <x:v>3.017543859649123</x:v>
      </x:c>
      <x:c r="G578" s="1"/>
      <x:c r="H578" s="1"/>
    </x:row>
    <x:row r="579" ht="22" customHeight="1">
      <x:c r="A579" s="1" t="n">
        <x:v>571</x:v>
      </x:c>
      <x:c r="B579" s="6" t="n">
        <x:f>RAND()</x:f>
        <x:v>0.8460318174970212</x:v>
      </x:c>
      <x:c r="C579" s="6" t="n">
        <x:f>RAND()</x:f>
        <x:v>0.5793443666348375</x:v>
      </x:c>
      <x:c r="D579" s="6" t="n">
        <x:f>B579^2+C579^2</x:f>
        <x:v>1.051409731368834</x:v>
      </x:c>
      <x:c r="E579" s="5" t="n">
        <x:f>IF(D579&lt;=1,1,0)</x:f>
        <x:v>0</x:v>
      </x:c>
      <x:c r="F579" s="6" t="n">
        <x:f>4*SUM($E$9:E579)/A579</x:f>
        <x:v>3.012259194395797</x:v>
      </x:c>
      <x:c r="G579" s="1"/>
      <x:c r="H579" s="1"/>
    </x:row>
    <x:row r="580" ht="22" customHeight="1">
      <x:c r="A580" s="1" t="n">
        <x:v>572</x:v>
      </x:c>
      <x:c r="B580" s="6" t="n">
        <x:f>RAND()</x:f>
        <x:v>0.8501638870185564</x:v>
      </x:c>
      <x:c r="C580" s="6" t="n">
        <x:f>RAND()</x:f>
        <x:v>0.7747934515123619</x:v>
      </x:c>
      <x:c r="D580" s="6" t="n">
        <x:f>B580^2+C580^2</x:f>
        <x:v>1.3230835272969395</x:v>
      </x:c>
      <x:c r="E580" s="5" t="n">
        <x:f>IF(D580&lt;=1,1,0)</x:f>
        <x:v>0</x:v>
      </x:c>
      <x:c r="F580" s="6" t="n">
        <x:f>4*SUM($E$9:E580)/A580</x:f>
        <x:v>3.006993006993007</x:v>
      </x:c>
      <x:c r="G580" s="1"/>
      <x:c r="H580" s="1"/>
    </x:row>
    <x:row r="581" ht="22" customHeight="1">
      <x:c r="A581" s="1" t="n">
        <x:v>573</x:v>
      </x:c>
      <x:c r="B581" s="6" t="n">
        <x:f>RAND()</x:f>
        <x:v>0.960383762676771</x:v>
      </x:c>
      <x:c r="C581" s="6" t="n">
        <x:f>RAND()</x:f>
        <x:v>0.6565092334413694</x:v>
      </x:c>
      <x:c r="D581" s="6" t="n">
        <x:f>B581^2+C581^2</x:f>
        <x:v>1.3533413452069667</x:v>
      </x:c>
      <x:c r="E581" s="5" t="n">
        <x:f>IF(D581&lt;=1,1,0)</x:f>
        <x:v>0</x:v>
      </x:c>
      <x:c r="F581" s="6" t="n">
        <x:f>4*SUM($E$9:E581)/A581</x:f>
        <x:v>3.0017452006980805</x:v>
      </x:c>
      <x:c r="G581" s="1"/>
      <x:c r="H581" s="1"/>
    </x:row>
    <x:row r="582" ht="22" customHeight="1">
      <x:c r="A582" s="1" t="n">
        <x:v>574</x:v>
      </x:c>
      <x:c r="B582" s="6" t="n">
        <x:f>RAND()</x:f>
        <x:v>0.0800294027279217</x:v>
      </x:c>
      <x:c r="C582" s="6" t="n">
        <x:f>RAND()</x:f>
        <x:v>0.16168529774649254</x:v>
      </x:c>
      <x:c r="D582" s="6" t="n">
        <x:f>B582^2+C582^2</x:f>
        <x:v>0.03254684080835983</x:v>
      </x:c>
      <x:c r="E582" s="5" t="n">
        <x:f>IF(D582&lt;=1,1,0)</x:f>
        <x:v>1</x:v>
      </x:c>
      <x:c r="F582" s="6" t="n">
        <x:f>4*SUM($E$9:E582)/A582</x:f>
        <x:v>3.0034843205574915</x:v>
      </x:c>
      <x:c r="G582" s="1"/>
      <x:c r="H582" s="1"/>
    </x:row>
    <x:row r="583" ht="22" customHeight="1">
      <x:c r="A583" s="1" t="n">
        <x:v>575</x:v>
      </x:c>
      <x:c r="B583" s="6" t="n">
        <x:f>RAND()</x:f>
        <x:v>0.10933854006993782</x:v>
      </x:c>
      <x:c r="C583" s="6" t="n">
        <x:f>RAND()</x:f>
        <x:v>0.7223230052979461</x:v>
      </x:c>
      <x:c r="D583" s="6" t="n">
        <x:f>B583^2+C583^2</x:f>
        <x:v>0.5337054403272822</x:v>
      </x:c>
      <x:c r="E583" s="5" t="n">
        <x:f>IF(D583&lt;=1,1,0)</x:f>
        <x:v>1</x:v>
      </x:c>
      <x:c r="F583" s="6" t="n">
        <x:f>4*SUM($E$9:E583)/A583</x:f>
        <x:v>3.0052173913043476</x:v>
      </x:c>
      <x:c r="G583" s="1"/>
      <x:c r="H583" s="1"/>
    </x:row>
    <x:row r="584" ht="22" customHeight="1">
      <x:c r="A584" s="1" t="n">
        <x:v>576</x:v>
      </x:c>
      <x:c r="B584" s="6" t="n">
        <x:f>RAND()</x:f>
        <x:v>0.9582518741228392</x:v>
      </x:c>
      <x:c r="C584" s="6" t="n">
        <x:f>RAND()</x:f>
        <x:v>0.28022909634621307</x:v>
      </x:c>
      <x:c r="D584" s="6" t="n">
        <x:f>B584^2+C584^2</x:f>
        <x:v>0.9967750006989489</x:v>
      </x:c>
      <x:c r="E584" s="5" t="n">
        <x:f>IF(D584&lt;=1,1,0)</x:f>
        <x:v>1</x:v>
      </x:c>
      <x:c r="F584" s="6" t="n">
        <x:f>4*SUM($E$9:E584)/A584</x:f>
        <x:v>3.0069444444444446</x:v>
      </x:c>
      <x:c r="G584" s="1"/>
      <x:c r="H584" s="1"/>
    </x:row>
    <x:row r="585" ht="22" customHeight="1">
      <x:c r="A585" s="1" t="n">
        <x:v>577</x:v>
      </x:c>
      <x:c r="B585" s="6" t="n">
        <x:f>RAND()</x:f>
        <x:v>0.32929013983610467</x:v>
      </x:c>
      <x:c r="C585" s="6" t="n">
        <x:f>RAND()</x:f>
        <x:v>0.520900796474131</x:v>
      </x:c>
      <x:c r="D585" s="6" t="n">
        <x:f>B585^2+C585^2</x:f>
        <x:v>0.37976963596066543</x:v>
      </x:c>
      <x:c r="E585" s="5" t="n">
        <x:f>IF(D585&lt;=1,1,0)</x:f>
        <x:v>1</x:v>
      </x:c>
      <x:c r="F585" s="6" t="n">
        <x:f>4*SUM($E$9:E585)/A585</x:f>
        <x:v>3.0086655112651646</x:v>
      </x:c>
      <x:c r="G585" s="1"/>
      <x:c r="H585" s="1"/>
    </x:row>
    <x:row r="586" ht="22" customHeight="1">
      <x:c r="A586" s="1" t="n">
        <x:v>578</x:v>
      </x:c>
      <x:c r="B586" s="6" t="n">
        <x:f>RAND()</x:f>
        <x:v>0.07818171618832359</x:v>
      </x:c>
      <x:c r="C586" s="6" t="n">
        <x:f>RAND()</x:f>
        <x:v>0.42976415128074974</x:v>
      </x:c>
      <x:c r="D586" s="6" t="n">
        <x:f>B586^2+C586^2</x:f>
        <x:v>0.19080960647221473</x:v>
      </x:c>
      <x:c r="E586" s="5" t="n">
        <x:f>IF(D586&lt;=1,1,0)</x:f>
        <x:v>1</x:v>
      </x:c>
      <x:c r="F586" s="6" t="n">
        <x:f>4*SUM($E$9:E586)/A586</x:f>
        <x:v>3.01038062283737</x:v>
      </x:c>
      <x:c r="G586" s="1"/>
      <x:c r="H586" s="1"/>
    </x:row>
    <x:row r="587" ht="22" customHeight="1">
      <x:c r="A587" s="1" t="n">
        <x:v>579</x:v>
      </x:c>
      <x:c r="B587" s="6" t="n">
        <x:f>RAND()</x:f>
        <x:v>0.005852399148392307</x:v>
      </x:c>
      <x:c r="C587" s="6" t="n">
        <x:f>RAND()</x:f>
        <x:v>0.027219463862610316</x:v>
      </x:c>
      <x:c r="D587" s="6" t="n">
        <x:f>B587^2+C587^2</x:f>
        <x:v>0.0007751497887600519</x:v>
      </x:c>
      <x:c r="E587" s="5" t="n">
        <x:f>IF(D587&lt;=1,1,0)</x:f>
        <x:v>1</x:v>
      </x:c>
      <x:c r="F587" s="6" t="n">
        <x:f>4*SUM($E$9:E587)/A587</x:f>
        <x:v>3.012089810017271</x:v>
      </x:c>
      <x:c r="G587" s="1"/>
      <x:c r="H587" s="1"/>
    </x:row>
    <x:row r="588" ht="22" customHeight="1">
      <x:c r="A588" s="1" t="n">
        <x:v>580</x:v>
      </x:c>
      <x:c r="B588" s="6" t="n">
        <x:f>RAND()</x:f>
        <x:v>0.6695437044534509</x:v>
      </x:c>
      <x:c r="C588" s="6" t="n">
        <x:f>RAND()</x:f>
        <x:v>0.04626854056728391</x:v>
      </x:c>
      <x:c r="D588" s="6" t="n">
        <x:f>B588^2+C588^2</x:f>
        <x:v>0.45042955001947643</x:v>
      </x:c>
      <x:c r="E588" s="5" t="n">
        <x:f>IF(D588&lt;=1,1,0)</x:f>
        <x:v>1</x:v>
      </x:c>
      <x:c r="F588" s="6" t="n">
        <x:f>4*SUM($E$9:E588)/A588</x:f>
        <x:v>3.013793103448276</x:v>
      </x:c>
      <x:c r="G588" s="1"/>
      <x:c r="H588" s="1"/>
    </x:row>
    <x:row r="589" ht="22" customHeight="1">
      <x:c r="A589" s="1" t="n">
        <x:v>581</x:v>
      </x:c>
      <x:c r="B589" s="6" t="n">
        <x:f>RAND()</x:f>
        <x:v>0.8578473902976266</x:v>
      </x:c>
      <x:c r="C589" s="6" t="n">
        <x:f>RAND()</x:f>
        <x:v>0.8749028517530184</x:v>
      </x:c>
      <x:c r="D589" s="6" t="n">
        <x:f>B589^2+C589^2</x:f>
        <x:v>1.5013571450460126</x:v>
      </x:c>
      <x:c r="E589" s="5" t="n">
        <x:f>IF(D589&lt;=1,1,0)</x:f>
        <x:v>0</x:v>
      </x:c>
      <x:c r="F589" s="6" t="n">
        <x:f>4*SUM($E$9:E589)/A589</x:f>
        <x:v>3.008605851979346</x:v>
      </x:c>
      <x:c r="G589" s="1"/>
      <x:c r="H589" s="1"/>
    </x:row>
    <x:row r="590" ht="22" customHeight="1">
      <x:c r="A590" s="1" t="n">
        <x:v>582</x:v>
      </x:c>
      <x:c r="B590" s="6" t="n">
        <x:f>RAND()</x:f>
        <x:v>0.1573887076972561</x:v>
      </x:c>
      <x:c r="C590" s="6" t="n">
        <x:f>RAND()</x:f>
        <x:v>0.17021582840284688</x:v>
      </x:c>
      <x:c r="D590" s="6" t="n">
        <x:f>B590^2+C590^2</x:f>
        <x:v>0.05374463354947974</x:v>
      </x:c>
      <x:c r="E590" s="5" t="n">
        <x:f>IF(D590&lt;=1,1,0)</x:f>
        <x:v>1</x:v>
      </x:c>
      <x:c r="F590" s="6" t="n">
        <x:f>4*SUM($E$9:E590)/A590</x:f>
        <x:v>3.0103092783505154</x:v>
      </x:c>
      <x:c r="G590" s="1"/>
      <x:c r="H590" s="1"/>
    </x:row>
    <x:row r="591" ht="22" customHeight="1">
      <x:c r="A591" s="1" t="n">
        <x:v>583</x:v>
      </x:c>
      <x:c r="B591" s="6" t="n">
        <x:f>RAND()</x:f>
        <x:v>0.7126438271774406</x:v>
      </x:c>
      <x:c r="C591" s="6" t="n">
        <x:f>RAND()</x:f>
        <x:v>0.06609625233876026</x:v>
      </x:c>
      <x:c r="D591" s="6" t="n">
        <x:f>B591^2+C591^2</x:f>
        <x:v>0.5122299389873388</x:v>
      </x:c>
      <x:c r="E591" s="5" t="n">
        <x:f>IF(D591&lt;=1,1,0)</x:f>
        <x:v>1</x:v>
      </x:c>
      <x:c r="F591" s="6" t="n">
        <x:f>4*SUM($E$9:E591)/A591</x:f>
        <x:v>3.012006861063465</x:v>
      </x:c>
      <x:c r="G591" s="1"/>
      <x:c r="H591" s="1"/>
    </x:row>
    <x:row r="592" ht="22" customHeight="1">
      <x:c r="A592" s="1" t="n">
        <x:v>584</x:v>
      </x:c>
      <x:c r="B592" s="6" t="n">
        <x:f>RAND()</x:f>
        <x:v>0.1040053051623907</x:v>
      </x:c>
      <x:c r="C592" s="6" t="n">
        <x:f>RAND()</x:f>
        <x:v>0.31288476677963006</x:v>
      </x:c>
      <x:c r="D592" s="6" t="n">
        <x:f>B592^2+C592^2</x:f>
        <x:v>0.10871398078466551</x:v>
      </x:c>
      <x:c r="E592" s="5" t="n">
        <x:f>IF(D592&lt;=1,1,0)</x:f>
        <x:v>1</x:v>
      </x:c>
      <x:c r="F592" s="6" t="n">
        <x:f>4*SUM($E$9:E592)/A592</x:f>
        <x:v>3.0136986301369864</x:v>
      </x:c>
      <x:c r="G592" s="1"/>
      <x:c r="H592" s="1"/>
    </x:row>
    <x:row r="593" ht="22" customHeight="1">
      <x:c r="A593" s="1" t="n">
        <x:v>585</x:v>
      </x:c>
      <x:c r="B593" s="6" t="n">
        <x:f>RAND()</x:f>
        <x:v>0.9877883227363036</x:v>
      </x:c>
      <x:c r="C593" s="6" t="n">
        <x:f>RAND()</x:f>
        <x:v>0.23190731908940287</x:v>
      </x:c>
      <x:c r="D593" s="6" t="n">
        <x:f>B593^2+C593^2</x:f>
        <x:v>1.029506775181434</x:v>
      </x:c>
      <x:c r="E593" s="5" t="n">
        <x:f>IF(D593&lt;=1,1,0)</x:f>
        <x:v>0</x:v>
      </x:c>
      <x:c r="F593" s="6" t="n">
        <x:f>4*SUM($E$9:E593)/A593</x:f>
        <x:v>3.0085470085470085</x:v>
      </x:c>
      <x:c r="G593" s="1"/>
      <x:c r="H593" s="1"/>
    </x:row>
    <x:row r="594" ht="22" customHeight="1">
      <x:c r="A594" s="1" t="n">
        <x:v>586</x:v>
      </x:c>
      <x:c r="B594" s="6" t="n">
        <x:f>RAND()</x:f>
        <x:v>0.5005877351633385</x:v>
      </x:c>
      <x:c r="C594" s="6" t="n">
        <x:f>RAND()</x:f>
        <x:v>0.2988057094737102</x:v>
      </x:c>
      <x:c r="D594" s="6" t="n">
        <x:f>B594^2+C594^2</x:f>
        <x:v>0.3398729326100481</x:v>
      </x:c>
      <x:c r="E594" s="5" t="n">
        <x:f>IF(D594&lt;=1,1,0)</x:f>
        <x:v>1</x:v>
      </x:c>
      <x:c r="F594" s="6" t="n">
        <x:f>4*SUM($E$9:E594)/A594</x:f>
        <x:v>3.0102389078498293</x:v>
      </x:c>
      <x:c r="G594" s="1"/>
      <x:c r="H594" s="1"/>
    </x:row>
    <x:row r="595" ht="22" customHeight="1">
      <x:c r="A595" s="1" t="n">
        <x:v>587</x:v>
      </x:c>
      <x:c r="B595" s="6" t="n">
        <x:f>RAND()</x:f>
        <x:v>0.033293338895510005</x:v>
      </x:c>
      <x:c r="C595" s="6" t="n">
        <x:f>RAND()</x:f>
        <x:v>0.3301335649901931</x:v>
      </x:c>
      <x:c r="D595" s="6" t="n">
        <x:f>B595^2+C595^2</x:f>
        <x:v>0.11009661714794532</x:v>
      </x:c>
      <x:c r="E595" s="5" t="n">
        <x:f>IF(D595&lt;=1,1,0)</x:f>
        <x:v>1</x:v>
      </x:c>
      <x:c r="F595" s="6" t="n">
        <x:f>4*SUM($E$9:E595)/A595</x:f>
        <x:v>3.011925042589438</x:v>
      </x:c>
      <x:c r="G595" s="1"/>
      <x:c r="H595" s="1"/>
    </x:row>
    <x:row r="596" ht="22" customHeight="1">
      <x:c r="A596" s="1" t="n">
        <x:v>588</x:v>
      </x:c>
      <x:c r="B596" s="6" t="n">
        <x:f>RAND()</x:f>
        <x:v>0.23903827425960944</x:v>
      </x:c>
      <x:c r="C596" s="6" t="n">
        <x:f>RAND()</x:f>
        <x:v>0.5309812940475489</x:v>
      </x:c>
      <x:c r="D596" s="6" t="n">
        <x:f>B596^2+C596^2</x:f>
        <x:v>0.3390804311894218</x:v>
      </x:c>
      <x:c r="E596" s="5" t="n">
        <x:f>IF(D596&lt;=1,1,0)</x:f>
        <x:v>1</x:v>
      </x:c>
      <x:c r="F596" s="6" t="n">
        <x:f>4*SUM($E$9:E596)/A596</x:f>
        <x:v>3.0136054421768708</x:v>
      </x:c>
      <x:c r="G596" s="1"/>
      <x:c r="H596" s="1"/>
    </x:row>
    <x:row r="597" ht="22" customHeight="1">
      <x:c r="A597" s="1" t="n">
        <x:v>589</x:v>
      </x:c>
      <x:c r="B597" s="6" t="n">
        <x:f>RAND()</x:f>
        <x:v>0.978342682434294</x:v>
      </x:c>
      <x:c r="C597" s="6" t="n">
        <x:f>RAND()</x:f>
        <x:v>0.372778431957385</x:v>
      </x:c>
      <x:c r="D597" s="6" t="n">
        <x:f>B597^2+C597^2</x:f>
        <x:v>1.0961181636053365</x:v>
      </x:c>
      <x:c r="E597" s="5" t="n">
        <x:f>IF(D597&lt;=1,1,0)</x:f>
        <x:v>0</x:v>
      </x:c>
      <x:c r="F597" s="6" t="n">
        <x:f>4*SUM($E$9:E597)/A597</x:f>
        <x:v>3.0084889643463497</x:v>
      </x:c>
      <x:c r="G597" s="1"/>
      <x:c r="H597" s="1"/>
    </x:row>
    <x:row r="598" ht="22" customHeight="1">
      <x:c r="A598" s="1" t="n">
        <x:v>590</x:v>
      </x:c>
      <x:c r="B598" s="6" t="n">
        <x:f>RAND()</x:f>
        <x:v>0.3394221011527472</x:v>
      </x:c>
      <x:c r="C598" s="6" t="n">
        <x:f>RAND()</x:f>
        <x:v>0.06674505426057387</x:v>
      </x:c>
      <x:c r="D598" s="6" t="n">
        <x:f>B598^2+C598^2</x:f>
        <x:v>0.11966226501919269</x:v>
      </x:c>
      <x:c r="E598" s="5" t="n">
        <x:f>IF(D598&lt;=1,1,0)</x:f>
        <x:v>1</x:v>
      </x:c>
      <x:c r="F598" s="6" t="n">
        <x:f>4*SUM($E$9:E598)/A598</x:f>
        <x:v>3.010169491525424</x:v>
      </x:c>
      <x:c r="G598" s="1"/>
      <x:c r="H598" s="1"/>
    </x:row>
    <x:row r="599" ht="22" customHeight="1">
      <x:c r="A599" s="1" t="n">
        <x:v>591</x:v>
      </x:c>
      <x:c r="B599" s="6" t="n">
        <x:f>RAND()</x:f>
        <x:v>0.09662334588577848</x:v>
      </x:c>
      <x:c r="C599" s="6" t="n">
        <x:f>RAND()</x:f>
        <x:v>0.6944027805841356</x:v>
      </x:c>
      <x:c r="D599" s="6" t="n">
        <x:f>B599^2+C599^2</x:f>
        <x:v>0.491531292653142</x:v>
      </x:c>
      <x:c r="E599" s="5" t="n">
        <x:f>IF(D599&lt;=1,1,0)</x:f>
        <x:v>1</x:v>
      </x:c>
      <x:c r="F599" s="6" t="n">
        <x:f>4*SUM($E$9:E599)/A599</x:f>
        <x:v>3.011844331641286</x:v>
      </x:c>
      <x:c r="G599" s="1"/>
      <x:c r="H599" s="1"/>
    </x:row>
    <x:row r="600" ht="22" customHeight="1">
      <x:c r="A600" s="1" t="n">
        <x:v>592</x:v>
      </x:c>
      <x:c r="B600" s="6" t="n">
        <x:f>RAND()</x:f>
        <x:v>0.04802675787323152</x:v>
      </x:c>
      <x:c r="C600" s="6" t="n">
        <x:f>RAND()</x:f>
        <x:v>0.16990346784871102</x:v>
      </x:c>
      <x:c r="D600" s="6" t="n">
        <x:f>B600^2+C600^2</x:f>
        <x:v>0.031173757858831985</x:v>
      </x:c>
      <x:c r="E600" s="5" t="n">
        <x:f>IF(D600&lt;=1,1,0)</x:f>
        <x:v>1</x:v>
      </x:c>
      <x:c r="F600" s="6" t="n">
        <x:f>4*SUM($E$9:E600)/A600</x:f>
        <x:v>3.0135135135135136</x:v>
      </x:c>
      <x:c r="G600" s="1"/>
      <x:c r="H600" s="1"/>
    </x:row>
    <x:row r="601" ht="22" customHeight="1">
      <x:c r="A601" s="1" t="n">
        <x:v>593</x:v>
      </x:c>
      <x:c r="B601" s="6" t="n">
        <x:f>RAND()</x:f>
        <x:v>0.48640875317672716</x:v>
      </x:c>
      <x:c r="C601" s="6" t="n">
        <x:f>RAND()</x:f>
        <x:v>0.6553227827982055</x:v>
      </x:c>
      <x:c r="D601" s="6" t="n">
        <x:f>B601^2+C601^2</x:f>
        <x:v>0.6660414248213224</x:v>
      </x:c>
      <x:c r="E601" s="5" t="n">
        <x:f>IF(D601&lt;=1,1,0)</x:f>
        <x:v>1</x:v>
      </x:c>
      <x:c r="F601" s="6" t="n">
        <x:f>4*SUM($E$9:E601)/A601</x:f>
        <x:v>3.015177065767285</x:v>
      </x:c>
      <x:c r="G601" s="1"/>
      <x:c r="H601" s="1"/>
    </x:row>
    <x:row r="602" ht="22" customHeight="1">
      <x:c r="A602" s="1" t="n">
        <x:v>594</x:v>
      </x:c>
      <x:c r="B602" s="6" t="n">
        <x:f>RAND()</x:f>
        <x:v>0.8522142178492861</x:v>
      </x:c>
      <x:c r="C602" s="6" t="n">
        <x:f>RAND()</x:f>
        <x:v>0.19251385919259945</x:v>
      </x:c>
      <x:c r="D602" s="6" t="n">
        <x:f>B602^2+C602^2</x:f>
        <x:v>0.7633306590856984</x:v>
      </x:c>
      <x:c r="E602" s="5" t="n">
        <x:f>IF(D602&lt;=1,1,0)</x:f>
        <x:v>1</x:v>
      </x:c>
      <x:c r="F602" s="6" t="n">
        <x:f>4*SUM($E$9:E602)/A602</x:f>
        <x:v>3.016835016835017</x:v>
      </x:c>
      <x:c r="G602" s="1"/>
      <x:c r="H602" s="1"/>
    </x:row>
    <x:row r="603" ht="22" customHeight="1">
      <x:c r="A603" s="1" t="n">
        <x:v>595</x:v>
      </x:c>
      <x:c r="B603" s="6" t="n">
        <x:f>RAND()</x:f>
        <x:v>0.4949571592002687</x:v>
      </x:c>
      <x:c r="C603" s="6" t="n">
        <x:f>RAND()</x:f>
        <x:v>0.9605163010298209</x:v>
      </x:c>
      <x:c r="D603" s="6" t="n">
        <x:f>B603^2+C603^2</x:f>
        <x:v>1.1675741539876097</x:v>
      </x:c>
      <x:c r="E603" s="5" t="n">
        <x:f>IF(D603&lt;=1,1,0)</x:f>
        <x:v>0</x:v>
      </x:c>
      <x:c r="F603" s="6" t="n">
        <x:f>4*SUM($E$9:E603)/A603</x:f>
        <x:v>3.011764705882353</x:v>
      </x:c>
      <x:c r="G603" s="1"/>
      <x:c r="H603" s="1"/>
    </x:row>
    <x:row r="604" ht="22" customHeight="1">
      <x:c r="A604" s="1" t="n">
        <x:v>596</x:v>
      </x:c>
      <x:c r="B604" s="6" t="n">
        <x:f>RAND()</x:f>
        <x:v>0.917543218336043</x:v>
      </x:c>
      <x:c r="C604" s="6" t="n">
        <x:f>RAND()</x:f>
        <x:v>0.4764994862410443</x:v>
      </x:c>
      <x:c r="D604" s="6" t="n">
        <x:f>B604^2+C604^2</x:f>
        <x:v>1.0689373179024426</x:v>
      </x:c>
      <x:c r="E604" s="5" t="n">
        <x:f>IF(D604&lt;=1,1,0)</x:f>
        <x:v>0</x:v>
      </x:c>
      <x:c r="F604" s="6" t="n">
        <x:f>4*SUM($E$9:E604)/A604</x:f>
        <x:v>3.0067114093959733</x:v>
      </x:c>
      <x:c r="G604" s="1"/>
      <x:c r="H604" s="1"/>
    </x:row>
    <x:row r="605" ht="22" customHeight="1">
      <x:c r="A605" s="1" t="n">
        <x:v>597</x:v>
      </x:c>
      <x:c r="B605" s="6" t="n">
        <x:f>RAND()</x:f>
        <x:v>0.6876297160470972</x:v>
      </x:c>
      <x:c r="C605" s="6" t="n">
        <x:f>RAND()</x:f>
        <x:v>0.6519946377268617</x:v>
      </x:c>
      <x:c r="D605" s="6" t="n">
        <x:f>B605^2+C605^2</x:f>
        <x:v>0.8979316340155932</x:v>
      </x:c>
      <x:c r="E605" s="5" t="n">
        <x:f>IF(D605&lt;=1,1,0)</x:f>
        <x:v>1</x:v>
      </x:c>
      <x:c r="F605" s="6" t="n">
        <x:f>4*SUM($E$9:E605)/A605</x:f>
        <x:v>3.0083752093802345</x:v>
      </x:c>
      <x:c r="G605" s="1"/>
      <x:c r="H605" s="1"/>
    </x:row>
    <x:row r="606" ht="22" customHeight="1">
      <x:c r="A606" s="1" t="n">
        <x:v>598</x:v>
      </x:c>
      <x:c r="B606" s="6" t="n">
        <x:f>RAND()</x:f>
        <x:v>0.6028619467774436</x:v>
      </x:c>
      <x:c r="C606" s="6" t="n">
        <x:f>RAND()</x:f>
        <x:v>0.6461293221592722</x:v>
      </x:c>
      <x:c r="D606" s="6" t="n">
        <x:f>B606^2+C606^2</x:f>
        <x:v>0.7809256278262899</x:v>
      </x:c>
      <x:c r="E606" s="5" t="n">
        <x:f>IF(D606&lt;=1,1,0)</x:f>
        <x:v>1</x:v>
      </x:c>
      <x:c r="F606" s="6" t="n">
        <x:f>4*SUM($E$9:E606)/A606</x:f>
        <x:v>3.0100334448160537</x:v>
      </x:c>
      <x:c r="G606" s="1"/>
      <x:c r="H606" s="1"/>
    </x:row>
    <x:row r="607" ht="22" customHeight="1">
      <x:c r="A607" s="1" t="n">
        <x:v>599</x:v>
      </x:c>
      <x:c r="B607" s="6" t="n">
        <x:f>RAND()</x:f>
        <x:v>0.7618076783698938</x:v>
      </x:c>
      <x:c r="C607" s="6" t="n">
        <x:f>RAND()</x:f>
        <x:v>0.4892176516878377</x:v>
      </x:c>
      <x:c r="D607" s="6" t="n">
        <x:f>B607^2+C607^2</x:f>
        <x:v>0.8196848495462901</x:v>
      </x:c>
      <x:c r="E607" s="5" t="n">
        <x:f>IF(D607&lt;=1,1,0)</x:f>
        <x:v>1</x:v>
      </x:c>
      <x:c r="F607" s="6" t="n">
        <x:f>4*SUM($E$9:E607)/A607</x:f>
        <x:v>3.011686143572621</x:v>
      </x:c>
      <x:c r="G607" s="1"/>
      <x:c r="H607" s="1"/>
    </x:row>
    <x:row r="608" ht="22" customHeight="1">
      <x:c r="A608" s="1" t="n">
        <x:v>600</x:v>
      </x:c>
      <x:c r="B608" s="6" t="n">
        <x:f>RAND()</x:f>
        <x:v>0.2906161492519682</x:v>
      </x:c>
      <x:c r="C608" s="6" t="n">
        <x:f>RAND()</x:f>
        <x:v>0.43631653157880246</x:v>
      </x:c>
      <x:c r="D608" s="6" t="n">
        <x:f>B608^2+C608^2</x:f>
        <x:v>0.27482986193499837</x:v>
      </x:c>
      <x:c r="E608" s="5" t="n">
        <x:f>IF(D608&lt;=1,1,0)</x:f>
        <x:v>1</x:v>
      </x:c>
      <x:c r="F608" s="6" t="n">
        <x:f>4*SUM($E$9:E608)/A608</x:f>
        <x:v>3.013333333333333</x:v>
      </x:c>
      <x:c r="G608" s="1"/>
      <x:c r="H608" s="1"/>
    </x:row>
    <x:row r="609" ht="22" customHeight="1">
      <x:c r="A609" s="1" t="n">
        <x:v>601</x:v>
      </x:c>
      <x:c r="B609" s="6" t="n">
        <x:f>RAND()</x:f>
        <x:v>0.1684484550655988</x:v>
      </x:c>
      <x:c r="C609" s="6" t="n">
        <x:f>RAND()</x:f>
        <x:v>0.5538916333588686</x:v>
      </x:c>
      <x:c r="D609" s="6" t="n">
        <x:f>B609^2+C609^2</x:f>
        <x:v>0.3351708235189424</x:v>
      </x:c>
      <x:c r="E609" s="5" t="n">
        <x:f>IF(D609&lt;=1,1,0)</x:f>
        <x:v>1</x:v>
      </x:c>
      <x:c r="F609" s="6" t="n">
        <x:f>4*SUM($E$9:E609)/A609</x:f>
        <x:v>3.0149750415973378</x:v>
      </x:c>
      <x:c r="G609" s="1"/>
      <x:c r="H609" s="1"/>
    </x:row>
    <x:row r="610" ht="22" customHeight="1">
      <x:c r="A610" s="1" t="n">
        <x:v>602</x:v>
      </x:c>
      <x:c r="B610" s="6" t="n">
        <x:f>RAND()</x:f>
        <x:v>0.11436518820845043</x:v>
      </x:c>
      <x:c r="C610" s="6" t="n">
        <x:f>RAND()</x:f>
        <x:v>0.6337980268508598</x:v>
      </x:c>
      <x:c r="D610" s="6" t="n">
        <x:f>B610^2+C610^2</x:f>
        <x:v>0.4147793351139975</x:v>
      </x:c>
      <x:c r="E610" s="5" t="n">
        <x:f>IF(D610&lt;=1,1,0)</x:f>
        <x:v>1</x:v>
      </x:c>
      <x:c r="F610" s="6" t="n">
        <x:f>4*SUM($E$9:E610)/A610</x:f>
        <x:v>3.0166112956810633</x:v>
      </x:c>
      <x:c r="G610" s="1"/>
      <x:c r="H610" s="1"/>
    </x:row>
    <x:row r="611" ht="22" customHeight="1">
      <x:c r="A611" s="1" t="n">
        <x:v>603</x:v>
      </x:c>
      <x:c r="B611" s="6" t="n">
        <x:f>RAND()</x:f>
        <x:v>0.016662684858160026</x:v>
      </x:c>
      <x:c r="C611" s="6" t="n">
        <x:f>RAND()</x:f>
        <x:v>0.2025719386856879</x:v>
      </x:c>
      <x:c r="D611" s="6" t="n">
        <x:f>B611^2+C611^2</x:f>
        <x:v>0.04131303540956045</x:v>
      </x:c>
      <x:c r="E611" s="5" t="n">
        <x:f>IF(D611&lt;=1,1,0)</x:f>
        <x:v>1</x:v>
      </x:c>
      <x:c r="F611" s="6" t="n">
        <x:f>4*SUM($E$9:E611)/A611</x:f>
        <x:v>3.0182421227197347</x:v>
      </x:c>
      <x:c r="G611" s="1"/>
      <x:c r="H611" s="1"/>
    </x:row>
    <x:row r="612" ht="22" customHeight="1">
      <x:c r="A612" s="1" t="n">
        <x:v>604</x:v>
      </x:c>
      <x:c r="B612" s="6" t="n">
        <x:f>RAND()</x:f>
        <x:v>0.32883839481129473</x:v>
      </x:c>
      <x:c r="C612" s="6" t="n">
        <x:f>RAND()</x:f>
        <x:v>0.19819573559248238</x:v>
      </x:c>
      <x:c r="D612" s="6" t="n">
        <x:f>B612^2+C612^2</x:f>
        <x:v>0.14741623950911414</x:v>
      </x:c>
      <x:c r="E612" s="5" t="n">
        <x:f>IF(D612&lt;=1,1,0)</x:f>
        <x:v>1</x:v>
      </x:c>
      <x:c r="F612" s="6" t="n">
        <x:f>4*SUM($E$9:E612)/A612</x:f>
        <x:v>3.019867549668874</x:v>
      </x:c>
      <x:c r="G612" s="1"/>
      <x:c r="H612" s="1"/>
    </x:row>
    <x:row r="613" ht="22" customHeight="1">
      <x:c r="A613" s="1" t="n">
        <x:v>605</x:v>
      </x:c>
      <x:c r="B613" s="6" t="n">
        <x:f>RAND()</x:f>
        <x:v>0.2967690440910462</x:v>
      </x:c>
      <x:c r="C613" s="6" t="n">
        <x:f>RAND()</x:f>
        <x:v>0.3532786533282747</x:v>
      </x:c>
      <x:c r="D613" s="6" t="n">
        <x:f>B613^2+C613^2</x:f>
        <x:v>0.21287767242815261</x:v>
      </x:c>
      <x:c r="E613" s="5" t="n">
        <x:f>IF(D613&lt;=1,1,0)</x:f>
        <x:v>1</x:v>
      </x:c>
      <x:c r="F613" s="6" t="n">
        <x:f>4*SUM($E$9:E613)/A613</x:f>
        <x:v>3.021487603305785</x:v>
      </x:c>
      <x:c r="G613" s="1"/>
      <x:c r="H613" s="1"/>
    </x:row>
    <x:row r="614" ht="22" customHeight="1">
      <x:c r="A614" s="1" t="n">
        <x:v>606</x:v>
      </x:c>
      <x:c r="B614" s="6" t="n">
        <x:f>RAND()</x:f>
        <x:v>0.6064217736548858</x:v>
      </x:c>
      <x:c r="C614" s="6" t="n">
        <x:f>RAND()</x:f>
        <x:v>0.7813206954357366</x:v>
      </x:c>
      <x:c r="D614" s="6" t="n">
        <x:f>B614^2+C614^2</x:f>
        <x:v>0.9782093966789205</x:v>
      </x:c>
      <x:c r="E614" s="5" t="n">
        <x:f>IF(D614&lt;=1,1,0)</x:f>
        <x:v>1</x:v>
      </x:c>
      <x:c r="F614" s="6" t="n">
        <x:f>4*SUM($E$9:E614)/A614</x:f>
        <x:v>3.0231023102310233</x:v>
      </x:c>
      <x:c r="G614" s="1"/>
      <x:c r="H614" s="1"/>
    </x:row>
    <x:row r="615" ht="22" customHeight="1">
      <x:c r="A615" s="1" t="n">
        <x:v>607</x:v>
      </x:c>
      <x:c r="B615" s="6" t="n">
        <x:f>RAND()</x:f>
        <x:v>0.2310030945117949</x:v>
      </x:c>
      <x:c r="C615" s="6" t="n">
        <x:f>RAND()</x:f>
        <x:v>0.2408922680420087</x:v>
      </x:c>
      <x:c r="D615" s="6" t="n">
        <x:f>B615^2+C615^2</x:f>
        <x:v>0.11139151447644821</x:v>
      </x:c>
      <x:c r="E615" s="5" t="n">
        <x:f>IF(D615&lt;=1,1,0)</x:f>
        <x:v>1</x:v>
      </x:c>
      <x:c r="F615" s="6" t="n">
        <x:f>4*SUM($E$9:E615)/A615</x:f>
        <x:v>3.0247116968698515</x:v>
      </x:c>
      <x:c r="G615" s="1"/>
      <x:c r="H615" s="1"/>
    </x:row>
    <x:row r="616" ht="22" customHeight="1">
      <x:c r="A616" s="1" t="n">
        <x:v>608</x:v>
      </x:c>
      <x:c r="B616" s="6" t="n">
        <x:f>RAND()</x:f>
        <x:v>0.2846451170455182</x:v>
      </x:c>
      <x:c r="C616" s="6" t="n">
        <x:f>RAND()</x:f>
        <x:v>0.6804736681626914</x:v>
      </x:c>
      <x:c r="D616" s="6" t="n">
        <x:f>B616^2+C616^2</x:f>
        <x:v>0.5440672557206454</x:v>
      </x:c>
      <x:c r="E616" s="5" t="n">
        <x:f>IF(D616&lt;=1,1,0)</x:f>
        <x:v>1</x:v>
      </x:c>
      <x:c r="F616" s="6" t="n">
        <x:f>4*SUM($E$9:E616)/A616</x:f>
        <x:v>3.026315789473684</x:v>
      </x:c>
      <x:c r="G616" s="1"/>
      <x:c r="H616" s="1"/>
    </x:row>
    <x:row r="617" ht="22" customHeight="1">
      <x:c r="A617" s="1" t="n">
        <x:v>609</x:v>
      </x:c>
      <x:c r="B617" s="6" t="n">
        <x:f>RAND()</x:f>
        <x:v>0.14950010211184372</x:v>
      </x:c>
      <x:c r="C617" s="6" t="n">
        <x:f>RAND()</x:f>
        <x:v>0.9126110532497674</x:v>
      </x:c>
      <x:c r="D617" s="6" t="n">
        <x:f>B617^2+C617^2</x:f>
        <x:v>0.8552092150451016</x:v>
      </x:c>
      <x:c r="E617" s="5" t="n">
        <x:f>IF(D617&lt;=1,1,0)</x:f>
        <x:v>1</x:v>
      </x:c>
      <x:c r="F617" s="6" t="n">
        <x:f>4*SUM($E$9:E617)/A617</x:f>
        <x:v>3.0279146141215105</x:v>
      </x:c>
      <x:c r="G617" s="1"/>
      <x:c r="H617" s="1"/>
    </x:row>
    <x:row r="618" ht="22" customHeight="1">
      <x:c r="A618" s="1" t="n">
        <x:v>610</x:v>
      </x:c>
      <x:c r="B618" s="6" t="n">
        <x:f>RAND()</x:f>
        <x:v>0.36836320984032267</x:v>
      </x:c>
      <x:c r="C618" s="6" t="n">
        <x:f>RAND()</x:f>
        <x:v>0.8921468646986642</x:v>
      </x:c>
      <x:c r="D618" s="6" t="n">
        <x:f>B618^2+C618^2</x:f>
        <x:v>0.9316174825555223</x:v>
      </x:c>
      <x:c r="E618" s="5" t="n">
        <x:f>IF(D618&lt;=1,1,0)</x:f>
        <x:v>1</x:v>
      </x:c>
      <x:c r="F618" s="6" t="n">
        <x:f>4*SUM($E$9:E618)/A618</x:f>
        <x:v>3.0295081967213116</x:v>
      </x:c>
      <x:c r="G618" s="1"/>
      <x:c r="H618" s="1"/>
    </x:row>
    <x:row r="619" ht="22" customHeight="1">
      <x:c r="A619" s="1" t="n">
        <x:v>611</x:v>
      </x:c>
      <x:c r="B619" s="6" t="n">
        <x:f>RAND()</x:f>
        <x:v>0.9020702078723706</x:v>
      </x:c>
      <x:c r="C619" s="6" t="n">
        <x:f>RAND()</x:f>
        <x:v>0.9895592927322142</x:v>
      </x:c>
      <x:c r="D619" s="6" t="n">
        <x:f>B619^2+C619^2</x:f>
        <x:v>1.7929582537635818</x:v>
      </x:c>
      <x:c r="E619" s="5" t="n">
        <x:f>IF(D619&lt;=1,1,0)</x:f>
        <x:v>0</x:v>
      </x:c>
      <x:c r="F619" s="6" t="n">
        <x:f>4*SUM($E$9:E619)/A619</x:f>
        <x:v>3.0245499181669393</x:v>
      </x:c>
      <x:c r="G619" s="1"/>
      <x:c r="H619" s="1"/>
    </x:row>
    <x:row r="620" ht="22" customHeight="1">
      <x:c r="A620" s="1" t="n">
        <x:v>612</x:v>
      </x:c>
      <x:c r="B620" s="6" t="n">
        <x:f>RAND()</x:f>
        <x:v>0.8813800784405523</x:v>
      </x:c>
      <x:c r="C620" s="6" t="n">
        <x:f>RAND()</x:f>
        <x:v>0.25278369909164367</x:v>
      </x:c>
      <x:c r="D620" s="6" t="n">
        <x:f>B620^2+C620^2</x:f>
        <x:v>0.8407304411983288</x:v>
      </x:c>
      <x:c r="E620" s="5" t="n">
        <x:f>IF(D620&lt;=1,1,0)</x:f>
        <x:v>1</x:v>
      </x:c>
      <x:c r="F620" s="6" t="n">
        <x:f>4*SUM($E$9:E620)/A620</x:f>
        <x:v>3.026143790849673</x:v>
      </x:c>
      <x:c r="G620" s="1"/>
      <x:c r="H620" s="1"/>
    </x:row>
    <x:row r="621" ht="22" customHeight="1">
      <x:c r="A621" s="1" t="n">
        <x:v>613</x:v>
      </x:c>
      <x:c r="B621" s="6" t="n">
        <x:f>RAND()</x:f>
        <x:v>0.6267265087899988</x:v>
      </x:c>
      <x:c r="C621" s="6" t="n">
        <x:f>RAND()</x:f>
        <x:v>0.32526930585278235</x:v>
      </x:c>
      <x:c r="D621" s="6" t="n">
        <x:f>B621^2+C621^2</x:f>
        <x:v>0.4985862381500513</x:v>
      </x:c>
      <x:c r="E621" s="5" t="n">
        <x:f>IF(D621&lt;=1,1,0)</x:f>
        <x:v>1</x:v>
      </x:c>
      <x:c r="F621" s="6" t="n">
        <x:f>4*SUM($E$9:E621)/A621</x:f>
        <x:v>3.027732463295269</x:v>
      </x:c>
      <x:c r="G621" s="1"/>
      <x:c r="H621" s="1"/>
    </x:row>
    <x:row r="622" ht="22" customHeight="1">
      <x:c r="A622" s="1" t="n">
        <x:v>614</x:v>
      </x:c>
      <x:c r="B622" s="6" t="n">
        <x:f>RAND()</x:f>
        <x:v>0.28944787065262</x:v>
      </x:c>
      <x:c r="C622" s="6" t="n">
        <x:f>RAND()</x:f>
        <x:v>0.4964972018640622</x:v>
      </x:c>
      <x:c r="D622" s="6" t="n">
        <x:f>B622^2+C622^2</x:f>
        <x:v>0.3302895412841792</x:v>
      </x:c>
      <x:c r="E622" s="5" t="n">
        <x:f>IF(D622&lt;=1,1,0)</x:f>
        <x:v>1</x:v>
      </x:c>
      <x:c r="F622" s="6" t="n">
        <x:f>4*SUM($E$9:E622)/A622</x:f>
        <x:v>3.029315960912052</x:v>
      </x:c>
      <x:c r="G622" s="1"/>
      <x:c r="H622" s="1"/>
    </x:row>
    <x:row r="623" ht="22" customHeight="1">
      <x:c r="A623" s="1" t="n">
        <x:v>615</x:v>
      </x:c>
      <x:c r="B623" s="6" t="n">
        <x:f>RAND()</x:f>
        <x:v>0.2780427272353291</x:v>
      </x:c>
      <x:c r="C623" s="6" t="n">
        <x:f>RAND()</x:f>
        <x:v>0.3075076893718517</x:v>
      </x:c>
      <x:c r="D623" s="6" t="n">
        <x:f>B623^2+C623^2</x:f>
        <x:v>0.17186873719127482</x:v>
      </x:c>
      <x:c r="E623" s="5" t="n">
        <x:f>IF(D623&lt;=1,1,0)</x:f>
        <x:v>1</x:v>
      </x:c>
      <x:c r="F623" s="6" t="n">
        <x:f>4*SUM($E$9:E623)/A623</x:f>
        <x:v>3.0308943089430893</x:v>
      </x:c>
      <x:c r="G623" s="1"/>
      <x:c r="H623" s="1"/>
    </x:row>
    <x:row r="624" ht="22" customHeight="1">
      <x:c r="A624" s="1" t="n">
        <x:v>616</x:v>
      </x:c>
      <x:c r="B624" s="6" t="n">
        <x:f>RAND()</x:f>
        <x:v>0.7768194448594506</x:v>
      </x:c>
      <x:c r="C624" s="6" t="n">
        <x:f>RAND()</x:f>
        <x:v>0.7883124829824006</x:v>
      </x:c>
      <x:c r="D624" s="6" t="n">
        <x:f>B624^2+C624^2</x:f>
        <x:v>1.2248850207376227</x:v>
      </x:c>
      <x:c r="E624" s="5" t="n">
        <x:f>IF(D624&lt;=1,1,0)</x:f>
        <x:v>0</x:v>
      </x:c>
      <x:c r="F624" s="6" t="n">
        <x:f>4*SUM($E$9:E624)/A624</x:f>
        <x:v>3.0259740259740258</x:v>
      </x:c>
      <x:c r="G624" s="1"/>
      <x:c r="H624" s="1"/>
    </x:row>
    <x:row r="625" ht="22" customHeight="1">
      <x:c r="A625" s="1" t="n">
        <x:v>617</x:v>
      </x:c>
      <x:c r="B625" s="6" t="n">
        <x:f>RAND()</x:f>
        <x:v>0.025856813830030134</x:v>
      </x:c>
      <x:c r="C625" s="6" t="n">
        <x:f>RAND()</x:f>
        <x:v>0.928673641257294</x:v>
      </x:c>
      <x:c r="D625" s="6" t="n">
        <x:f>B625^2+C625^2</x:f>
        <x:v>0.8631033067875221</x:v>
      </x:c>
      <x:c r="E625" s="5" t="n">
        <x:f>IF(D625&lt;=1,1,0)</x:f>
        <x:v>1</x:v>
      </x:c>
      <x:c r="F625" s="6" t="n">
        <x:f>4*SUM($E$9:E625)/A625</x:f>
        <x:v>3.027552674230146</x:v>
      </x:c>
      <x:c r="G625" s="1"/>
      <x:c r="H625" s="1"/>
    </x:row>
    <x:row r="626" ht="22" customHeight="1">
      <x:c r="A626" s="1" t="n">
        <x:v>618</x:v>
      </x:c>
      <x:c r="B626" s="6" t="n">
        <x:f>RAND()</x:f>
        <x:v>0.3157918136363218</x:v>
      </x:c>
      <x:c r="C626" s="6" t="n">
        <x:f>RAND()</x:f>
        <x:v>0.4733358343489875</x:v>
      </x:c>
      <x:c r="D626" s="6" t="n">
        <x:f>B626^2+C626^2</x:f>
        <x:v>0.32377128163856955</x:v>
      </x:c>
      <x:c r="E626" s="5" t="n">
        <x:f>IF(D626&lt;=1,1,0)</x:f>
        <x:v>1</x:v>
      </x:c>
      <x:c r="F626" s="6" t="n">
        <x:f>4*SUM($E$9:E626)/A626</x:f>
        <x:v>3.029126213592233</x:v>
      </x:c>
      <x:c r="G626" s="1"/>
      <x:c r="H626" s="1"/>
    </x:row>
    <x:row r="627" ht="22" customHeight="1">
      <x:c r="A627" s="1" t="n">
        <x:v>619</x:v>
      </x:c>
      <x:c r="B627" s="6" t="n">
        <x:f>RAND()</x:f>
        <x:v>0.7731456663895654</x:v>
      </x:c>
      <x:c r="C627" s="6" t="n">
        <x:f>RAND()</x:f>
        <x:v>0.5843815996086072</x:v>
      </x:c>
      <x:c r="D627" s="6" t="n">
        <x:f>B627^2+C627^2</x:f>
        <x:v>0.9392560754180797</x:v>
      </x:c>
      <x:c r="E627" s="5" t="n">
        <x:f>IF(D627&lt;=1,1,0)</x:f>
        <x:v>1</x:v>
      </x:c>
      <x:c r="F627" s="6" t="n">
        <x:f>4*SUM($E$9:E627)/A627</x:f>
        <x:v>3.0306946688206784</x:v>
      </x:c>
      <x:c r="G627" s="1"/>
      <x:c r="H627" s="1"/>
    </x:row>
    <x:row r="628" ht="22" customHeight="1">
      <x:c r="A628" s="1" t="n">
        <x:v>620</x:v>
      </x:c>
      <x:c r="B628" s="6" t="n">
        <x:f>RAND()</x:f>
        <x:v>0.2684155799217772</x:v>
      </x:c>
      <x:c r="C628" s="6" t="n">
        <x:f>RAND()</x:f>
        <x:v>0.94413353531535</x:v>
      </x:c>
      <x:c r="D628" s="6" t="n">
        <x:f>B628^2+C628^2</x:f>
        <x:v>0.9634350560518052</x:v>
      </x:c>
      <x:c r="E628" s="5" t="n">
        <x:f>IF(D628&lt;=1,1,0)</x:f>
        <x:v>1</x:v>
      </x:c>
      <x:c r="F628" s="6" t="n">
        <x:f>4*SUM($E$9:E628)/A628</x:f>
        <x:v>3.032258064516129</x:v>
      </x:c>
      <x:c r="G628" s="1"/>
      <x:c r="H628" s="1"/>
    </x:row>
    <x:row r="629" ht="22" customHeight="1">
      <x:c r="A629" s="1" t="n">
        <x:v>621</x:v>
      </x:c>
      <x:c r="B629" s="6" t="n">
        <x:f>RAND()</x:f>
        <x:v>0.2504543015270516</x:v>
      </x:c>
      <x:c r="C629" s="6" t="n">
        <x:f>RAND()</x:f>
        <x:v>0.04110702647241804</x:v>
      </x:c>
      <x:c r="D629" s="6" t="n">
        <x:f>B629^2+C629^2</x:f>
        <x:v>0.06441714477880736</x:v>
      </x:c>
      <x:c r="E629" s="5" t="n">
        <x:f>IF(D629&lt;=1,1,0)</x:f>
        <x:v>1</x:v>
      </x:c>
      <x:c r="F629" s="6" t="n">
        <x:f>4*SUM($E$9:E629)/A629</x:f>
        <x:v>3.033816425120773</x:v>
      </x:c>
      <x:c r="G629" s="1"/>
      <x:c r="H629" s="1"/>
    </x:row>
    <x:row r="630" ht="22" customHeight="1">
      <x:c r="A630" s="1" t="n">
        <x:v>622</x:v>
      </x:c>
      <x:c r="B630" s="6" t="n">
        <x:f>RAND()</x:f>
        <x:v>0.7450301591931507</x:v>
      </x:c>
      <x:c r="C630" s="6" t="n">
        <x:f>RAND()</x:f>
        <x:v>0.5176546800556195</x:v>
      </x:c>
      <x:c r="D630" s="6" t="n">
        <x:f>B630^2+C630^2</x:f>
        <x:v>0.8230363058908573</x:v>
      </x:c>
      <x:c r="E630" s="5" t="n">
        <x:f>IF(D630&lt;=1,1,0)</x:f>
        <x:v>1</x:v>
      </x:c>
      <x:c r="F630" s="6" t="n">
        <x:f>4*SUM($E$9:E630)/A630</x:f>
        <x:v>3.035369774919614</x:v>
      </x:c>
      <x:c r="G630" s="1"/>
      <x:c r="H630" s="1"/>
    </x:row>
    <x:row r="631" ht="22" customHeight="1">
      <x:c r="A631" s="1" t="n">
        <x:v>623</x:v>
      </x:c>
      <x:c r="B631" s="6" t="n">
        <x:f>RAND()</x:f>
        <x:v>0.6640759186115274</x:v>
      </x:c>
      <x:c r="C631" s="6" t="n">
        <x:f>RAND()</x:f>
        <x:v>0.6648826024907999</x:v>
      </x:c>
      <x:c r="D631" s="6" t="n">
        <x:f>B631^2+C631^2</x:f>
        <x:v>0.8830657007746829</x:v>
      </x:c>
      <x:c r="E631" s="5" t="n">
        <x:f>IF(D631&lt;=1,1,0)</x:f>
        <x:v>1</x:v>
      </x:c>
      <x:c r="F631" s="6" t="n">
        <x:f>4*SUM($E$9:E631)/A631</x:f>
        <x:v>3.0369181380417336</x:v>
      </x:c>
      <x:c r="G631" s="1"/>
      <x:c r="H631" s="1"/>
    </x:row>
    <x:row r="632" ht="22" customHeight="1">
      <x:c r="A632" s="1" t="n">
        <x:v>624</x:v>
      </x:c>
      <x:c r="B632" s="6" t="n">
        <x:f>RAND()</x:f>
        <x:v>0.5015383364253629</x:v>
      </x:c>
      <x:c r="C632" s="6" t="n">
        <x:f>RAND()</x:f>
        <x:v>0.5421163591551608</x:v>
      </x:c>
      <x:c r="D632" s="6" t="n">
        <x:f>B632^2+C632^2</x:f>
        <x:v>0.5454308497679679</x:v>
      </x:c>
      <x:c r="E632" s="5" t="n">
        <x:f>IF(D632&lt;=1,1,0)</x:f>
        <x:v>1</x:v>
      </x:c>
      <x:c r="F632" s="6" t="n">
        <x:f>4*SUM($E$9:E632)/A632</x:f>
        <x:v>3.0384615384615383</x:v>
      </x:c>
      <x:c r="G632" s="1"/>
      <x:c r="H632" s="1"/>
    </x:row>
    <x:row r="633" ht="22" customHeight="1">
      <x:c r="A633" s="1" t="n">
        <x:v>625</x:v>
      </x:c>
      <x:c r="B633" s="6" t="n">
        <x:f>RAND()</x:f>
        <x:v>0.6404100253077899</x:v>
      </x:c>
      <x:c r="C633" s="6" t="n">
        <x:f>RAND()</x:f>
        <x:v>0.06031491155058366</x:v>
      </x:c>
      <x:c r="D633" s="6" t="n">
        <x:f>B633^2+C633^2</x:f>
        <x:v>0.41376288907007885</x:v>
      </x:c>
      <x:c r="E633" s="5" t="n">
        <x:f>IF(D633&lt;=1,1,0)</x:f>
        <x:v>1</x:v>
      </x:c>
      <x:c r="F633" s="6" t="n">
        <x:f>4*SUM($E$9:E633)/A633</x:f>
        <x:v>3.04</x:v>
      </x:c>
      <x:c r="G633" s="1"/>
      <x:c r="H633" s="1"/>
    </x:row>
    <x:row r="634" ht="22" customHeight="1">
      <x:c r="A634" s="1" t="n">
        <x:v>626</x:v>
      </x:c>
      <x:c r="B634" s="6" t="n">
        <x:f>RAND()</x:f>
        <x:v>0.16082674528753904</x:v>
      </x:c>
      <x:c r="C634" s="6" t="n">
        <x:f>RAND()</x:f>
        <x:v>0.3562942135271683</x:v>
      </x:c>
      <x:c r="D634" s="6" t="n">
        <x:f>B634^2+C634^2</x:f>
        <x:v>0.15281080859272633</x:v>
      </x:c>
      <x:c r="E634" s="5" t="n">
        <x:f>IF(D634&lt;=1,1,0)</x:f>
        <x:v>1</x:v>
      </x:c>
      <x:c r="F634" s="6" t="n">
        <x:f>4*SUM($E$9:E634)/A634</x:f>
        <x:v>3.0415335463258786</x:v>
      </x:c>
      <x:c r="G634" s="1"/>
      <x:c r="H634" s="1"/>
    </x:row>
    <x:row r="635" ht="22" customHeight="1">
      <x:c r="A635" s="1" t="n">
        <x:v>627</x:v>
      </x:c>
      <x:c r="B635" s="6" t="n">
        <x:f>RAND()</x:f>
        <x:v>0.8529413530041958</x:v>
      </x:c>
      <x:c r="C635" s="6" t="n">
        <x:f>RAND()</x:f>
        <x:v>0.03455347274662457</x:v>
      </x:c>
      <x:c r="D635" s="6" t="n">
        <x:f>B635^2+C635^2</x:f>
        <x:v>0.7287028941434799</x:v>
      </x:c>
      <x:c r="E635" s="5" t="n">
        <x:f>IF(D635&lt;=1,1,0)</x:f>
        <x:v>1</x:v>
      </x:c>
      <x:c r="F635" s="6" t="n">
        <x:f>4*SUM($E$9:E635)/A635</x:f>
        <x:v>3.0430622009569377</x:v>
      </x:c>
      <x:c r="G635" s="1"/>
      <x:c r="H635" s="1"/>
    </x:row>
    <x:row r="636" ht="22" customHeight="1">
      <x:c r="A636" s="1" t="n">
        <x:v>628</x:v>
      </x:c>
      <x:c r="B636" s="6" t="n">
        <x:f>RAND()</x:f>
        <x:v>0.4883873087905525</x:v>
      </x:c>
      <x:c r="C636" s="6" t="n">
        <x:f>RAND()</x:f>
        <x:v>0.6341098358601802</x:v>
      </x:c>
      <x:c r="D636" s="6" t="n">
        <x:f>B636^2+C636^2</x:f>
        <x:v>0.6406174473223032</x:v>
      </x:c>
      <x:c r="E636" s="5" t="n">
        <x:f>IF(D636&lt;=1,1,0)</x:f>
        <x:v>1</x:v>
      </x:c>
      <x:c r="F636" s="6" t="n">
        <x:f>4*SUM($E$9:E636)/A636</x:f>
        <x:v>3.0445859872611467</x:v>
      </x:c>
      <x:c r="G636" s="1"/>
      <x:c r="H636" s="1"/>
    </x:row>
    <x:row r="637" ht="22" customHeight="1">
      <x:c r="A637" s="1" t="n">
        <x:v>629</x:v>
      </x:c>
      <x:c r="B637" s="6" t="n">
        <x:f>RAND()</x:f>
        <x:v>0.7019719392555406</x:v>
      </x:c>
      <x:c r="C637" s="6" t="n">
        <x:f>RAND()</x:f>
        <x:v>0.14168169612119463</x:v>
      </x:c>
      <x:c r="D637" s="6" t="n">
        <x:f>B637^2+C637^2</x:f>
        <x:v>0.5128383065179629</x:v>
      </x:c>
      <x:c r="E637" s="5" t="n">
        <x:f>IF(D637&lt;=1,1,0)</x:f>
        <x:v>1</x:v>
      </x:c>
      <x:c r="F637" s="6" t="n">
        <x:f>4*SUM($E$9:E637)/A637</x:f>
        <x:v>3.04610492845787</x:v>
      </x:c>
      <x:c r="G637" s="1"/>
      <x:c r="H637" s="1"/>
    </x:row>
    <x:row r="638" ht="22" customHeight="1">
      <x:c r="A638" s="1" t="n">
        <x:v>630</x:v>
      </x:c>
      <x:c r="B638" s="6" t="n">
        <x:f>RAND()</x:f>
        <x:v>0.3788877683976798</x:v>
      </x:c>
      <x:c r="C638" s="6" t="n">
        <x:f>RAND()</x:f>
        <x:v>0.6087463942483743</x:v>
      </x:c>
      <x:c r="D638" s="6" t="n">
        <x:f>B638^2+C638^2</x:f>
        <x:v>0.514128113551771</x:v>
      </x:c>
      <x:c r="E638" s="5" t="n">
        <x:f>IF(D638&lt;=1,1,0)</x:f>
        <x:v>1</x:v>
      </x:c>
      <x:c r="F638" s="6" t="n">
        <x:f>4*SUM($E$9:E638)/A638</x:f>
        <x:v>3.0476190476190474</x:v>
      </x:c>
      <x:c r="G638" s="1"/>
      <x:c r="H638" s="1"/>
    </x:row>
    <x:row r="639" ht="22" customHeight="1">
      <x:c r="A639" s="1" t="n">
        <x:v>631</x:v>
      </x:c>
      <x:c r="B639" s="6" t="n">
        <x:f>RAND()</x:f>
        <x:v>0.9764262451197673</x:v>
      </x:c>
      <x:c r="C639" s="6" t="n">
        <x:f>RAND()</x:f>
        <x:v>0.47542024943102934</x:v>
      </x:c>
      <x:c r="D639" s="6" t="n">
        <x:f>B639^2+C639^2</x:f>
        <x:v>1.17943262572775</x:v>
      </x:c>
      <x:c r="E639" s="5" t="n">
        <x:f>IF(D639&lt;=1,1,0)</x:f>
        <x:v>0</x:v>
      </x:c>
      <x:c r="F639" s="6" t="n">
        <x:f>4*SUM($E$9:E639)/A639</x:f>
        <x:v>3.0427892234548337</x:v>
      </x:c>
      <x:c r="G639" s="1"/>
      <x:c r="H639" s="1"/>
    </x:row>
    <x:row r="640" ht="22" customHeight="1">
      <x:c r="A640" s="1" t="n">
        <x:v>632</x:v>
      </x:c>
      <x:c r="B640" s="6" t="n">
        <x:f>RAND()</x:f>
        <x:v>0.8722448791541431</x:v>
      </x:c>
      <x:c r="C640" s="6" t="n">
        <x:f>RAND()</x:f>
        <x:v>0.4695561969616796</x:v>
      </x:c>
      <x:c r="D640" s="6" t="n">
        <x:f>B640^2+C640^2</x:f>
        <x:v>0.9812941513157413</x:v>
      </x:c>
      <x:c r="E640" s="5" t="n">
        <x:f>IF(D640&lt;=1,1,0)</x:f>
        <x:v>1</x:v>
      </x:c>
      <x:c r="F640" s="6" t="n">
        <x:f>4*SUM($E$9:E640)/A640</x:f>
        <x:v>3.0443037974683542</x:v>
      </x:c>
      <x:c r="G640" s="1"/>
      <x:c r="H640" s="1"/>
    </x:row>
    <x:row r="641" ht="22" customHeight="1">
      <x:c r="A641" s="1" t="n">
        <x:v>633</x:v>
      </x:c>
      <x:c r="B641" s="6" t="n">
        <x:f>RAND()</x:f>
        <x:v>0.517361657254063</x:v>
      </x:c>
      <x:c r="C641" s="6" t="n">
        <x:f>RAND()</x:f>
        <x:v>0.30160208858558657</x:v>
      </x:c>
      <x:c r="D641" s="6" t="n">
        <x:f>B641^2+C641^2</x:f>
        <x:v>0.3586269042358586</x:v>
      </x:c>
      <x:c r="E641" s="5" t="n">
        <x:f>IF(D641&lt;=1,1,0)</x:f>
        <x:v>1</x:v>
      </x:c>
      <x:c r="F641" s="6" t="n">
        <x:f>4*SUM($E$9:E641)/A641</x:f>
        <x:v>3.0458135860979465</x:v>
      </x:c>
      <x:c r="G641" s="1"/>
      <x:c r="H641" s="1"/>
    </x:row>
    <x:row r="642" ht="22" customHeight="1">
      <x:c r="A642" s="1" t="n">
        <x:v>634</x:v>
      </x:c>
      <x:c r="B642" s="6" t="n">
        <x:f>RAND()</x:f>
        <x:v>0.23067414121949836</x:v>
      </x:c>
      <x:c r="C642" s="6" t="n">
        <x:f>RAND()</x:f>
        <x:v>0.03807002283873406</x:v>
      </x:c>
      <x:c r="D642" s="6" t="n">
        <x:f>B642^2+C642^2</x:f>
        <x:v>0.05465988606629481</x:v>
      </x:c>
      <x:c r="E642" s="5" t="n">
        <x:f>IF(D642&lt;=1,1,0)</x:f>
        <x:v>1</x:v>
      </x:c>
      <x:c r="F642" s="6" t="n">
        <x:f>4*SUM($E$9:E642)/A642</x:f>
        <x:v>3.047318611987382</x:v>
      </x:c>
      <x:c r="G642" s="1"/>
      <x:c r="H642" s="1"/>
    </x:row>
    <x:row r="643" ht="22" customHeight="1">
      <x:c r="A643" s="1" t="n">
        <x:v>635</x:v>
      </x:c>
      <x:c r="B643" s="6" t="n">
        <x:f>RAND()</x:f>
        <x:v>0.8418186778198271</x:v>
      </x:c>
      <x:c r="C643" s="6" t="n">
        <x:f>RAND()</x:f>
        <x:v>0.5770316484989629</x:v>
      </x:c>
      <x:c r="D643" s="6" t="n">
        <x:f>B643^2+C643^2</x:f>
        <x:v>1.0416242096957526</x:v>
      </x:c>
      <x:c r="E643" s="5" t="n">
        <x:f>IF(D643&lt;=1,1,0)</x:f>
        <x:v>0</x:v>
      </x:c>
      <x:c r="F643" s="6" t="n">
        <x:f>4*SUM($E$9:E643)/A643</x:f>
        <x:v>3.04251968503937</x:v>
      </x:c>
      <x:c r="G643" s="1"/>
      <x:c r="H643" s="1"/>
    </x:row>
    <x:row r="644" ht="22" customHeight="1">
      <x:c r="A644" s="1" t="n">
        <x:v>636</x:v>
      </x:c>
      <x:c r="B644" s="6" t="n">
        <x:f>RAND()</x:f>
        <x:v>0.8749712238914807</x:v>
      </x:c>
      <x:c r="C644" s="6" t="n">
        <x:f>RAND()</x:f>
        <x:v>0.1543795372181863</x:v>
      </x:c>
      <x:c r="D644" s="6" t="n">
        <x:f>B644^2+C644^2</x:f>
        <x:v>0.7894076841498571</x:v>
      </x:c>
      <x:c r="E644" s="5" t="n">
        <x:f>IF(D644&lt;=1,1,0)</x:f>
        <x:v>1</x:v>
      </x:c>
      <x:c r="F644" s="6" t="n">
        <x:f>4*SUM($E$9:E644)/A644</x:f>
        <x:v>3.0440251572327046</x:v>
      </x:c>
      <x:c r="G644" s="1"/>
      <x:c r="H644" s="1"/>
    </x:row>
    <x:row r="645" ht="22" customHeight="1">
      <x:c r="A645" s="1" t="n">
        <x:v>637</x:v>
      </x:c>
      <x:c r="B645" s="6" t="n">
        <x:f>RAND()</x:f>
        <x:v>0.6641817477008902</x:v>
      </x:c>
      <x:c r="C645" s="6" t="n">
        <x:f>RAND()</x:f>
        <x:v>0.8286277473126671</x:v>
      </x:c>
      <x:c r="D645" s="6" t="n">
        <x:f>B645^2+C645^2</x:f>
        <x:v>1.1277613375954743</x:v>
      </x:c>
      <x:c r="E645" s="5" t="n">
        <x:f>IF(D645&lt;=1,1,0)</x:f>
        <x:v>0</x:v>
      </x:c>
      <x:c r="F645" s="6" t="n">
        <x:f>4*SUM($E$9:E645)/A645</x:f>
        <x:v>3.0392464678178963</x:v>
      </x:c>
      <x:c r="G645" s="1"/>
      <x:c r="H645" s="1"/>
    </x:row>
    <x:row r="646" ht="22" customHeight="1">
      <x:c r="A646" s="1" t="n">
        <x:v>638</x:v>
      </x:c>
      <x:c r="B646" s="6" t="n">
        <x:f>RAND()</x:f>
        <x:v>0.2784363298570103</x:v>
      </x:c>
      <x:c r="C646" s="6" t="n">
        <x:f>RAND()</x:f>
        <x:v>0.28611014520290345</x:v>
      </x:c>
      <x:c r="D646" s="6" t="n">
        <x:f>B646^2+C646^2</x:f>
        <x:v>0.15938580497226834</x:v>
      </x:c>
      <x:c r="E646" s="5" t="n">
        <x:f>IF(D646&lt;=1,1,0)</x:f>
        <x:v>1</x:v>
      </x:c>
      <x:c r="F646" s="6" t="n">
        <x:f>4*SUM($E$9:E646)/A646</x:f>
        <x:v>3.040752351097179</x:v>
      </x:c>
      <x:c r="G646" s="1"/>
      <x:c r="H646" s="1"/>
    </x:row>
    <x:row r="647" ht="22" customHeight="1">
      <x:c r="A647" s="1" t="n">
        <x:v>639</x:v>
      </x:c>
      <x:c r="B647" s="6" t="n">
        <x:f>RAND()</x:f>
        <x:v>0.6152048795612458</x:v>
      </x:c>
      <x:c r="C647" s="6" t="n">
        <x:f>RAND()</x:f>
        <x:v>0.7025176769107755</x:v>
      </x:c>
      <x:c r="D647" s="6" t="n">
        <x:f>B647^2+C647^2</x:f>
        <x:v>0.8720081302080798</x:v>
      </x:c>
      <x:c r="E647" s="5" t="n">
        <x:f>IF(D647&lt;=1,1,0)</x:f>
        <x:v>1</x:v>
      </x:c>
      <x:c r="F647" s="6" t="n">
        <x:f>4*SUM($E$9:E647)/A647</x:f>
        <x:v>3.0422535211267605</x:v>
      </x:c>
      <x:c r="G647" s="1"/>
      <x:c r="H647" s="1"/>
    </x:row>
    <x:row r="648" ht="22" customHeight="1">
      <x:c r="A648" s="1" t="n">
        <x:v>640</x:v>
      </x:c>
      <x:c r="B648" s="6" t="n">
        <x:f>RAND()</x:f>
        <x:v>0.34882467608740675</x:v>
      </x:c>
      <x:c r="C648" s="6" t="n">
        <x:f>RAND()</x:f>
        <x:v>0.9393875724333702</x:v>
      </x:c>
      <x:c r="D648" s="6" t="n">
        <x:f>B648^2+C648^2</x:f>
        <x:v>1.0041276658897447</x:v>
      </x:c>
      <x:c r="E648" s="5" t="n">
        <x:f>IF(D648&lt;=1,1,0)</x:f>
        <x:v>0</x:v>
      </x:c>
      <x:c r="F648" s="6" t="n">
        <x:f>4*SUM($E$9:E648)/A648</x:f>
        <x:v>3.0375</x:v>
      </x:c>
      <x:c r="G648" s="1"/>
      <x:c r="H648" s="1"/>
    </x:row>
    <x:row r="649" ht="22" customHeight="1">
      <x:c r="A649" s="1" t="n">
        <x:v>641</x:v>
      </x:c>
      <x:c r="B649" s="6" t="n">
        <x:f>RAND()</x:f>
        <x:v>0.9734743014031356</x:v>
      </x:c>
      <x:c r="C649" s="6" t="n">
        <x:f>RAND()</x:f>
        <x:v>0.622384260457232</x:v>
      </x:c>
      <x:c r="D649" s="6" t="n">
        <x:f>B649^2+C649^2</x:f>
        <x:v>1.3350143831572185</x:v>
      </x:c>
      <x:c r="E649" s="5" t="n">
        <x:f>IF(D649&lt;=1,1,0)</x:f>
        <x:v>0</x:v>
      </x:c>
      <x:c r="F649" s="6" t="n">
        <x:f>4*SUM($E$9:E649)/A649</x:f>
        <x:v>3.0327613104524183</x:v>
      </x:c>
      <x:c r="G649" s="1"/>
      <x:c r="H649" s="1"/>
    </x:row>
    <x:row r="650" ht="22" customHeight="1">
      <x:c r="A650" s="1" t="n">
        <x:v>642</x:v>
      </x:c>
      <x:c r="B650" s="6" t="n">
        <x:f>RAND()</x:f>
        <x:v>0.5347992100462681</x:v>
      </x:c>
      <x:c r="C650" s="6" t="n">
        <x:f>RAND()</x:f>
        <x:v>0.6098486835308712</x:v>
      </x:c>
      <x:c r="D650" s="6" t="n">
        <x:f>B650^2+C650^2</x:f>
        <x:v>0.6579256118704491</x:v>
      </x:c>
      <x:c r="E650" s="5" t="n">
        <x:f>IF(D650&lt;=1,1,0)</x:f>
        <x:v>1</x:v>
      </x:c>
      <x:c r="F650" s="6" t="n">
        <x:f>4*SUM($E$9:E650)/A650</x:f>
        <x:v>3.034267912772586</x:v>
      </x:c>
      <x:c r="G650" s="1"/>
      <x:c r="H650" s="1"/>
    </x:row>
    <x:row r="651" ht="22" customHeight="1">
      <x:c r="A651" s="1" t="n">
        <x:v>643</x:v>
      </x:c>
      <x:c r="B651" s="6" t="n">
        <x:f>RAND()</x:f>
        <x:v>0.574454490082499</x:v>
      </x:c>
      <x:c r="C651" s="6" t="n">
        <x:f>RAND()</x:f>
        <x:v>0.6764047901245003</x:v>
      </x:c>
      <x:c r="D651" s="6" t="n">
        <x:f>B651^2+C651^2</x:f>
        <x:v>0.7875214012793132</x:v>
      </x:c>
      <x:c r="E651" s="5" t="n">
        <x:f>IF(D651&lt;=1,1,0)</x:f>
        <x:v>1</x:v>
      </x:c>
      <x:c r="F651" s="6" t="n">
        <x:f>4*SUM($E$9:E651)/A651</x:f>
        <x:v>3.035769828926905</x:v>
      </x:c>
      <x:c r="G651" s="1"/>
      <x:c r="H651" s="1"/>
    </x:row>
    <x:row r="652" ht="22" customHeight="1">
      <x:c r="A652" s="1" t="n">
        <x:v>644</x:v>
      </x:c>
      <x:c r="B652" s="6" t="n">
        <x:f>RAND()</x:f>
        <x:v>0.5195464767299286</x:v>
      </x:c>
      <x:c r="C652" s="6" t="n">
        <x:f>RAND()</x:f>
        <x:v>0.2922518714207367</x:v>
      </x:c>
      <x:c r="D652" s="6" t="n">
        <x:f>B652^2+C652^2</x:f>
        <x:v>0.35533969783140507</x:v>
      </x:c>
      <x:c r="E652" s="5" t="n">
        <x:f>IF(D652&lt;=1,1,0)</x:f>
        <x:v>1</x:v>
      </x:c>
      <x:c r="F652" s="6" t="n">
        <x:f>4*SUM($E$9:E652)/A652</x:f>
        <x:v>3.0372670807453415</x:v>
      </x:c>
      <x:c r="G652" s="1"/>
      <x:c r="H652" s="1"/>
    </x:row>
    <x:row r="653" ht="22" customHeight="1">
      <x:c r="A653" s="1" t="n">
        <x:v>645</x:v>
      </x:c>
      <x:c r="B653" s="6" t="n">
        <x:f>RAND()</x:f>
        <x:v>0.9857684613867702</x:v>
      </x:c>
      <x:c r="C653" s="6" t="n">
        <x:f>RAND()</x:f>
        <x:v>0.07950480413342553</x:v>
      </x:c>
      <x:c r="D653" s="6" t="n">
        <x:f>B653^2+C653^2</x:f>
        <x:v>0.9780604733451347</x:v>
      </x:c>
      <x:c r="E653" s="5" t="n">
        <x:f>IF(D653&lt;=1,1,0)</x:f>
        <x:v>1</x:v>
      </x:c>
      <x:c r="F653" s="6" t="n">
        <x:f>4*SUM($E$9:E653)/A653</x:f>
        <x:v>3.0387596899224807</x:v>
      </x:c>
      <x:c r="G653" s="1"/>
      <x:c r="H653" s="1"/>
    </x:row>
    <x:row r="654" ht="22" customHeight="1">
      <x:c r="A654" s="1" t="n">
        <x:v>646</x:v>
      </x:c>
      <x:c r="B654" s="6" t="n">
        <x:f>RAND()</x:f>
        <x:v>0.08912479822477937</x:v>
      </x:c>
      <x:c r="C654" s="6" t="n">
        <x:f>RAND()</x:f>
        <x:v>0.8632072054054466</x:v>
      </x:c>
      <x:c r="D654" s="6" t="n">
        <x:f>B654^2+C654^2</x:f>
        <x:v>0.7530699091224885</x:v>
      </x:c>
      <x:c r="E654" s="5" t="n">
        <x:f>IF(D654&lt;=1,1,0)</x:f>
        <x:v>1</x:v>
      </x:c>
      <x:c r="F654" s="6" t="n">
        <x:f>4*SUM($E$9:E654)/A654</x:f>
        <x:v>3.040247678018576</x:v>
      </x:c>
      <x:c r="G654" s="1"/>
      <x:c r="H654" s="1"/>
    </x:row>
    <x:row r="655" ht="22" customHeight="1">
      <x:c r="A655" s="1" t="n">
        <x:v>647</x:v>
      </x:c>
      <x:c r="B655" s="6" t="n">
        <x:f>RAND()</x:f>
        <x:v>0.10410497363272064</x:v>
      </x:c>
      <x:c r="C655" s="6" t="n">
        <x:f>RAND()</x:f>
        <x:v>0.32133967621217685</x:v>
      </x:c>
      <x:c r="D655" s="6" t="n">
        <x:f>B655^2+C655^2</x:f>
        <x:v>0.11409703304321611</x:v>
      </x:c>
      <x:c r="E655" s="5" t="n">
        <x:f>IF(D655&lt;=1,1,0)</x:f>
        <x:v>1</x:v>
      </x:c>
      <x:c r="F655" s="6" t="n">
        <x:f>4*SUM($E$9:E655)/A655</x:f>
        <x:v>3.041731066460587</x:v>
      </x:c>
      <x:c r="G655" s="1"/>
      <x:c r="H655" s="1"/>
    </x:row>
    <x:row r="656" ht="22" customHeight="1">
      <x:c r="A656" s="1" t="n">
        <x:v>648</x:v>
      </x:c>
      <x:c r="B656" s="6" t="n">
        <x:f>RAND()</x:f>
        <x:v>0.6641243560623533</x:v>
      </x:c>
      <x:c r="C656" s="6" t="n">
        <x:f>RAND()</x:f>
        <x:v>0.4235212144892675</x:v>
      </x:c>
      <x:c r="D656" s="6" t="n">
        <x:f>B656^2+C656^2</x:f>
        <x:v>0.6204313794376995</x:v>
      </x:c>
      <x:c r="E656" s="5" t="n">
        <x:f>IF(D656&lt;=1,1,0)</x:f>
        <x:v>1</x:v>
      </x:c>
      <x:c r="F656" s="6" t="n">
        <x:f>4*SUM($E$9:E656)/A656</x:f>
        <x:v>3.04320987654321</x:v>
      </x:c>
      <x:c r="G656" s="1"/>
      <x:c r="H656" s="1"/>
    </x:row>
    <x:row r="657" ht="22" customHeight="1">
      <x:c r="A657" s="1" t="n">
        <x:v>649</x:v>
      </x:c>
      <x:c r="B657" s="6" t="n">
        <x:f>RAND()</x:f>
        <x:v>0.6379167073566351</x:v>
      </x:c>
      <x:c r="C657" s="6" t="n">
        <x:f>RAND()</x:f>
        <x:v>0.9949894182257663</x:v>
      </x:c>
      <x:c r="D657" s="6" t="n">
        <x:f>B657^2+C657^2</x:f>
        <x:v>1.3969416679059796</x:v>
      </x:c>
      <x:c r="E657" s="5" t="n">
        <x:f>IF(D657&lt;=1,1,0)</x:f>
        <x:v>0</x:v>
      </x:c>
      <x:c r="F657" s="6" t="n">
        <x:f>4*SUM($E$9:E657)/A657</x:f>
        <x:v>3.0385208012326657</x:v>
      </x:c>
      <x:c r="G657" s="1"/>
      <x:c r="H657" s="1"/>
    </x:row>
    <x:row r="658" ht="22" customHeight="1">
      <x:c r="A658" s="1" t="n">
        <x:v>650</x:v>
      </x:c>
      <x:c r="B658" s="6" t="n">
        <x:f>RAND()</x:f>
        <x:v>0.1810640635143993</x:v>
      </x:c>
      <x:c r="C658" s="6" t="n">
        <x:f>RAND()</x:f>
        <x:v>0.3707444137051389</x:v>
      </x:c>
      <x:c r="D658" s="6" t="n">
        <x:f>B658^2+C658^2</x:f>
        <x:v>0.17023561538991358</x:v>
      </x:c>
      <x:c r="E658" s="5" t="n">
        <x:f>IF(D658&lt;=1,1,0)</x:f>
        <x:v>1</x:v>
      </x:c>
      <x:c r="F658" s="6" t="n">
        <x:f>4*SUM($E$9:E658)/A658</x:f>
        <x:v>3.04</x:v>
      </x:c>
      <x:c r="G658" s="1"/>
      <x:c r="H658" s="1"/>
    </x:row>
    <x:row r="659" ht="22" customHeight="1">
      <x:c r="A659" s="1" t="n">
        <x:v>651</x:v>
      </x:c>
      <x:c r="B659" s="6" t="n">
        <x:f>RAND()</x:f>
        <x:v>0.3314211538146451</x:v>
      </x:c>
      <x:c r="C659" s="6" t="n">
        <x:f>RAND()</x:f>
        <x:v>0.2607989650907909</x:v>
      </x:c>
      <x:c r="D659" s="6" t="n">
        <x:f>B659^2+C659^2</x:f>
        <x:v>0.17785608138825823</x:v>
      </x:c>
      <x:c r="E659" s="5" t="n">
        <x:f>IF(D659&lt;=1,1,0)</x:f>
        <x:v>1</x:v>
      </x:c>
      <x:c r="F659" s="6" t="n">
        <x:f>4*SUM($E$9:E659)/A659</x:f>
        <x:v>3.0414746543778803</x:v>
      </x:c>
      <x:c r="G659" s="1"/>
      <x:c r="H659" s="1"/>
    </x:row>
    <x:row r="660" ht="22" customHeight="1">
      <x:c r="A660" s="1" t="n">
        <x:v>652</x:v>
      </x:c>
      <x:c r="B660" s="6" t="n">
        <x:f>RAND()</x:f>
        <x:v>0.42457216729864333</x:v>
      </x:c>
      <x:c r="C660" s="6" t="n">
        <x:f>RAND()</x:f>
        <x:v>0.6086837899090239</x:v>
      </x:c>
      <x:c r="D660" s="6" t="n">
        <x:f>B660^2+C660^2</x:f>
        <x:v>0.55075748134268</x:v>
      </x:c>
      <x:c r="E660" s="5" t="n">
        <x:f>IF(D660&lt;=1,1,0)</x:f>
        <x:v>1</x:v>
      </x:c>
      <x:c r="F660" s="6" t="n">
        <x:f>4*SUM($E$9:E660)/A660</x:f>
        <x:v>3.042944785276074</x:v>
      </x:c>
      <x:c r="G660" s="1"/>
      <x:c r="H660" s="1"/>
    </x:row>
    <x:row r="661" ht="22" customHeight="1">
      <x:c r="A661" s="1" t="n">
        <x:v>653</x:v>
      </x:c>
      <x:c r="B661" s="6" t="n">
        <x:f>RAND()</x:f>
        <x:v>0.4669449929710867</x:v>
      </x:c>
      <x:c r="C661" s="6" t="n">
        <x:f>RAND()</x:f>
        <x:v>0.352992142562934</x:v>
      </x:c>
      <x:c r="D661" s="6" t="n">
        <x:f>B661^2+C661^2</x:f>
        <x:v>0.3426410791719389</x:v>
      </x:c>
      <x:c r="E661" s="5" t="n">
        <x:f>IF(D661&lt;=1,1,0)</x:f>
        <x:v>1</x:v>
      </x:c>
      <x:c r="F661" s="6" t="n">
        <x:f>4*SUM($E$9:E661)/A661</x:f>
        <x:v>3.0444104134762635</x:v>
      </x:c>
      <x:c r="G661" s="1"/>
      <x:c r="H661" s="1"/>
    </x:row>
    <x:row r="662" ht="22" customHeight="1">
      <x:c r="A662" s="1" t="n">
        <x:v>654</x:v>
      </x:c>
      <x:c r="B662" s="6" t="n">
        <x:f>RAND()</x:f>
        <x:v>0.2669371857808489</x:v>
      </x:c>
      <x:c r="C662" s="6" t="n">
        <x:f>RAND()</x:f>
        <x:v>0.3556208931872229</x:v>
      </x:c>
      <x:c r="D662" s="6" t="n">
        <x:f>B662^2+C662^2</x:f>
        <x:v>0.19772168082387764</x:v>
      </x:c>
      <x:c r="E662" s="5" t="n">
        <x:f>IF(D662&lt;=1,1,0)</x:f>
        <x:v>1</x:v>
      </x:c>
      <x:c r="F662" s="6" t="n">
        <x:f>4*SUM($E$9:E662)/A662</x:f>
        <x:v>3.0458715596330275</x:v>
      </x:c>
      <x:c r="G662" s="1"/>
      <x:c r="H662" s="1"/>
    </x:row>
    <x:row r="663" ht="22" customHeight="1">
      <x:c r="A663" s="1" t="n">
        <x:v>655</x:v>
      </x:c>
      <x:c r="B663" s="6" t="n">
        <x:f>RAND()</x:f>
        <x:v>0.43317192127928905</x:v>
      </x:c>
      <x:c r="C663" s="6" t="n">
        <x:f>RAND()</x:f>
        <x:v>0.7901455162414199</x:v>
      </x:c>
      <x:c r="D663" s="6" t="n">
        <x:f>B663^2+C663^2</x:f>
        <x:v>0.8119678502212107</x:v>
      </x:c>
      <x:c r="E663" s="5" t="n">
        <x:f>IF(D663&lt;=1,1,0)</x:f>
        <x:v>1</x:v>
      </x:c>
      <x:c r="F663" s="6" t="n">
        <x:f>4*SUM($E$9:E663)/A663</x:f>
        <x:v>3.047328244274809</x:v>
      </x:c>
      <x:c r="G663" s="1"/>
      <x:c r="H663" s="1"/>
    </x:row>
    <x:row r="664" ht="22" customHeight="1">
      <x:c r="A664" s="1" t="n">
        <x:v>656</x:v>
      </x:c>
      <x:c r="B664" s="6" t="n">
        <x:f>RAND()</x:f>
        <x:v>0.2565901153958713</x:v>
      </x:c>
      <x:c r="C664" s="6" t="n">
        <x:f>RAND()</x:f>
        <x:v>0.5383417616714882</x:v>
      </x:c>
      <x:c r="D664" s="6" t="n">
        <x:f>B664^2+C664^2</x:f>
        <x:v>0.3556503396784279</x:v>
      </x:c>
      <x:c r="E664" s="5" t="n">
        <x:f>IF(D664&lt;=1,1,0)</x:f>
        <x:v>1</x:v>
      </x:c>
      <x:c r="F664" s="6" t="n">
        <x:f>4*SUM($E$9:E664)/A664</x:f>
        <x:v>3.048780487804878</x:v>
      </x:c>
      <x:c r="G664" s="1"/>
      <x:c r="H664" s="1"/>
    </x:row>
    <x:row r="665" ht="22" customHeight="1">
      <x:c r="A665" s="1" t="n">
        <x:v>657</x:v>
      </x:c>
      <x:c r="B665" s="6" t="n">
        <x:f>RAND()</x:f>
        <x:v>0.6500267303042978</x:v>
      </x:c>
      <x:c r="C665" s="6" t="n">
        <x:f>RAND()</x:f>
        <x:v>0.05560328137097359</x:v>
      </x:c>
      <x:c r="D665" s="6" t="n">
        <x:f>B665^2+C665^2</x:f>
        <x:v>0.425626475009316</x:v>
      </x:c>
      <x:c r="E665" s="5" t="n">
        <x:f>IF(D665&lt;=1,1,0)</x:f>
        <x:v>1</x:v>
      </x:c>
      <x:c r="F665" s="6" t="n">
        <x:f>4*SUM($E$9:E665)/A665</x:f>
        <x:v>3.050228310502283</x:v>
      </x:c>
      <x:c r="G665" s="1"/>
      <x:c r="H665" s="1"/>
    </x:row>
    <x:row r="666" ht="22" customHeight="1">
      <x:c r="A666" s="1" t="n">
        <x:v>658</x:v>
      </x:c>
      <x:c r="B666" s="6" t="n">
        <x:f>RAND()</x:f>
        <x:v>0.3352098453401119</x:v>
      </x:c>
      <x:c r="C666" s="6" t="n">
        <x:f>RAND()</x:f>
        <x:v>0.9403944813272392</x:v>
      </x:c>
      <x:c r="D666" s="6" t="n">
        <x:f>B666^2+C666^2</x:f>
        <x:v>0.996707420923669</x:v>
      </x:c>
      <x:c r="E666" s="5" t="n">
        <x:f>IF(D666&lt;=1,1,0)</x:f>
        <x:v>1</x:v>
      </x:c>
      <x:c r="F666" s="6" t="n">
        <x:f>4*SUM($E$9:E666)/A666</x:f>
        <x:v>3.0516717325227964</x:v>
      </x:c>
      <x:c r="G666" s="1"/>
      <x:c r="H666" s="1"/>
    </x:row>
    <x:row r="667" ht="22" customHeight="1">
      <x:c r="A667" s="1" t="n">
        <x:v>659</x:v>
      </x:c>
      <x:c r="B667" s="6" t="n">
        <x:f>RAND()</x:f>
        <x:v>0.4131735324191491</x:v>
      </x:c>
      <x:c r="C667" s="6" t="n">
        <x:f>RAND()</x:f>
        <x:v>0.0999323730019015</x:v>
      </x:c>
      <x:c r="D667" s="6" t="n">
        <x:f>B667^2+C667^2</x:f>
        <x:v>0.18069884706550884</x:v>
      </x:c>
      <x:c r="E667" s="5" t="n">
        <x:f>IF(D667&lt;=1,1,0)</x:f>
        <x:v>1</x:v>
      </x:c>
      <x:c r="F667" s="6" t="n">
        <x:f>4*SUM($E$9:E667)/A667</x:f>
        <x:v>3.0531107738998484</x:v>
      </x:c>
      <x:c r="G667" s="1"/>
      <x:c r="H667" s="1"/>
    </x:row>
    <x:row r="668" ht="22" customHeight="1">
      <x:c r="A668" s="1" t="n">
        <x:v>660</x:v>
      </x:c>
      <x:c r="B668" s="6" t="n">
        <x:f>RAND()</x:f>
        <x:v>0.15308551088709588</x:v>
      </x:c>
      <x:c r="C668" s="6" t="n">
        <x:f>RAND()</x:f>
        <x:v>0.71126360105876</x:v>
      </x:c>
      <x:c r="D668" s="6" t="n">
        <x:f>B668^2+C668^2</x:f>
        <x:v>0.529331083834638</x:v>
      </x:c>
      <x:c r="E668" s="5" t="n">
        <x:f>IF(D668&lt;=1,1,0)</x:f>
        <x:v>1</x:v>
      </x:c>
      <x:c r="F668" s="6" t="n">
        <x:f>4*SUM($E$9:E668)/A668</x:f>
        <x:v>3.0545454545454547</x:v>
      </x:c>
      <x:c r="G668" s="1"/>
      <x:c r="H668" s="1"/>
    </x:row>
    <x:row r="669" ht="22" customHeight="1">
      <x:c r="A669" s="1" t="n">
        <x:v>661</x:v>
      </x:c>
      <x:c r="B669" s="6" t="n">
        <x:f>RAND()</x:f>
        <x:v>0.01131279196293733</x:v>
      </x:c>
      <x:c r="C669" s="6" t="n">
        <x:f>RAND()</x:f>
        <x:v>0.9280475794310447</x:v>
      </x:c>
      <x:c r="D669" s="6" t="n">
        <x:f>B669^2+C669^2</x:f>
        <x:v>0.8614002889498178</x:v>
      </x:c>
      <x:c r="E669" s="5" t="n">
        <x:f>IF(D669&lt;=1,1,0)</x:f>
        <x:v>1</x:v>
      </x:c>
      <x:c r="F669" s="6" t="n">
        <x:f>4*SUM($E$9:E669)/A669</x:f>
        <x:v>3.0559757942511347</x:v>
      </x:c>
      <x:c r="G669" s="1"/>
      <x:c r="H669" s="1"/>
    </x:row>
    <x:row r="670" ht="22" customHeight="1">
      <x:c r="A670" s="1" t="n">
        <x:v>662</x:v>
      </x:c>
      <x:c r="B670" s="6" t="n">
        <x:f>RAND()</x:f>
        <x:v>0.2428251287644635</x:v>
      </x:c>
      <x:c r="C670" s="6" t="n">
        <x:f>RAND()</x:f>
        <x:v>0.6301434575219825</x:v>
      </x:c>
      <x:c r="D670" s="6" t="n">
        <x:f>B670^2+C670^2</x:f>
        <x:v>0.4560448202172369</x:v>
      </x:c>
      <x:c r="E670" s="5" t="n">
        <x:f>IF(D670&lt;=1,1,0)</x:f>
        <x:v>1</x:v>
      </x:c>
      <x:c r="F670" s="6" t="n">
        <x:f>4*SUM($E$9:E670)/A670</x:f>
        <x:v>3.0574018126888216</x:v>
      </x:c>
      <x:c r="G670" s="1"/>
      <x:c r="H670" s="1"/>
    </x:row>
    <x:row r="671" ht="22" customHeight="1">
      <x:c r="A671" s="1" t="n">
        <x:v>663</x:v>
      </x:c>
      <x:c r="B671" s="6" t="n">
        <x:f>RAND()</x:f>
        <x:v>0.11850613410747579</x:v>
      </x:c>
      <x:c r="C671" s="6" t="n">
        <x:f>RAND()</x:f>
        <x:v>0.703819160892397</x:v>
      </x:c>
      <x:c r="D671" s="6" t="n">
        <x:f>B671^2+C671^2</x:f>
        <x:v>0.5094051150603769</x:v>
      </x:c>
      <x:c r="E671" s="5" t="n">
        <x:f>IF(D671&lt;=1,1,0)</x:f>
        <x:v>1</x:v>
      </x:c>
      <x:c r="F671" s="6" t="n">
        <x:f>4*SUM($E$9:E671)/A671</x:f>
        <x:v>3.0588235294117645</x:v>
      </x:c>
      <x:c r="G671" s="1"/>
      <x:c r="H671" s="1"/>
    </x:row>
    <x:row r="672" ht="22" customHeight="1">
      <x:c r="A672" s="1" t="n">
        <x:v>664</x:v>
      </x:c>
      <x:c r="B672" s="6" t="n">
        <x:f>RAND()</x:f>
        <x:v>0.06034906442853083</x:v>
      </x:c>
      <x:c r="C672" s="6" t="n">
        <x:f>RAND()</x:f>
        <x:v>0.8582821343557767</x:v>
      </x:c>
      <x:c r="D672" s="6" t="n">
        <x:f>B672^2+C672^2</x:f>
        <x:v>0.7402902317317066</x:v>
      </x:c>
      <x:c r="E672" s="5" t="n">
        <x:f>IF(D672&lt;=1,1,0)</x:f>
        <x:v>1</x:v>
      </x:c>
      <x:c r="F672" s="6" t="n">
        <x:f>4*SUM($E$9:E672)/A672</x:f>
        <x:v>3.0602409638554215</x:v>
      </x:c>
      <x:c r="G672" s="1"/>
      <x:c r="H672" s="1"/>
    </x:row>
    <x:row r="673" ht="22" customHeight="1">
      <x:c r="A673" s="1" t="n">
        <x:v>665</x:v>
      </x:c>
      <x:c r="B673" s="6" t="n">
        <x:f>RAND()</x:f>
        <x:v>0.6134296999129651</x:v>
      </x:c>
      <x:c r="C673" s="6" t="n">
        <x:f>RAND()</x:f>
        <x:v>0.479159740781706</x:v>
      </x:c>
      <x:c r="D673" s="6" t="n">
        <x:f>B673^2+C673^2</x:f>
        <x:v>0.6058900539213021</x:v>
      </x:c>
      <x:c r="E673" s="5" t="n">
        <x:f>IF(D673&lt;=1,1,0)</x:f>
        <x:v>1</x:v>
      </x:c>
      <x:c r="F673" s="6" t="n">
        <x:f>4*SUM($E$9:E673)/A673</x:f>
        <x:v>3.0616541353383457</x:v>
      </x:c>
      <x:c r="G673" s="1"/>
      <x:c r="H673" s="1"/>
    </x:row>
    <x:row r="674" ht="22" customHeight="1">
      <x:c r="A674" s="1" t="n">
        <x:v>666</x:v>
      </x:c>
      <x:c r="B674" s="6" t="n">
        <x:f>RAND()</x:f>
        <x:v>0.5071720361992924</x:v>
      </x:c>
      <x:c r="C674" s="6" t="n">
        <x:f>RAND()</x:f>
        <x:v>0.05462944065309305</x:v>
      </x:c>
      <x:c r="D674" s="6" t="n">
        <x:f>B674^2+C674^2</x:f>
        <x:v>0.2602078500886062</x:v>
      </x:c>
      <x:c r="E674" s="5" t="n">
        <x:f>IF(D674&lt;=1,1,0)</x:f>
        <x:v>1</x:v>
      </x:c>
      <x:c r="F674" s="6" t="n">
        <x:f>4*SUM($E$9:E674)/A674</x:f>
        <x:v>3.063063063063063</x:v>
      </x:c>
      <x:c r="G674" s="1"/>
      <x:c r="H674" s="1"/>
    </x:row>
    <x:row r="675" ht="22" customHeight="1">
      <x:c r="A675" s="1" t="n">
        <x:v>667</x:v>
      </x:c>
      <x:c r="B675" s="6" t="n">
        <x:f>RAND()</x:f>
        <x:v>0.41989897532777554</x:v>
      </x:c>
      <x:c r="C675" s="6" t="n">
        <x:f>RAND()</x:f>
        <x:v>0.18825332387339577</x:v>
      </x:c>
      <x:c r="D675" s="6" t="n">
        <x:f>B675^2+C675^2</x:f>
        <x:v>0.21175446343069748</x:v>
      </x:c>
      <x:c r="E675" s="5" t="n">
        <x:f>IF(D675&lt;=1,1,0)</x:f>
        <x:v>1</x:v>
      </x:c>
      <x:c r="F675" s="6" t="n">
        <x:f>4*SUM($E$9:E675)/A675</x:f>
        <x:v>3.0644677661169415</x:v>
      </x:c>
      <x:c r="G675" s="1"/>
      <x:c r="H675" s="1"/>
    </x:row>
    <x:row r="676" ht="22" customHeight="1">
      <x:c r="A676" s="1" t="n">
        <x:v>668</x:v>
      </x:c>
      <x:c r="B676" s="6" t="n">
        <x:f>RAND()</x:f>
        <x:v>0.2935175972178634</x:v>
      </x:c>
      <x:c r="C676" s="6" t="n">
        <x:f>RAND()</x:f>
        <x:v>0.16992513117052754</x:v>
      </x:c>
      <x:c r="D676" s="6" t="n">
        <x:f>B676^2+C676^2</x:f>
        <x:v>0.1150271300798689</x:v>
      </x:c>
      <x:c r="E676" s="5" t="n">
        <x:f>IF(D676&lt;=1,1,0)</x:f>
        <x:v>1</x:v>
      </x:c>
      <x:c r="F676" s="6" t="n">
        <x:f>4*SUM($E$9:E676)/A676</x:f>
        <x:v>3.065868263473054</x:v>
      </x:c>
      <x:c r="G676" s="1"/>
      <x:c r="H676" s="1"/>
    </x:row>
    <x:row r="677" ht="22" customHeight="1">
      <x:c r="A677" s="1" t="n">
        <x:v>669</x:v>
      </x:c>
      <x:c r="B677" s="6" t="n">
        <x:f>RAND()</x:f>
        <x:v>0.5800032563727853</x:v>
      </x:c>
      <x:c r="C677" s="6" t="n">
        <x:f>RAND()</x:f>
        <x:v>0.8046377236164691</x:v>
      </x:c>
      <x:c r="D677" s="6" t="n">
        <x:f>B677^2+C677^2</x:f>
        <x:v>0.9838456436697283</x:v>
      </x:c>
      <x:c r="E677" s="5" t="n">
        <x:f>IF(D677&lt;=1,1,0)</x:f>
        <x:v>1</x:v>
      </x:c>
      <x:c r="F677" s="6" t="n">
        <x:f>4*SUM($E$9:E677)/A677</x:f>
        <x:v>3.0672645739910314</x:v>
      </x:c>
      <x:c r="G677" s="1"/>
      <x:c r="H677" s="1"/>
    </x:row>
    <x:row r="678" ht="22" customHeight="1">
      <x:c r="A678" s="1" t="n">
        <x:v>670</x:v>
      </x:c>
      <x:c r="B678" s="6" t="n">
        <x:f>RAND()</x:f>
        <x:v>0.41654231545728915</x:v>
      </x:c>
      <x:c r="C678" s="6" t="n">
        <x:f>RAND()</x:f>
        <x:v>0.46277950012674707</x:v>
      </x:c>
      <x:c r="D678" s="6" t="n">
        <x:f>B678^2+C678^2</x:f>
        <x:v>0.38767236630408164</x:v>
      </x:c>
      <x:c r="E678" s="5" t="n">
        <x:f>IF(D678&lt;=1,1,0)</x:f>
        <x:v>1</x:v>
      </x:c>
      <x:c r="F678" s="6" t="n">
        <x:f>4*SUM($E$9:E678)/A678</x:f>
        <x:v>3.0686567164179106</x:v>
      </x:c>
      <x:c r="G678" s="1"/>
      <x:c r="H678" s="1"/>
    </x:row>
    <x:row r="679" ht="22" customHeight="1">
      <x:c r="A679" s="1" t="n">
        <x:v>671</x:v>
      </x:c>
      <x:c r="B679" s="6" t="n">
        <x:f>RAND()</x:f>
        <x:v>0.6688629052962713</x:v>
      </x:c>
      <x:c r="C679" s="6" t="n">
        <x:f>RAND()</x:f>
        <x:v>0.5142895425273861</x:v>
      </x:c>
      <x:c r="D679" s="6" t="n">
        <x:f>B679^2+C679^2</x:f>
        <x:v>0.7118713196343969</x:v>
      </x:c>
      <x:c r="E679" s="5" t="n">
        <x:f>IF(D679&lt;=1,1,0)</x:f>
        <x:v>1</x:v>
      </x:c>
      <x:c r="F679" s="6" t="n">
        <x:f>4*SUM($E$9:E679)/A679</x:f>
        <x:v>3.070044709388972</x:v>
      </x:c>
      <x:c r="G679" s="1"/>
      <x:c r="H679" s="1"/>
    </x:row>
    <x:row r="680" ht="22" customHeight="1">
      <x:c r="A680" s="1" t="n">
        <x:v>672</x:v>
      </x:c>
      <x:c r="B680" s="6" t="n">
        <x:f>RAND()</x:f>
        <x:v>0.2438054191752569</x:v>
      </x:c>
      <x:c r="C680" s="6" t="n">
        <x:f>RAND()</x:f>
        <x:v>0.38890026430610014</x:v>
      </x:c>
      <x:c r="D680" s="6" t="n">
        <x:f>B680^2+C680^2</x:f>
        <x:v>0.21068449799657726</x:v>
      </x:c>
      <x:c r="E680" s="5" t="n">
        <x:f>IF(D680&lt;=1,1,0)</x:f>
        <x:v>1</x:v>
      </x:c>
      <x:c r="F680" s="6" t="n">
        <x:f>4*SUM($E$9:E680)/A680</x:f>
        <x:v>3.0714285714285716</x:v>
      </x:c>
      <x:c r="G680" s="1"/>
      <x:c r="H680" s="1"/>
    </x:row>
    <x:row r="681" ht="22" customHeight="1">
      <x:c r="A681" s="1" t="n">
        <x:v>673</x:v>
      </x:c>
      <x:c r="B681" s="6" t="n">
        <x:f>RAND()</x:f>
        <x:v>0.8030884938559975</x:v>
      </x:c>
      <x:c r="C681" s="6" t="n">
        <x:f>RAND()</x:f>
        <x:v>0.606584812195605</x:v>
      </x:c>
      <x:c r="D681" s="6" t="n">
        <x:f>B681^2+C681^2</x:f>
        <x:v>1.0128962633502718</x:v>
      </x:c>
      <x:c r="E681" s="5" t="n">
        <x:f>IF(D681&lt;=1,1,0)</x:f>
        <x:v>0</x:v>
      </x:c>
      <x:c r="F681" s="6" t="n">
        <x:f>4*SUM($E$9:E681)/A681</x:f>
        <x:v>3.0668647845468056</x:v>
      </x:c>
      <x:c r="G681" s="1"/>
      <x:c r="H681" s="1"/>
    </x:row>
    <x:row r="682" ht="22" customHeight="1">
      <x:c r="A682" s="1" t="n">
        <x:v>674</x:v>
      </x:c>
      <x:c r="B682" s="6" t="n">
        <x:f>RAND()</x:f>
        <x:v>0.6629455086821422</x:v>
      </x:c>
      <x:c r="C682" s="6" t="n">
        <x:f>RAND()</x:f>
        <x:v>0.7939395875444659</x:v>
      </x:c>
      <x:c r="D682" s="6" t="n">
        <x:f>B682^2+C682^2</x:f>
        <x:v>1.069836816152101</x:v>
      </x:c>
      <x:c r="E682" s="5" t="n">
        <x:f>IF(D682&lt;=1,1,0)</x:f>
        <x:v>0</x:v>
      </x:c>
      <x:c r="F682" s="6" t="n">
        <x:f>4*SUM($E$9:E682)/A682</x:f>
        <x:v>3.0623145400593472</x:v>
      </x:c>
      <x:c r="G682" s="1"/>
      <x:c r="H682" s="1"/>
    </x:row>
    <x:row r="683" ht="22" customHeight="1">
      <x:c r="A683" s="1" t="n">
        <x:v>675</x:v>
      </x:c>
      <x:c r="B683" s="6" t="n">
        <x:f>RAND()</x:f>
        <x:v>0.1336260143365704</x:v>
      </x:c>
      <x:c r="C683" s="6" t="n">
        <x:f>RAND()</x:f>
        <x:v>0.623324568660856</x:v>
      </x:c>
      <x:c r="D683" s="6" t="n">
        <x:f>B683^2+C683^2</x:f>
        <x:v>0.40638942960371943</x:v>
      </x:c>
      <x:c r="E683" s="5" t="n">
        <x:f>IF(D683&lt;=1,1,0)</x:f>
        <x:v>1</x:v>
      </x:c>
      <x:c r="F683" s="6" t="n">
        <x:f>4*SUM($E$9:E683)/A683</x:f>
        <x:v>3.0637037037037036</x:v>
      </x:c>
      <x:c r="G683" s="1"/>
      <x:c r="H683" s="1"/>
    </x:row>
    <x:row r="684" ht="22" customHeight="1">
      <x:c r="A684" s="1" t="n">
        <x:v>676</x:v>
      </x:c>
      <x:c r="B684" s="6" t="n">
        <x:f>RAND()</x:f>
        <x:v>0.6767025071228312</x:v>
      </x:c>
      <x:c r="C684" s="6" t="n">
        <x:f>RAND()</x:f>
        <x:v>0.19007861708580054</x:v>
      </x:c>
      <x:c r="D684" s="6" t="n">
        <x:f>B684^2+C684^2</x:f>
        <x:v>0.4940561638195758</x:v>
      </x:c>
      <x:c r="E684" s="5" t="n">
        <x:f>IF(D684&lt;=1,1,0)</x:f>
        <x:v>1</x:v>
      </x:c>
      <x:c r="F684" s="6" t="n">
        <x:f>4*SUM($E$9:E684)/A684</x:f>
        <x:v>3.06508875739645</x:v>
      </x:c>
      <x:c r="G684" s="1"/>
      <x:c r="H684" s="1"/>
    </x:row>
    <x:row r="685" ht="22" customHeight="1">
      <x:c r="A685" s="1" t="n">
        <x:v>677</x:v>
      </x:c>
      <x:c r="B685" s="6" t="n">
        <x:f>RAND()</x:f>
        <x:v>0.8980998361895307</x:v>
      </x:c>
      <x:c r="C685" s="6" t="n">
        <x:f>RAND()</x:f>
        <x:v>0.4772616249622046</x:v>
      </x:c>
      <x:c r="D685" s="6" t="n">
        <x:f>B685^2+C685^2</x:f>
        <x:v>1.034361974425226</x:v>
      </x:c>
      <x:c r="E685" s="5" t="n">
        <x:f>IF(D685&lt;=1,1,0)</x:f>
        <x:v>0</x:v>
      </x:c>
      <x:c r="F685" s="6" t="n">
        <x:f>4*SUM($E$9:E685)/A685</x:f>
        <x:v>3.0605612998522895</x:v>
      </x:c>
      <x:c r="G685" s="1"/>
      <x:c r="H685" s="1"/>
    </x:row>
    <x:row r="686" ht="22" customHeight="1">
      <x:c r="A686" s="1" t="n">
        <x:v>678</x:v>
      </x:c>
      <x:c r="B686" s="6" t="n">
        <x:f>RAND()</x:f>
        <x:v>0.3841931808824175</x:v>
      </x:c>
      <x:c r="C686" s="6" t="n">
        <x:f>RAND()</x:f>
        <x:v>0.4908013817958924</x:v>
      </x:c>
      <x:c r="D686" s="6" t="n">
        <x:f>B686^2+C686^2</x:f>
        <x:v>0.3884903966093073</x:v>
      </x:c>
      <x:c r="E686" s="5" t="n">
        <x:f>IF(D686&lt;=1,1,0)</x:f>
        <x:v>1</x:v>
      </x:c>
      <x:c r="F686" s="6" t="n">
        <x:f>4*SUM($E$9:E686)/A686</x:f>
        <x:v>3.061946902654867</x:v>
      </x:c>
      <x:c r="G686" s="1"/>
      <x:c r="H686" s="1"/>
    </x:row>
    <x:row r="687" ht="22" customHeight="1">
      <x:c r="A687" s="1" t="n">
        <x:v>679</x:v>
      </x:c>
      <x:c r="B687" s="6" t="n">
        <x:f>RAND()</x:f>
        <x:v>0.011657251519216816</x:v>
      </x:c>
      <x:c r="C687" s="6" t="n">
        <x:f>RAND()</x:f>
        <x:v>0.7998836876863764</x:v>
      </x:c>
      <x:c r="D687" s="6" t="n">
        <x:f>B687^2+C687^2</x:f>
        <x:v>0.6399498053397389</x:v>
      </x:c>
      <x:c r="E687" s="5" t="n">
        <x:f>IF(D687&lt;=1,1,0)</x:f>
        <x:v>1</x:v>
      </x:c>
      <x:c r="F687" s="6" t="n">
        <x:f>4*SUM($E$9:E687)/A687</x:f>
        <x:v>3.0633284241531666</x:v>
      </x:c>
      <x:c r="G687" s="1"/>
      <x:c r="H687" s="1"/>
    </x:row>
    <x:row r="688" ht="22" customHeight="1">
      <x:c r="A688" s="1" t="n">
        <x:v>680</x:v>
      </x:c>
      <x:c r="B688" s="6" t="n">
        <x:f>RAND()</x:f>
        <x:v>0.38946040605719046</x:v>
      </x:c>
      <x:c r="C688" s="6" t="n">
        <x:f>RAND()</x:f>
        <x:v>0.1615167501953596</x:v>
      </x:c>
      <x:c r="D688" s="6" t="n">
        <x:f>B688^2+C688^2</x:f>
        <x:v>0.17776706847990187</x:v>
      </x:c>
      <x:c r="E688" s="5" t="n">
        <x:f>IF(D688&lt;=1,1,0)</x:f>
        <x:v>1</x:v>
      </x:c>
      <x:c r="F688" s="6" t="n">
        <x:f>4*SUM($E$9:E688)/A688</x:f>
        <x:v>3.0647058823529414</x:v>
      </x:c>
      <x:c r="G688" s="1"/>
      <x:c r="H688" s="1"/>
    </x:row>
    <x:row r="689" ht="22" customHeight="1">
      <x:c r="A689" s="1" t="n">
        <x:v>681</x:v>
      </x:c>
      <x:c r="B689" s="6" t="n">
        <x:f>RAND()</x:f>
        <x:v>0.5209572133584479</x:v>
      </x:c>
      <x:c r="C689" s="6" t="n">
        <x:f>RAND()</x:f>
        <x:v>0.9640138572095811</x:v>
      </x:c>
      <x:c r="D689" s="6" t="n">
        <x:f>B689^2+C689^2</x:f>
        <x:v>1.200719135042294</x:v>
      </x:c>
      <x:c r="E689" s="5" t="n">
        <x:f>IF(D689&lt;=1,1,0)</x:f>
        <x:v>0</x:v>
      </x:c>
      <x:c r="F689" s="6" t="n">
        <x:f>4*SUM($E$9:E689)/A689</x:f>
        <x:v>3.0602055800293684</x:v>
      </x:c>
      <x:c r="G689" s="1"/>
      <x:c r="H689" s="1"/>
    </x:row>
    <x:row r="690" ht="22" customHeight="1">
      <x:c r="A690" s="1" t="n">
        <x:v>682</x:v>
      </x:c>
      <x:c r="B690" s="6" t="n">
        <x:f>RAND()</x:f>
        <x:v>0.8115460557558942</x:v>
      </x:c>
      <x:c r="C690" s="6" t="n">
        <x:f>RAND()</x:f>
        <x:v>0.5061373378171938</x:v>
      </x:c>
      <x:c r="D690" s="6" t="n">
        <x:f>B690^2+C690^2</x:f>
        <x:v>0.9147820053456251</x:v>
      </x:c>
      <x:c r="E690" s="5" t="n">
        <x:f>IF(D690&lt;=1,1,0)</x:f>
        <x:v>1</x:v>
      </x:c>
      <x:c r="F690" s="6" t="n">
        <x:f>4*SUM($E$9:E690)/A690</x:f>
        <x:v>3.06158357771261</x:v>
      </x:c>
      <x:c r="G690" s="1"/>
      <x:c r="H690" s="1"/>
    </x:row>
    <x:row r="691" ht="22" customHeight="1">
      <x:c r="A691" s="1" t="n">
        <x:v>683</x:v>
      </x:c>
      <x:c r="B691" s="6" t="n">
        <x:f>RAND()</x:f>
        <x:v>0.44067457249076003</x:v>
      </x:c>
      <x:c r="C691" s="6" t="n">
        <x:f>RAND()</x:f>
        <x:v>0.44409591003573246</x:v>
      </x:c>
      <x:c r="D691" s="6" t="n">
        <x:f>B691^2+C691^2</x:f>
        <x:v>0.39141525615037953</x:v>
      </x:c>
      <x:c r="E691" s="5" t="n">
        <x:f>IF(D691&lt;=1,1,0)</x:f>
        <x:v>1</x:v>
      </x:c>
      <x:c r="F691" s="6" t="n">
        <x:f>4*SUM($E$9:E691)/A691</x:f>
        <x:v>3.062957540263543</x:v>
      </x:c>
      <x:c r="G691" s="1"/>
      <x:c r="H691" s="1"/>
    </x:row>
    <x:row r="692" ht="22" customHeight="1">
      <x:c r="A692" s="1" t="n">
        <x:v>684</x:v>
      </x:c>
      <x:c r="B692" s="6" t="n">
        <x:f>RAND()</x:f>
        <x:v>0.29165009213077486</x:v>
      </x:c>
      <x:c r="C692" s="6" t="n">
        <x:f>RAND()</x:f>
        <x:v>0.5428833597755685</x:v>
      </x:c>
      <x:c r="D692" s="6" t="n">
        <x:f>B692^2+C692^2</x:f>
        <x:v>0.3797821185610988</x:v>
      </x:c>
      <x:c r="E692" s="5" t="n">
        <x:f>IF(D692&lt;=1,1,0)</x:f>
        <x:v>1</x:v>
      </x:c>
      <x:c r="F692" s="6" t="n">
        <x:f>4*SUM($E$9:E692)/A692</x:f>
        <x:v>3.064327485380117</x:v>
      </x:c>
      <x:c r="G692" s="1"/>
      <x:c r="H692" s="1"/>
    </x:row>
    <x:row r="693" ht="22" customHeight="1">
      <x:c r="A693" s="1" t="n">
        <x:v>685</x:v>
      </x:c>
      <x:c r="B693" s="6" t="n">
        <x:f>RAND()</x:f>
        <x:v>0.7340978960242313</x:v>
      </x:c>
      <x:c r="C693" s="6" t="n">
        <x:f>RAND()</x:f>
        <x:v>0.7734023280974671</x:v>
      </x:c>
      <x:c r="D693" s="6" t="n">
        <x:f>B693^2+C693^2</x:f>
        <x:v>1.1370508820537852</x:v>
      </x:c>
      <x:c r="E693" s="5" t="n">
        <x:f>IF(D693&lt;=1,1,0)</x:f>
        <x:v>0</x:v>
      </x:c>
      <x:c r="F693" s="6" t="n">
        <x:f>4*SUM($E$9:E693)/A693</x:f>
        <x:v>3.0598540145985402</x:v>
      </x:c>
      <x:c r="G693" s="1"/>
      <x:c r="H693" s="1"/>
    </x:row>
    <x:row r="694" ht="22" customHeight="1">
      <x:c r="A694" s="1" t="n">
        <x:v>686</x:v>
      </x:c>
      <x:c r="B694" s="6" t="n">
        <x:f>RAND()</x:f>
        <x:v>0.3907467248348131</x:v>
      </x:c>
      <x:c r="C694" s="6" t="n">
        <x:f>RAND()</x:f>
        <x:v>0.771176385027132</x:v>
      </x:c>
      <x:c r="D694" s="6" t="n">
        <x:f>B694^2+C694^2</x:f>
        <x:v>0.7473960197926486</x:v>
      </x:c>
      <x:c r="E694" s="5" t="n">
        <x:f>IF(D694&lt;=1,1,0)</x:f>
        <x:v>1</x:v>
      </x:c>
      <x:c r="F694" s="6" t="n">
        <x:f>4*SUM($E$9:E694)/A694</x:f>
        <x:v>3.061224489795918</x:v>
      </x:c>
      <x:c r="G694" s="1"/>
      <x:c r="H694" s="1"/>
    </x:row>
    <x:row r="695" ht="22" customHeight="1">
      <x:c r="A695" s="1" t="n">
        <x:v>687</x:v>
      </x:c>
      <x:c r="B695" s="6" t="n">
        <x:f>RAND()</x:f>
        <x:v>0.1724962653912412</x:v>
      </x:c>
      <x:c r="C695" s="6" t="n">
        <x:f>RAND()</x:f>
        <x:v>0.2864969522139391</x:v>
      </x:c>
      <x:c r="D695" s="6" t="n">
        <x:f>B695^2+C695^2</x:f>
        <x:v>0.11183546520180163</x:v>
      </x:c>
      <x:c r="E695" s="5" t="n">
        <x:f>IF(D695&lt;=1,1,0)</x:f>
        <x:v>1</x:v>
      </x:c>
      <x:c r="F695" s="6" t="n">
        <x:f>4*SUM($E$9:E695)/A695</x:f>
        <x:v>3.062590975254731</x:v>
      </x:c>
      <x:c r="G695" s="1"/>
      <x:c r="H695" s="1"/>
    </x:row>
    <x:row r="696" ht="22" customHeight="1">
      <x:c r="A696" s="1" t="n">
        <x:v>688</x:v>
      </x:c>
      <x:c r="B696" s="6" t="n">
        <x:f>RAND()</x:f>
        <x:v>0.551042426578115</x:v>
      </x:c>
      <x:c r="C696" s="6" t="n">
        <x:f>RAND()</x:f>
        <x:v>0.759688261074733</x:v>
      </x:c>
      <x:c r="D696" s="6" t="n">
        <x:f>B696^2+C696^2</x:f>
        <x:v>0.8807740099038488</x:v>
      </x:c>
      <x:c r="E696" s="5" t="n">
        <x:f>IF(D696&lt;=1,1,0)</x:f>
        <x:v>1</x:v>
      </x:c>
      <x:c r="F696" s="6" t="n">
        <x:f>4*SUM($E$9:E696)/A696</x:f>
        <x:v>3.063953488372093</x:v>
      </x:c>
      <x:c r="G696" s="1"/>
      <x:c r="H696" s="1"/>
    </x:row>
    <x:row r="697" ht="22" customHeight="1">
      <x:c r="A697" s="1" t="n">
        <x:v>689</x:v>
      </x:c>
      <x:c r="B697" s="6" t="n">
        <x:f>RAND()</x:f>
        <x:v>0.3939565623613962</x:v>
      </x:c>
      <x:c r="C697" s="6" t="n">
        <x:f>RAND()</x:f>
        <x:v>0.28514360560757834</x:v>
      </x:c>
      <x:c r="D697" s="6" t="n">
        <x:f>B697^2+C697^2</x:f>
        <x:v>0.23650864884649883</x:v>
      </x:c>
      <x:c r="E697" s="5" t="n">
        <x:f>IF(D697&lt;=1,1,0)</x:f>
        <x:v>1</x:v>
      </x:c>
      <x:c r="F697" s="6" t="n">
        <x:f>4*SUM($E$9:E697)/A697</x:f>
        <x:v>3.065312046444122</x:v>
      </x:c>
      <x:c r="G697" s="1"/>
      <x:c r="H697" s="1"/>
    </x:row>
    <x:row r="698" ht="22" customHeight="1">
      <x:c r="A698" s="1" t="n">
        <x:v>690</x:v>
      </x:c>
      <x:c r="B698" s="6" t="n">
        <x:f>RAND()</x:f>
        <x:v>0.3701009091956097</x:v>
      </x:c>
      <x:c r="C698" s="6" t="n">
        <x:f>RAND()</x:f>
        <x:v>0.9656842804813252</x:v>
      </x:c>
      <x:c r="D698" s="6" t="n">
        <x:f>B698^2+C698^2</x:f>
        <x:v>1.0695208125561515</x:v>
      </x:c>
      <x:c r="E698" s="5" t="n">
        <x:f>IF(D698&lt;=1,1,0)</x:f>
        <x:v>0</x:v>
      </x:c>
      <x:c r="F698" s="6" t="n">
        <x:f>4*SUM($E$9:E698)/A698</x:f>
        <x:v>3.0608695652173914</x:v>
      </x:c>
      <x:c r="G698" s="1"/>
      <x:c r="H698" s="1"/>
    </x:row>
    <x:row r="699" ht="22" customHeight="1">
      <x:c r="A699" s="1" t="n">
        <x:v>691</x:v>
      </x:c>
      <x:c r="B699" s="6" t="n">
        <x:f>RAND()</x:f>
        <x:v>0.5779402528320052</x:v>
      </x:c>
      <x:c r="C699" s="6" t="n">
        <x:f>RAND()</x:f>
        <x:v>0.9697467817560492</x:v>
      </x:c>
      <x:c r="D699" s="6" t="n">
        <x:f>B699^2+C699^2</x:f>
        <x:v>1.2744237565697367</x:v>
      </x:c>
      <x:c r="E699" s="5" t="n">
        <x:f>IF(D699&lt;=1,1,0)</x:f>
        <x:v>0</x:v>
      </x:c>
      <x:c r="F699" s="6" t="n">
        <x:f>4*SUM($E$9:E699)/A699</x:f>
        <x:v>3.05643994211288</x:v>
      </x:c>
      <x:c r="G699" s="1"/>
      <x:c r="H699" s="1"/>
    </x:row>
    <x:row r="700" ht="22" customHeight="1">
      <x:c r="A700" s="1" t="n">
        <x:v>692</x:v>
      </x:c>
      <x:c r="B700" s="6" t="n">
        <x:f>RAND()</x:f>
        <x:v>0.9120803488414969</x:v>
      </x:c>
      <x:c r="C700" s="6" t="n">
        <x:f>RAND()</x:f>
        <x:v>0.3245761702568054</x:v>
      </x:c>
      <x:c r="D700" s="6" t="n">
        <x:f>B700^2+C700^2</x:f>
        <x:v>0.9372402530414015</x:v>
      </x:c>
      <x:c r="E700" s="5" t="n">
        <x:f>IF(D700&lt;=1,1,0)</x:f>
        <x:v>1</x:v>
      </x:c>
      <x:c r="F700" s="6" t="n">
        <x:f>4*SUM($E$9:E700)/A700</x:f>
        <x:v>3.0578034682080926</x:v>
      </x:c>
      <x:c r="G700" s="1"/>
      <x:c r="H700" s="1"/>
    </x:row>
    <x:row r="701" ht="22" customHeight="1">
      <x:c r="A701" s="1" t="n">
        <x:v>693</x:v>
      </x:c>
      <x:c r="B701" s="6" t="n">
        <x:f>RAND()</x:f>
        <x:v>0.7850623664288624</x:v>
      </x:c>
      <x:c r="C701" s="6" t="n">
        <x:f>RAND()</x:f>
        <x:v>0.4258531289711718</x:v>
      </x:c>
      <x:c r="D701" s="6" t="n">
        <x:f>B701^2+C701^2</x:f>
        <x:v>0.7976738066374228</x:v>
      </x:c>
      <x:c r="E701" s="5" t="n">
        <x:f>IF(D701&lt;=1,1,0)</x:f>
        <x:v>1</x:v>
      </x:c>
      <x:c r="F701" s="6" t="n">
        <x:f>4*SUM($E$9:E701)/A701</x:f>
        <x:v>3.059163059163059</x:v>
      </x:c>
      <x:c r="G701" s="1"/>
      <x:c r="H701" s="1"/>
    </x:row>
    <x:row r="702" ht="22" customHeight="1">
      <x:c r="A702" s="1" t="n">
        <x:v>694</x:v>
      </x:c>
      <x:c r="B702" s="6" t="n">
        <x:f>RAND()</x:f>
        <x:v>0.6813763433957687</x:v>
      </x:c>
      <x:c r="C702" s="6" t="n">
        <x:f>RAND()</x:f>
        <x:v>0.26323574783067294</x:v>
      </x:c>
      <x:c r="D702" s="6" t="n">
        <x:f>B702^2+C702^2</x:f>
        <x:v>0.5335667802753621</x:v>
      </x:c>
      <x:c r="E702" s="5" t="n">
        <x:f>IF(D702&lt;=1,1,0)</x:f>
        <x:v>1</x:v>
      </x:c>
      <x:c r="F702" s="6" t="n">
        <x:f>4*SUM($E$9:E702)/A702</x:f>
        <x:v>3.0605187319884726</x:v>
      </x:c>
      <x:c r="G702" s="1"/>
      <x:c r="H702" s="1"/>
    </x:row>
    <x:row r="703" ht="22" customHeight="1">
      <x:c r="A703" s="1" t="n">
        <x:v>695</x:v>
      </x:c>
      <x:c r="B703" s="6" t="n">
        <x:f>RAND()</x:f>
        <x:v>0.9538611291164734</x:v>
      </x:c>
      <x:c r="C703" s="6" t="n">
        <x:f>RAND()</x:f>
        <x:v>0.6906316315838883</x:v>
      </x:c>
      <x:c r="D703" s="6" t="n">
        <x:f>B703^2+C703^2</x:f>
        <x:v>1.386823104183577</x:v>
      </x:c>
      <x:c r="E703" s="5" t="n">
        <x:f>IF(D703&lt;=1,1,0)</x:f>
        <x:v>0</x:v>
      </x:c>
      <x:c r="F703" s="6" t="n">
        <x:f>4*SUM($E$9:E703)/A703</x:f>
        <x:v>3.0561151079136692</x:v>
      </x:c>
      <x:c r="G703" s="1"/>
      <x:c r="H703" s="1"/>
    </x:row>
    <x:row r="704" ht="22" customHeight="1">
      <x:c r="A704" s="1" t="n">
        <x:v>696</x:v>
      </x:c>
      <x:c r="B704" s="6" t="n">
        <x:f>RAND()</x:f>
        <x:v>0.7586156757488665</x:v>
      </x:c>
      <x:c r="C704" s="6" t="n">
        <x:f>RAND()</x:f>
        <x:v>0.36964513936384036</x:v>
      </x:c>
      <x:c r="D704" s="6" t="n">
        <x:f>B704^2+C704^2</x:f>
        <x:v>0.7121352725472223</x:v>
      </x:c>
      <x:c r="E704" s="5" t="n">
        <x:f>IF(D704&lt;=1,1,0)</x:f>
        <x:v>1</x:v>
      </x:c>
      <x:c r="F704" s="6" t="n">
        <x:f>4*SUM($E$9:E704)/A704</x:f>
        <x:v>3.057471264367816</x:v>
      </x:c>
      <x:c r="G704" s="1"/>
      <x:c r="H704" s="1"/>
    </x:row>
    <x:row r="705" ht="22" customHeight="1">
      <x:c r="A705" s="1" t="n">
        <x:v>697</x:v>
      </x:c>
      <x:c r="B705" s="6" t="n">
        <x:f>RAND()</x:f>
        <x:v>0.6627564678193876</x:v>
      </x:c>
      <x:c r="C705" s="6" t="n">
        <x:f>RAND()</x:f>
        <x:v>0.6317412064868875</x:v>
      </x:c>
      <x:c r="D705" s="6" t="n">
        <x:f>B705^2+C705^2</x:f>
        <x:v>0.8383430876099391</x:v>
      </x:c>
      <x:c r="E705" s="5" t="n">
        <x:f>IF(D705&lt;=1,1,0)</x:f>
        <x:v>1</x:v>
      </x:c>
      <x:c r="F705" s="6" t="n">
        <x:f>4*SUM($E$9:E705)/A705</x:f>
        <x:v>3.0588235294117645</x:v>
      </x:c>
      <x:c r="G705" s="1"/>
      <x:c r="H705" s="1"/>
    </x:row>
    <x:row r="706" ht="22" customHeight="1">
      <x:c r="A706" s="1" t="n">
        <x:v>698</x:v>
      </x:c>
      <x:c r="B706" s="6" t="n">
        <x:f>RAND()</x:f>
        <x:v>0.17292370104244037</x:v>
      </x:c>
      <x:c r="C706" s="6" t="n">
        <x:f>RAND()</x:f>
        <x:v>0.899447491274307</x:v>
      </x:c>
      <x:c r="D706" s="6" t="n">
        <x:f>B706^2+C706^2</x:f>
        <x:v>0.83890839594186</x:v>
      </x:c>
      <x:c r="E706" s="5" t="n">
        <x:f>IF(D706&lt;=1,1,0)</x:f>
        <x:v>1</x:v>
      </x:c>
      <x:c r="F706" s="6" t="n">
        <x:f>4*SUM($E$9:E706)/A706</x:f>
        <x:v>3.0601719197707737</x:v>
      </x:c>
      <x:c r="G706" s="1"/>
      <x:c r="H706" s="1"/>
    </x:row>
    <x:row r="707" ht="22" customHeight="1">
      <x:c r="A707" s="1" t="n">
        <x:v>699</x:v>
      </x:c>
      <x:c r="B707" s="6" t="n">
        <x:f>RAND()</x:f>
        <x:v>0.5297371510427328</x:v>
      </x:c>
      <x:c r="C707" s="6" t="n">
        <x:f>RAND()</x:f>
        <x:v>0.17800632692348084</x:v>
      </x:c>
      <x:c r="D707" s="6" t="n">
        <x:f>B707^2+C707^2</x:f>
        <x:v>0.3123077016196602</x:v>
      </x:c>
      <x:c r="E707" s="5" t="n">
        <x:f>IF(D707&lt;=1,1,0)</x:f>
        <x:v>1</x:v>
      </x:c>
      <x:c r="F707" s="6" t="n">
        <x:f>4*SUM($E$9:E707)/A707</x:f>
        <x:v>3.061516452074392</x:v>
      </x:c>
      <x:c r="G707" s="1"/>
      <x:c r="H707" s="1"/>
    </x:row>
    <x:row r="708" ht="22" customHeight="1">
      <x:c r="A708" s="1" t="n">
        <x:v>700</x:v>
      </x:c>
      <x:c r="B708" s="6" t="n">
        <x:f>RAND()</x:f>
        <x:v>0.35368882889091624</x:v>
      </x:c>
      <x:c r="C708" s="6" t="n">
        <x:f>RAND()</x:f>
        <x:v>0.6862897689754797</x:v>
      </x:c>
      <x:c r="D708" s="6" t="n">
        <x:f>B708^2+C708^2</x:f>
        <x:v>0.5960894346826451</x:v>
      </x:c>
      <x:c r="E708" s="5" t="n">
        <x:f>IF(D708&lt;=1,1,0)</x:f>
        <x:v>1</x:v>
      </x:c>
      <x:c r="F708" s="6" t="n">
        <x:f>4*SUM($E$9:E708)/A708</x:f>
        <x:v>3.0628571428571427</x:v>
      </x:c>
      <x:c r="G708" s="1"/>
      <x:c r="H708" s="1"/>
    </x:row>
    <x:row r="709" ht="22" customHeight="1">
      <x:c r="A709" s="1" t="n">
        <x:v>701</x:v>
      </x:c>
      <x:c r="B709" s="6" t="n">
        <x:f>RAND()</x:f>
        <x:v>0.42752427993713005</x:v>
      </x:c>
      <x:c r="C709" s="6" t="n">
        <x:f>RAND()</x:f>
        <x:v>0.6990035102700254</x:v>
      </x:c>
      <x:c r="D709" s="6" t="n">
        <x:f>B709^2+C709^2</x:f>
        <x:v>0.671382917305579</x:v>
      </x:c>
      <x:c r="E709" s="5" t="n">
        <x:f>IF(D709&lt;=1,1,0)</x:f>
        <x:v>1</x:v>
      </x:c>
      <x:c r="F709" s="6" t="n">
        <x:f>4*SUM($E$9:E709)/A709</x:f>
        <x:v>3.064194008559201</x:v>
      </x:c>
      <x:c r="G709" s="1"/>
      <x:c r="H709" s="1"/>
    </x:row>
    <x:row r="710" ht="22" customHeight="1">
      <x:c r="A710" s="1" t="n">
        <x:v>702</x:v>
      </x:c>
      <x:c r="B710" s="6" t="n">
        <x:f>RAND()</x:f>
        <x:v>0.35881263220032056</x:v>
      </x:c>
      <x:c r="C710" s="6" t="n">
        <x:f>RAND()</x:f>
        <x:v>0.4536294476342442</x:v>
      </x:c>
      <x:c r="D710" s="6" t="n">
        <x:f>B710^2+C710^2</x:f>
        <x:v>0.334526180787472</x:v>
      </x:c>
      <x:c r="E710" s="5" t="n">
        <x:f>IF(D710&lt;=1,1,0)</x:f>
        <x:v>1</x:v>
      </x:c>
      <x:c r="F710" s="6" t="n">
        <x:f>4*SUM($E$9:E710)/A710</x:f>
        <x:v>3.0655270655270654</x:v>
      </x:c>
      <x:c r="G710" s="1"/>
      <x:c r="H710" s="1"/>
    </x:row>
    <x:row r="711" ht="22" customHeight="1">
      <x:c r="A711" s="1" t="n">
        <x:v>703</x:v>
      </x:c>
      <x:c r="B711" s="6" t="n">
        <x:f>RAND()</x:f>
        <x:v>0.8173146242074422</x:v>
      </x:c>
      <x:c r="C711" s="6" t="n">
        <x:f>RAND()</x:f>
        <x:v>0.04805310505604987</x:v>
      </x:c>
      <x:c r="D711" s="6" t="n">
        <x:f>B711^2+C711^2</x:f>
        <x:v>0.6703122958488801</x:v>
      </x:c>
      <x:c r="E711" s="5" t="n">
        <x:f>IF(D711&lt;=1,1,0)</x:f>
        <x:v>1</x:v>
      </x:c>
      <x:c r="F711" s="6" t="n">
        <x:f>4*SUM($E$9:E711)/A711</x:f>
        <x:v>3.066856330014225</x:v>
      </x:c>
      <x:c r="G711" s="1"/>
      <x:c r="H711" s="1"/>
    </x:row>
    <x:row r="712" ht="22" customHeight="1">
      <x:c r="A712" s="1" t="n">
        <x:v>704</x:v>
      </x:c>
      <x:c r="B712" s="6" t="n">
        <x:f>RAND()</x:f>
        <x:v>0.9076639661406495</x:v>
      </x:c>
      <x:c r="C712" s="6" t="n">
        <x:f>RAND()</x:f>
        <x:v>0.17341444290115215</x:v>
      </x:c>
      <x:c r="D712" s="6" t="n">
        <x:f>B712^2+C712^2</x:f>
        <x:v>0.853926444436891</x:v>
      </x:c>
      <x:c r="E712" s="5" t="n">
        <x:f>IF(D712&lt;=1,1,0)</x:f>
        <x:v>1</x:v>
      </x:c>
      <x:c r="F712" s="6" t="n">
        <x:f>4*SUM($E$9:E712)/A712</x:f>
        <x:v>3.0681818181818183</x:v>
      </x:c>
      <x:c r="G712" s="1"/>
      <x:c r="H712" s="1"/>
    </x:row>
    <x:row r="713" ht="22" customHeight="1">
      <x:c r="A713" s="1" t="n">
        <x:v>705</x:v>
      </x:c>
      <x:c r="B713" s="6" t="n">
        <x:f>RAND()</x:f>
        <x:v>0.805949454389747</x:v>
      </x:c>
      <x:c r="C713" s="6" t="n">
        <x:f>RAND()</x:f>
        <x:v>0.8279997342068327</x:v>
      </x:c>
      <x:c r="D713" s="6" t="n">
        <x:f>B713^2+C713^2</x:f>
        <x:v>1.3351380828777164</x:v>
      </x:c>
      <x:c r="E713" s="5" t="n">
        <x:f>IF(D713&lt;=1,1,0)</x:f>
        <x:v>0</x:v>
      </x:c>
      <x:c r="F713" s="6" t="n">
        <x:f>4*SUM($E$9:E713)/A713</x:f>
        <x:v>3.0638297872340425</x:v>
      </x:c>
      <x:c r="G713" s="1"/>
      <x:c r="H713" s="1"/>
    </x:row>
    <x:row r="714" ht="22" customHeight="1">
      <x:c r="A714" s="1" t="n">
        <x:v>706</x:v>
      </x:c>
      <x:c r="B714" s="6" t="n">
        <x:f>RAND()</x:f>
        <x:v>0.2903041057073653</x:v>
      </x:c>
      <x:c r="C714" s="6" t="n">
        <x:f>RAND()</x:f>
        <x:v>0.7462645949234048</x:v>
      </x:c>
      <x:c r="D714" s="6" t="n">
        <x:f>B714^2+C714^2</x:f>
        <x:v>0.6411873194267466</x:v>
      </x:c>
      <x:c r="E714" s="5" t="n">
        <x:f>IF(D714&lt;=1,1,0)</x:f>
        <x:v>1</x:v>
      </x:c>
      <x:c r="F714" s="6" t="n">
        <x:f>4*SUM($E$9:E714)/A714</x:f>
        <x:v>3.0651558073654392</x:v>
      </x:c>
      <x:c r="G714" s="1"/>
      <x:c r="H714" s="1"/>
    </x:row>
    <x:row r="715" ht="22" customHeight="1">
      <x:c r="A715" s="1" t="n">
        <x:v>707</x:v>
      </x:c>
      <x:c r="B715" s="6" t="n">
        <x:f>RAND()</x:f>
        <x:v>0.8199107818067699</x:v>
      </x:c>
      <x:c r="C715" s="6" t="n">
        <x:f>RAND()</x:f>
        <x:v>0.8602045415190398</x:v>
      </x:c>
      <x:c r="D715" s="6" t="n">
        <x:f>B715^2+C715^2</x:f>
        <x:v>1.41220554337297</x:v>
      </x:c>
      <x:c r="E715" s="5" t="n">
        <x:f>IF(D715&lt;=1,1,0)</x:f>
        <x:v>0</x:v>
      </x:c>
      <x:c r="F715" s="6" t="n">
        <x:f>4*SUM($E$9:E715)/A715</x:f>
        <x:v>3.060820367751061</x:v>
      </x:c>
      <x:c r="G715" s="1"/>
      <x:c r="H715" s="1"/>
    </x:row>
    <x:row r="716" ht="22" customHeight="1">
      <x:c r="A716" s="1" t="n">
        <x:v>708</x:v>
      </x:c>
      <x:c r="B716" s="6" t="n">
        <x:f>RAND()</x:f>
        <x:v>0.3762826237506911</x:v>
      </x:c>
      <x:c r="C716" s="6" t="n">
        <x:f>RAND()</x:f>
        <x:v>0.9159186287354915</x:v>
      </x:c>
      <x:c r="D716" s="6" t="n">
        <x:f>B716^2+C716^2</x:f>
        <x:v>0.9804955474014072</x:v>
      </x:c>
      <x:c r="E716" s="5" t="n">
        <x:f>IF(D716&lt;=1,1,0)</x:f>
        <x:v>1</x:v>
      </x:c>
      <x:c r="F716" s="6" t="n">
        <x:f>4*SUM($E$9:E716)/A716</x:f>
        <x:v>3.062146892655367</x:v>
      </x:c>
      <x:c r="G716" s="1"/>
      <x:c r="H716" s="1"/>
    </x:row>
    <x:row r="717" ht="22" customHeight="1">
      <x:c r="A717" s="1" t="n">
        <x:v>709</x:v>
      </x:c>
      <x:c r="B717" s="6" t="n">
        <x:f>RAND()</x:f>
        <x:v>0.05560857247054907</x:v>
      </x:c>
      <x:c r="C717" s="6" t="n">
        <x:f>RAND()</x:f>
        <x:v>0.9131008449575234</x:v>
      </x:c>
      <x:c r="D717" s="6" t="n">
        <x:f>B717^2+C717^2</x:f>
        <x:v>0.8368454663943555</x:v>
      </x:c>
      <x:c r="E717" s="5" t="n">
        <x:f>IF(D717&lt;=1,1,0)</x:f>
        <x:v>1</x:v>
      </x:c>
      <x:c r="F717" s="6" t="n">
        <x:f>4*SUM($E$9:E717)/A717</x:f>
        <x:v>3.063469675599436</x:v>
      </x:c>
      <x:c r="G717" s="1"/>
      <x:c r="H717" s="1"/>
    </x:row>
    <x:row r="718" ht="22" customHeight="1">
      <x:c r="A718" s="1" t="n">
        <x:v>710</x:v>
      </x:c>
      <x:c r="B718" s="6" t="n">
        <x:f>RAND()</x:f>
        <x:v>0.1767118921273525</x:v>
      </x:c>
      <x:c r="C718" s="6" t="n">
        <x:f>RAND()</x:f>
        <x:v>0.9404657130330176</x:v>
      </x:c>
      <x:c r="D718" s="6" t="n">
        <x:f>B718^2+C718^2</x:f>
        <x:v>0.9157028502099314</x:v>
      </x:c>
      <x:c r="E718" s="5" t="n">
        <x:f>IF(D718&lt;=1,1,0)</x:f>
        <x:v>1</x:v>
      </x:c>
      <x:c r="F718" s="6" t="n">
        <x:f>4*SUM($E$9:E718)/A718</x:f>
        <x:v>3.064788732394366</x:v>
      </x:c>
      <x:c r="G718" s="1"/>
      <x:c r="H718" s="1"/>
    </x:row>
    <x:row r="719" ht="22" customHeight="1">
      <x:c r="A719" s="1" t="n">
        <x:v>711</x:v>
      </x:c>
      <x:c r="B719" s="6" t="n">
        <x:f>RAND()</x:f>
        <x:v>0.22591947213201247</x:v>
      </x:c>
      <x:c r="C719" s="6" t="n">
        <x:f>RAND()</x:f>
        <x:v>0.8756292058367269</x:v>
      </x:c>
      <x:c r="D719" s="6" t="n">
        <x:f>B719^2+C719^2</x:f>
        <x:v>0.8177661140026641</x:v>
      </x:c>
      <x:c r="E719" s="5" t="n">
        <x:f>IF(D719&lt;=1,1,0)</x:f>
        <x:v>1</x:v>
      </x:c>
      <x:c r="F719" s="6" t="n">
        <x:f>4*SUM($E$9:E719)/A719</x:f>
        <x:v>3.0661040787623066</x:v>
      </x:c>
      <x:c r="G719" s="1"/>
      <x:c r="H719" s="1"/>
    </x:row>
    <x:row r="720" ht="22" customHeight="1">
      <x:c r="A720" s="1" t="n">
        <x:v>712</x:v>
      </x:c>
      <x:c r="B720" s="6" t="n">
        <x:f>RAND()</x:f>
        <x:v>0.9958601179755182</x:v>
      </x:c>
      <x:c r="C720" s="6" t="n">
        <x:f>RAND()</x:f>
        <x:v>0.013117647704823265</x:v>
      </x:c>
      <x:c r="D720" s="6" t="n">
        <x:f>B720^2+C720^2</x:f>
        <x:v>0.9919094472555209</x:v>
      </x:c>
      <x:c r="E720" s="5" t="n">
        <x:f>IF(D720&lt;=1,1,0)</x:f>
        <x:v>1</x:v>
      </x:c>
      <x:c r="F720" s="6" t="n">
        <x:f>4*SUM($E$9:E720)/A720</x:f>
        <x:v>3.067415730337079</x:v>
      </x:c>
      <x:c r="G720" s="1"/>
      <x:c r="H720" s="1"/>
    </x:row>
    <x:row r="721" ht="22" customHeight="1">
      <x:c r="A721" s="1" t="n">
        <x:v>713</x:v>
      </x:c>
      <x:c r="B721" s="6" t="n">
        <x:f>RAND()</x:f>
        <x:v>0.4330796190841506</x:v>
      </x:c>
      <x:c r="C721" s="6" t="n">
        <x:f>RAND()</x:f>
        <x:v>0.9270393256295368</x:v>
      </x:c>
      <x:c r="D721" s="6" t="n">
        <x:f>B721^2+C721^2</x:f>
        <x:v>1.0469598677297394</x:v>
      </x:c>
      <x:c r="E721" s="5" t="n">
        <x:f>IF(D721&lt;=1,1,0)</x:f>
        <x:v>0</x:v>
      </x:c>
      <x:c r="F721" s="6" t="n">
        <x:f>4*SUM($E$9:E721)/A721</x:f>
        <x:v>3.0631136044880787</x:v>
      </x:c>
      <x:c r="G721" s="1"/>
      <x:c r="H721" s="1"/>
    </x:row>
    <x:row r="722" ht="22" customHeight="1">
      <x:c r="A722" s="1" t="n">
        <x:v>714</x:v>
      </x:c>
      <x:c r="B722" s="6" t="n">
        <x:f>RAND()</x:f>
        <x:v>0.6311429897885639</x:v>
      </x:c>
      <x:c r="C722" s="6" t="n">
        <x:f>RAND()</x:f>
        <x:v>0.380018136245989</x:v>
      </x:c>
      <x:c r="D722" s="6" t="n">
        <x:f>B722^2+C722^2</x:f>
        <x:v>0.5427552574351223</x:v>
      </x:c>
      <x:c r="E722" s="5" t="n">
        <x:f>IF(D722&lt;=1,1,0)</x:f>
        <x:v>1</x:v>
      </x:c>
      <x:c r="F722" s="6" t="n">
        <x:f>4*SUM($E$9:E722)/A722</x:f>
        <x:v>3.0644257703081235</x:v>
      </x:c>
      <x:c r="G722" s="1"/>
      <x:c r="H722" s="1"/>
    </x:row>
    <x:row r="723" ht="22" customHeight="1">
      <x:c r="A723" s="1" t="n">
        <x:v>715</x:v>
      </x:c>
      <x:c r="B723" s="6" t="n">
        <x:f>RAND()</x:f>
        <x:v>0.5092677187739619</x:v>
      </x:c>
      <x:c r="C723" s="6" t="n">
        <x:f>RAND()</x:f>
        <x:v>0.7645518931937915</x:v>
      </x:c>
      <x:c r="D723" s="6" t="n">
        <x:f>B723^2+C723^2</x:f>
        <x:v>0.843893206771446</x:v>
      </x:c>
      <x:c r="E723" s="5" t="n">
        <x:f>IF(D723&lt;=1,1,0)</x:f>
        <x:v>1</x:v>
      </x:c>
      <x:c r="F723" s="6" t="n">
        <x:f>4*SUM($E$9:E723)/A723</x:f>
        <x:v>3.0657342657342657</x:v>
      </x:c>
      <x:c r="G723" s="1"/>
      <x:c r="H723" s="1"/>
    </x:row>
    <x:row r="724" ht="22" customHeight="1">
      <x:c r="A724" s="1" t="n">
        <x:v>716</x:v>
      </x:c>
      <x:c r="B724" s="6" t="n">
        <x:f>RAND()</x:f>
        <x:v>0.5687302129783777</x:v>
      </x:c>
      <x:c r="C724" s="6" t="n">
        <x:f>RAND()</x:f>
        <x:v>0.05961553630776295</x:v>
      </x:c>
      <x:c r="D724" s="6" t="n">
        <x:f>B724^2+C724^2</x:f>
        <x:v>0.32700806732369303</x:v>
      </x:c>
      <x:c r="E724" s="5" t="n">
        <x:f>IF(D724&lt;=1,1,0)</x:f>
        <x:v>1</x:v>
      </x:c>
      <x:c r="F724" s="6" t="n">
        <x:f>4*SUM($E$9:E724)/A724</x:f>
        <x:v>3.0670391061452515</x:v>
      </x:c>
      <x:c r="G724" s="1"/>
      <x:c r="H724" s="1"/>
    </x:row>
    <x:row r="725" ht="22" customHeight="1">
      <x:c r="A725" s="1" t="n">
        <x:v>717</x:v>
      </x:c>
      <x:c r="B725" s="6" t="n">
        <x:f>RAND()</x:f>
        <x:v>0.7241529411274017</x:v>
      </x:c>
      <x:c r="C725" s="6" t="n">
        <x:f>RAND()</x:f>
        <x:v>0.41929767907945203</x:v>
      </x:c>
      <x:c r="D725" s="6" t="n">
        <x:f>B725^2+C725^2</x:f>
        <x:v>0.7002080258248813</x:v>
      </x:c>
      <x:c r="E725" s="5" t="n">
        <x:f>IF(D725&lt;=1,1,0)</x:f>
        <x:v>1</x:v>
      </x:c>
      <x:c r="F725" s="6" t="n">
        <x:f>4*SUM($E$9:E725)/A725</x:f>
        <x:v>3.0683403068340307</x:v>
      </x:c>
      <x:c r="G725" s="1"/>
      <x:c r="H725" s="1"/>
    </x:row>
    <x:row r="726" ht="22" customHeight="1">
      <x:c r="A726" s="1" t="n">
        <x:v>718</x:v>
      </x:c>
      <x:c r="B726" s="6" t="n">
        <x:f>RAND()</x:f>
        <x:v>0.2885547410329661</x:v>
      </x:c>
      <x:c r="C726" s="6" t="n">
        <x:f>RAND()</x:f>
        <x:v>0.9670584002026064</x:v>
      </x:c>
      <x:c r="D726" s="6" t="n">
        <x:f>B726^2+C726^2</x:f>
        <x:v>1.0184657879750265</x:v>
      </x:c>
      <x:c r="E726" s="5" t="n">
        <x:f>IF(D726&lt;=1,1,0)</x:f>
        <x:v>0</x:v>
      </x:c>
      <x:c r="F726" s="6" t="n">
        <x:f>4*SUM($E$9:E726)/A726</x:f>
        <x:v>3.064066852367688</x:v>
      </x:c>
      <x:c r="G726" s="1"/>
      <x:c r="H726" s="1"/>
    </x:row>
    <x:row r="727" ht="22" customHeight="1">
      <x:c r="A727" s="1" t="n">
        <x:v>719</x:v>
      </x:c>
      <x:c r="B727" s="6" t="n">
        <x:f>RAND()</x:f>
        <x:v>0.38614354868610856</x:v>
      </x:c>
      <x:c r="C727" s="6" t="n">
        <x:f>RAND()</x:f>
        <x:v>0.9753124028888355</x:v>
      </x:c>
      <x:c r="D727" s="6" t="n">
        <x:f>B727^2+C727^2</x:f>
        <x:v>1.1003411234206952</x:v>
      </x:c>
      <x:c r="E727" s="5" t="n">
        <x:f>IF(D727&lt;=1,1,0)</x:f>
        <x:v>0</x:v>
      </x:c>
      <x:c r="F727" s="6" t="n">
        <x:f>4*SUM($E$9:E727)/A727</x:f>
        <x:v>3.0598052851182196</x:v>
      </x:c>
      <x:c r="G727" s="1"/>
      <x:c r="H727" s="1"/>
    </x:row>
    <x:row r="728" ht="22" customHeight="1">
      <x:c r="A728" s="1" t="n">
        <x:v>720</x:v>
      </x:c>
      <x:c r="B728" s="6" t="n">
        <x:f>RAND()</x:f>
        <x:v>0.4385962389419915</x:v>
      </x:c>
      <x:c r="C728" s="6" t="n">
        <x:f>RAND()</x:f>
        <x:v>0.28964147148588193</x:v>
      </x:c>
      <x:c r="D728" s="6" t="n">
        <x:f>B728^2+C728^2</x:f>
        <x:v>0.2762588428185675</x:v>
      </x:c>
      <x:c r="E728" s="5" t="n">
        <x:f>IF(D728&lt;=1,1,0)</x:f>
        <x:v>1</x:v>
      </x:c>
      <x:c r="F728" s="6" t="n">
        <x:f>4*SUM($E$9:E728)/A728</x:f>
        <x:v>3.061111111111111</x:v>
      </x:c>
      <x:c r="G728" s="1"/>
      <x:c r="H728" s="1"/>
    </x:row>
    <x:row r="729" ht="22" customHeight="1">
      <x:c r="A729" s="1" t="n">
        <x:v>721</x:v>
      </x:c>
      <x:c r="B729" s="6" t="n">
        <x:f>RAND()</x:f>
        <x:v>0.4974925840389799</x:v>
      </x:c>
      <x:c r="C729" s="6" t="n">
        <x:f>RAND()</x:f>
        <x:v>0.26938241046532097</x:v>
      </x:c>
      <x:c r="D729" s="6" t="n">
        <x:f>B729^2+C729^2</x:f>
        <x:v>0.32006575424188816</x:v>
      </x:c>
      <x:c r="E729" s="5" t="n">
        <x:f>IF(D729&lt;=1,1,0)</x:f>
        <x:v>1</x:v>
      </x:c>
      <x:c r="F729" s="6" t="n">
        <x:f>4*SUM($E$9:E729)/A729</x:f>
        <x:v>3.0624133148404993</x:v>
      </x:c>
      <x:c r="G729" s="1"/>
      <x:c r="H729" s="1"/>
    </x:row>
    <x:row r="730" ht="22" customHeight="1">
      <x:c r="A730" s="1" t="n">
        <x:v>722</x:v>
      </x:c>
      <x:c r="B730" s="6" t="n">
        <x:f>RAND()</x:f>
        <x:v>0.542656742629353</x:v>
      </x:c>
      <x:c r="C730" s="6" t="n">
        <x:f>RAND()</x:f>
        <x:v>0.2122606003165498</x:v>
      </x:c>
      <x:c r="D730" s="6" t="n">
        <x:f>B730^2+C730^2</x:f>
        <x:v>0.33953090276784204</x:v>
      </x:c>
      <x:c r="E730" s="5" t="n">
        <x:f>IF(D730&lt;=1,1,0)</x:f>
        <x:v>1</x:v>
      </x:c>
      <x:c r="F730" s="6" t="n">
        <x:f>4*SUM($E$9:E730)/A730</x:f>
        <x:v>3.063711911357341</x:v>
      </x:c>
      <x:c r="G730" s="1"/>
      <x:c r="H730" s="1"/>
    </x:row>
    <x:row r="731" ht="22" customHeight="1">
      <x:c r="A731" s="1" t="n">
        <x:v>723</x:v>
      </x:c>
      <x:c r="B731" s="6" t="n">
        <x:f>RAND()</x:f>
        <x:v>0.4220716732989258</x:v>
      </x:c>
      <x:c r="C731" s="6" t="n">
        <x:f>RAND()</x:f>
        <x:v>0.2041527545536732</x:v>
      </x:c>
      <x:c r="D731" s="6" t="n">
        <x:f>B731^2+C731^2</x:f>
        <x:v>0.2198228445932075</x:v>
      </x:c>
      <x:c r="E731" s="5" t="n">
        <x:f>IF(D731&lt;=1,1,0)</x:f>
        <x:v>1</x:v>
      </x:c>
      <x:c r="F731" s="6" t="n">
        <x:f>4*SUM($E$9:E731)/A731</x:f>
        <x:v>3.0650069156293225</x:v>
      </x:c>
      <x:c r="G731" s="1"/>
      <x:c r="H731" s="1"/>
    </x:row>
    <x:row r="732" ht="22" customHeight="1">
      <x:c r="A732" s="1" t="n">
        <x:v>724</x:v>
      </x:c>
      <x:c r="B732" s="6" t="n">
        <x:f>RAND()</x:f>
        <x:v>0.7616662507409329</x:v>
      </x:c>
      <x:c r="C732" s="6" t="n">
        <x:f>RAND()</x:f>
        <x:v>0.4296744592730568</x:v>
      </x:c>
      <x:c r="D732" s="6" t="n">
        <x:f>B732^2+C732^2</x:f>
        <x:v>0.7647556184693434</x:v>
      </x:c>
      <x:c r="E732" s="5" t="n">
        <x:f>IF(D732&lt;=1,1,0)</x:f>
        <x:v>1</x:v>
      </x:c>
      <x:c r="F732" s="6" t="n">
        <x:f>4*SUM($E$9:E732)/A732</x:f>
        <x:v>3.0662983425414363</x:v>
      </x:c>
      <x:c r="G732" s="1"/>
      <x:c r="H732" s="1"/>
    </x:row>
    <x:row r="733" ht="22" customHeight="1">
      <x:c r="A733" s="1" t="n">
        <x:v>725</x:v>
      </x:c>
      <x:c r="B733" s="6" t="n">
        <x:f>RAND()</x:f>
        <x:v>0.9578274908559704</x:v>
      </x:c>
      <x:c r="C733" s="6" t="n">
        <x:f>RAND()</x:f>
        <x:v>0.5639216939860872</x:v>
      </x:c>
      <x:c r="D733" s="6" t="n">
        <x:f>B733^2+C733^2</x:f>
        <x:v>1.2354411791875823</x:v>
      </x:c>
      <x:c r="E733" s="5" t="n">
        <x:f>IF(D733&lt;=1,1,0)</x:f>
        <x:v>0</x:v>
      </x:c>
      <x:c r="F733" s="6" t="n">
        <x:f>4*SUM($E$9:E733)/A733</x:f>
        <x:v>3.0620689655172413</x:v>
      </x:c>
      <x:c r="G733" s="1"/>
      <x:c r="H733" s="1"/>
    </x:row>
    <x:row r="734" ht="22" customHeight="1">
      <x:c r="A734" s="1" t="n">
        <x:v>726</x:v>
      </x:c>
      <x:c r="B734" s="6" t="n">
        <x:f>RAND()</x:f>
        <x:v>0.4532985768206578</x:v>
      </x:c>
      <x:c r="C734" s="6" t="n">
        <x:f>RAND()</x:f>
        <x:v>0.7037225144178382</x:v>
      </x:c>
      <x:c r="D734" s="6" t="n">
        <x:f>B734^2+C734^2</x:f>
        <x:v>0.7007049770461983</x:v>
      </x:c>
      <x:c r="E734" s="5" t="n">
        <x:f>IF(D734&lt;=1,1,0)</x:f>
        <x:v>1</x:v>
      </x:c>
      <x:c r="F734" s="6" t="n">
        <x:f>4*SUM($E$9:E734)/A734</x:f>
        <x:v>3.0633608815426996</x:v>
      </x:c>
      <x:c r="G734" s="1"/>
      <x:c r="H734" s="1"/>
    </x:row>
    <x:row r="735" ht="22" customHeight="1">
      <x:c r="A735" s="1" t="n">
        <x:v>727</x:v>
      </x:c>
      <x:c r="B735" s="6" t="n">
        <x:f>RAND()</x:f>
        <x:v>0.40947564365215716</x:v>
      </x:c>
      <x:c r="C735" s="6" t="n">
        <x:f>RAND()</x:f>
        <x:v>0.752608312466376</x:v>
      </x:c>
      <x:c r="D735" s="6" t="n">
        <x:f>B735^2+C735^2</x:f>
        <x:v>0.7340895747378346</x:v>
      </x:c>
      <x:c r="E735" s="5" t="n">
        <x:f>IF(D735&lt;=1,1,0)</x:f>
        <x:v>1</x:v>
      </x:c>
      <x:c r="F735" s="6" t="n">
        <x:f>4*SUM($E$9:E735)/A735</x:f>
        <x:v>3.0646492434662997</x:v>
      </x:c>
      <x:c r="G735" s="1"/>
      <x:c r="H735" s="1"/>
    </x:row>
    <x:row r="736" ht="22" customHeight="1">
      <x:c r="A736" s="1" t="n">
        <x:v>728</x:v>
      </x:c>
      <x:c r="B736" s="6" t="n">
        <x:f>RAND()</x:f>
        <x:v>0.5339369926547956</x:v>
      </x:c>
      <x:c r="C736" s="6" t="n">
        <x:f>RAND()</x:f>
        <x:v>0.4276361639556122</x:v>
      </x:c>
      <x:c r="D736" s="6" t="n">
        <x:f>B736^2+C736^2</x:f>
        <x:v>0.4679614008479185</x:v>
      </x:c>
      <x:c r="E736" s="5" t="n">
        <x:f>IF(D736&lt;=1,1,0)</x:f>
        <x:v>1</x:v>
      </x:c>
      <x:c r="F736" s="6" t="n">
        <x:f>4*SUM($E$9:E736)/A736</x:f>
        <x:v>3.065934065934066</x:v>
      </x:c>
      <x:c r="G736" s="1"/>
      <x:c r="H736" s="1"/>
    </x:row>
    <x:row r="737" ht="22" customHeight="1">
      <x:c r="A737" s="1" t="n">
        <x:v>729</x:v>
      </x:c>
      <x:c r="B737" s="6" t="n">
        <x:f>RAND()</x:f>
        <x:v>0.5996122938991707</x:v>
      </x:c>
      <x:c r="C737" s="6" t="n">
        <x:f>RAND()</x:f>
        <x:v>0.611174632118791</x:v>
      </x:c>
      <x:c r="D737" s="6" t="n">
        <x:f>B737^2+C737^2</x:f>
        <x:v>0.733069333940565</x:v>
      </x:c>
      <x:c r="E737" s="5" t="n">
        <x:f>IF(D737&lt;=1,1,0)</x:f>
        <x:v>1</x:v>
      </x:c>
      <x:c r="F737" s="6" t="n">
        <x:f>4*SUM($E$9:E737)/A737</x:f>
        <x:v>3.06721536351166</x:v>
      </x:c>
      <x:c r="G737" s="1"/>
      <x:c r="H737" s="1"/>
    </x:row>
    <x:row r="738" ht="22" customHeight="1">
      <x:c r="A738" s="1" t="n">
        <x:v>730</x:v>
      </x:c>
      <x:c r="B738" s="6" t="n">
        <x:f>RAND()</x:f>
        <x:v>0.9021855457692936</x:v>
      </x:c>
      <x:c r="C738" s="6" t="n">
        <x:f>RAND()</x:f>
        <x:v>0.023613630117144013</x:v>
      </x:c>
      <x:c r="D738" s="6" t="n">
        <x:f>B738^2+C738^2</x:f>
        <x:v>0.8144963625223474</x:v>
      </x:c>
      <x:c r="E738" s="5" t="n">
        <x:f>IF(D738&lt;=1,1,0)</x:f>
        <x:v>1</x:v>
      </x:c>
      <x:c r="F738" s="6" t="n">
        <x:f>4*SUM($E$9:E738)/A738</x:f>
        <x:v>3.0684931506849313</x:v>
      </x:c>
      <x:c r="G738" s="1"/>
      <x:c r="H738" s="1"/>
    </x:row>
    <x:row r="739" ht="22" customHeight="1">
      <x:c r="A739" s="1" t="n">
        <x:v>731</x:v>
      </x:c>
      <x:c r="B739" s="6" t="n">
        <x:f>RAND()</x:f>
        <x:v>0.0400962730598492</x:v>
      </x:c>
      <x:c r="C739" s="6" t="n">
        <x:f>RAND()</x:f>
        <x:v>0.16166712584384335</x:v>
      </x:c>
      <x:c r="D739" s="6" t="n">
        <x:f>B739^2+C739^2</x:f>
        <x:v>0.027743970691899073</x:v>
      </x:c>
      <x:c r="E739" s="5" t="n">
        <x:f>IF(D739&lt;=1,1,0)</x:f>
        <x:v>1</x:v>
      </x:c>
      <x:c r="F739" s="6" t="n">
        <x:f>4*SUM($E$9:E739)/A739</x:f>
        <x:v>3.0697674418604652</x:v>
      </x:c>
      <x:c r="G739" s="1"/>
      <x:c r="H739" s="1"/>
    </x:row>
    <x:row r="740" ht="22" customHeight="1">
      <x:c r="A740" s="1" t="n">
        <x:v>732</x:v>
      </x:c>
      <x:c r="B740" s="6" t="n">
        <x:f>RAND()</x:f>
        <x:v>0.16847372427891172</x:v>
      </x:c>
      <x:c r="C740" s="6" t="n">
        <x:f>RAND()</x:f>
        <x:v>0.6376556910099267</x:v>
      </x:c>
      <x:c r="D740" s="6" t="n">
        <x:f>B740^2+C740^2</x:f>
        <x:v>0.43498817604975387</x:v>
      </x:c>
      <x:c r="E740" s="5" t="n">
        <x:f>IF(D740&lt;=1,1,0)</x:f>
        <x:v>1</x:v>
      </x:c>
      <x:c r="F740" s="6" t="n">
        <x:f>4*SUM($E$9:E740)/A740</x:f>
        <x:v>3.07103825136612</x:v>
      </x:c>
      <x:c r="G740" s="1"/>
      <x:c r="H740" s="1"/>
    </x:row>
    <x:row r="741" ht="22" customHeight="1">
      <x:c r="A741" s="1" t="n">
        <x:v>733</x:v>
      </x:c>
      <x:c r="B741" s="6" t="n">
        <x:f>RAND()</x:f>
        <x:v>0.8161164936340822</x:v>
      </x:c>
      <x:c r="C741" s="6" t="n">
        <x:f>RAND()</x:f>
        <x:v>0.33253027821939707</x:v>
      </x:c>
      <x:c r="D741" s="6" t="n">
        <x:f>B741^2+C741^2</x:f>
        <x:v>0.7766225171142586</x:v>
      </x:c>
      <x:c r="E741" s="5" t="n">
        <x:f>IF(D741&lt;=1,1,0)</x:f>
        <x:v>1</x:v>
      </x:c>
      <x:c r="F741" s="6" t="n">
        <x:f>4*SUM($E$9:E741)/A741</x:f>
        <x:v>3.072305593451569</x:v>
      </x:c>
      <x:c r="G741" s="1"/>
      <x:c r="H741" s="1"/>
    </x:row>
    <x:row r="742" ht="22" customHeight="1">
      <x:c r="A742" s="1" t="n">
        <x:v>734</x:v>
      </x:c>
      <x:c r="B742" s="6" t="n">
        <x:f>RAND()</x:f>
        <x:v>0.8883162022780535</x:v>
      </x:c>
      <x:c r="C742" s="6" t="n">
        <x:f>RAND()</x:f>
        <x:v>0.6852609036234133</x:v>
      </x:c>
      <x:c r="D742" s="6" t="n">
        <x:f>B742^2+C742^2</x:f>
        <x:v>1.2586881812644806</x:v>
      </x:c>
      <x:c r="E742" s="5" t="n">
        <x:f>IF(D742&lt;=1,1,0)</x:f>
        <x:v>0</x:v>
      </x:c>
      <x:c r="F742" s="6" t="n">
        <x:f>4*SUM($E$9:E742)/A742</x:f>
        <x:v>3.068119891008174</x:v>
      </x:c>
      <x:c r="G742" s="1"/>
      <x:c r="H742" s="1"/>
    </x:row>
    <x:row r="743" ht="22" customHeight="1">
      <x:c r="A743" s="1" t="n">
        <x:v>735</x:v>
      </x:c>
      <x:c r="B743" s="6" t="n">
        <x:f>RAND()</x:f>
        <x:v>0.4550676608824108</x:v>
      </x:c>
      <x:c r="C743" s="6" t="n">
        <x:f>RAND()</x:f>
        <x:v>0.37834510010957434</x:v>
      </x:c>
      <x:c r="D743" s="6" t="n">
        <x:f>B743^2+C743^2</x:f>
        <x:v>0.35023159075791266</x:v>
      </x:c>
      <x:c r="E743" s="5" t="n">
        <x:f>IF(D743&lt;=1,1,0)</x:f>
        <x:v>1</x:v>
      </x:c>
      <x:c r="F743" s="6" t="n">
        <x:f>4*SUM($E$9:E743)/A743</x:f>
        <x:v>3.0693877551020408</x:v>
      </x:c>
      <x:c r="G743" s="1"/>
      <x:c r="H743" s="1"/>
    </x:row>
    <x:row r="744" ht="22" customHeight="1">
      <x:c r="A744" s="1" t="n">
        <x:v>736</x:v>
      </x:c>
      <x:c r="B744" s="6" t="n">
        <x:f>RAND()</x:f>
        <x:v>0.5413220665367819</x:v>
      </x:c>
      <x:c r="C744" s="6" t="n">
        <x:f>RAND()</x:f>
        <x:v>0.6622653323090744</x:v>
      </x:c>
      <x:c r="D744" s="6" t="n">
        <x:f>B744^2+C744^2</x:f>
        <x:v>0.7316249500981009</x:v>
      </x:c>
      <x:c r="E744" s="5" t="n">
        <x:f>IF(D744&lt;=1,1,0)</x:f>
        <x:v>1</x:v>
      </x:c>
      <x:c r="F744" s="6" t="n">
        <x:f>4*SUM($E$9:E744)/A744</x:f>
        <x:v>3.0706521739130435</x:v>
      </x:c>
      <x:c r="G744" s="1"/>
      <x:c r="H744" s="1"/>
    </x:row>
    <x:row r="745" ht="22" customHeight="1">
      <x:c r="A745" s="1" t="n">
        <x:v>737</x:v>
      </x:c>
      <x:c r="B745" s="6" t="n">
        <x:f>RAND()</x:f>
        <x:v>0.6670023844900971</x:v>
      </x:c>
      <x:c r="C745" s="6" t="n">
        <x:f>RAND()</x:f>
        <x:v>0.6421236578183122</x:v>
      </x:c>
      <x:c r="D745" s="6" t="n">
        <x:f>B745^2+C745^2</x:f>
        <x:v>0.8572149728454441</x:v>
      </x:c>
      <x:c r="E745" s="5" t="n">
        <x:f>IF(D745&lt;=1,1,0)</x:f>
        <x:v>1</x:v>
      </x:c>
      <x:c r="F745" s="6" t="n">
        <x:f>4*SUM($E$9:E745)/A745</x:f>
        <x:v>3.0719131614654</x:v>
      </x:c>
      <x:c r="G745" s="1"/>
      <x:c r="H745" s="1"/>
    </x:row>
    <x:row r="746" ht="22" customHeight="1">
      <x:c r="A746" s="1" t="n">
        <x:v>738</x:v>
      </x:c>
      <x:c r="B746" s="6" t="n">
        <x:f>RAND()</x:f>
        <x:v>0.45285647981835</x:v>
      </x:c>
      <x:c r="C746" s="6" t="n">
        <x:f>RAND()</x:f>
        <x:v>0.06126342347636082</x:v>
      </x:c>
      <x:c r="D746" s="6" t="n">
        <x:f>B746^2+C746^2</x:f>
        <x:v>0.20883219836951156</x:v>
      </x:c>
      <x:c r="E746" s="5" t="n">
        <x:f>IF(D746&lt;=1,1,0)</x:f>
        <x:v>1</x:v>
      </x:c>
      <x:c r="F746" s="6" t="n">
        <x:f>4*SUM($E$9:E746)/A746</x:f>
        <x:v>3.073170731707317</x:v>
      </x:c>
      <x:c r="G746" s="1"/>
      <x:c r="H746" s="1"/>
    </x:row>
    <x:row r="747" ht="22" customHeight="1">
      <x:c r="A747" s="1" t="n">
        <x:v>739</x:v>
      </x:c>
      <x:c r="B747" s="6" t="n">
        <x:f>RAND()</x:f>
        <x:v>0.7479912951766247</x:v>
      </x:c>
      <x:c r="C747" s="6" t="n">
        <x:f>RAND()</x:f>
        <x:v>0.7316184097902464</x:v>
      </x:c>
      <x:c r="D747" s="6" t="n">
        <x:f>B747^2+C747^2</x:f>
        <x:v>1.0947564752040133</x:v>
      </x:c>
      <x:c r="E747" s="5" t="n">
        <x:f>IF(D747&lt;=1,1,0)</x:f>
        <x:v>0</x:v>
      </x:c>
      <x:c r="F747" s="6" t="n">
        <x:f>4*SUM($E$9:E747)/A747</x:f>
        <x:v>3.0690121786197566</x:v>
      </x:c>
      <x:c r="G747" s="1"/>
      <x:c r="H747" s="1"/>
    </x:row>
    <x:row r="748" ht="22" customHeight="1">
      <x:c r="A748" s="1" t="n">
        <x:v>740</x:v>
      </x:c>
      <x:c r="B748" s="6" t="n">
        <x:f>RAND()</x:f>
        <x:v>0.5626084302495723</x:v>
      </x:c>
      <x:c r="C748" s="6" t="n">
        <x:f>RAND()</x:f>
        <x:v>0.11574449712720147</x:v>
      </x:c>
      <x:c r="D748" s="6" t="n">
        <x:f>B748^2+C748^2</x:f>
        <x:v>0.3299250344031166</x:v>
      </x:c>
      <x:c r="E748" s="5" t="n">
        <x:f>IF(D748&lt;=1,1,0)</x:f>
        <x:v>1</x:v>
      </x:c>
      <x:c r="F748" s="6" t="n">
        <x:f>4*SUM($E$9:E748)/A748</x:f>
        <x:v>3.0702702702702704</x:v>
      </x:c>
      <x:c r="G748" s="1"/>
      <x:c r="H748" s="1"/>
    </x:row>
    <x:row r="749" ht="22" customHeight="1">
      <x:c r="A749" s="1" t="n">
        <x:v>741</x:v>
      </x:c>
      <x:c r="B749" s="6" t="n">
        <x:f>RAND()</x:f>
        <x:v>0.7052169112415347</x:v>
      </x:c>
      <x:c r="C749" s="6" t="n">
        <x:f>RAND()</x:f>
        <x:v>0.1959721571822226</x:v>
      </x:c>
      <x:c r="D749" s="6" t="n">
        <x:f>B749^2+C749^2</x:f>
        <x:v>0.5357359782917044</x:v>
      </x:c>
      <x:c r="E749" s="5" t="n">
        <x:f>IF(D749&lt;=1,1,0)</x:f>
        <x:v>1</x:v>
      </x:c>
      <x:c r="F749" s="6" t="n">
        <x:f>4*SUM($E$9:E749)/A749</x:f>
        <x:v>3.0715249662618085</x:v>
      </x:c>
      <x:c r="G749" s="1"/>
      <x:c r="H749" s="1"/>
    </x:row>
    <x:row r="750" ht="22" customHeight="1">
      <x:c r="A750" s="1" t="n">
        <x:v>742</x:v>
      </x:c>
      <x:c r="B750" s="6" t="n">
        <x:f>RAND()</x:f>
        <x:v>0.23812791441664716</x:v>
      </x:c>
      <x:c r="C750" s="6" t="n">
        <x:f>RAND()</x:f>
        <x:v>0.5329086215687949</x:v>
      </x:c>
      <x:c r="D750" s="6" t="n">
        <x:f>B750^2+C750^2</x:f>
        <x:v>0.34069650256677514</x:v>
      </x:c>
      <x:c r="E750" s="5" t="n">
        <x:f>IF(D750&lt;=1,1,0)</x:f>
        <x:v>1</x:v>
      </x:c>
      <x:c r="F750" s="6" t="n">
        <x:f>4*SUM($E$9:E750)/A750</x:f>
        <x:v>3.07277628032345</x:v>
      </x:c>
      <x:c r="G750" s="1"/>
      <x:c r="H750" s="1"/>
    </x:row>
    <x:row r="751" ht="22" customHeight="1">
      <x:c r="A751" s="1" t="n">
        <x:v>743</x:v>
      </x:c>
      <x:c r="B751" s="6" t="n">
        <x:f>RAND()</x:f>
        <x:v>0.7703232102412368</x:v>
      </x:c>
      <x:c r="C751" s="6" t="n">
        <x:f>RAND()</x:f>
        <x:v>0.9309017225475614</x:v>
      </x:c>
      <x:c r="D751" s="6" t="n">
        <x:f>B751^2+C751^2</x:f>
        <x:v>1.4599758652783819</x:v>
      </x:c>
      <x:c r="E751" s="5" t="n">
        <x:f>IF(D751&lt;=1,1,0)</x:f>
        <x:v>0</x:v>
      </x:c>
      <x:c r="F751" s="6" t="n">
        <x:f>4*SUM($E$9:E751)/A751</x:f>
        <x:v>3.0686406460296096</x:v>
      </x:c>
      <x:c r="G751" s="1"/>
      <x:c r="H751" s="1"/>
    </x:row>
    <x:row r="752" ht="22" customHeight="1">
      <x:c r="A752" s="1" t="n">
        <x:v>744</x:v>
      </x:c>
      <x:c r="B752" s="6" t="n">
        <x:f>RAND()</x:f>
        <x:v>0.45695154346804123</x:v>
      </x:c>
      <x:c r="C752" s="6" t="n">
        <x:f>RAND()</x:f>
        <x:v>0.5724924075866983</x:v>
      </x:c>
      <x:c r="D752" s="6" t="n">
        <x:f>B752^2+C752^2</x:f>
        <x:v>0.5365522698222394</x:v>
      </x:c>
      <x:c r="E752" s="5" t="n">
        <x:f>IF(D752&lt;=1,1,0)</x:f>
        <x:v>1</x:v>
      </x:c>
      <x:c r="F752" s="6" t="n">
        <x:f>4*SUM($E$9:E752)/A752</x:f>
        <x:v>3.0698924731182795</x:v>
      </x:c>
      <x:c r="G752" s="1"/>
      <x:c r="H752" s="1"/>
    </x:row>
    <x:row r="753" ht="22" customHeight="1">
      <x:c r="A753" s="1" t="n">
        <x:v>745</x:v>
      </x:c>
      <x:c r="B753" s="6" t="n">
        <x:f>RAND()</x:f>
        <x:v>0.10173556226800695</x:v>
      </x:c>
      <x:c r="C753" s="6" t="n">
        <x:f>RAND()</x:f>
        <x:v>0.49553513078476585</x:v>
      </x:c>
      <x:c r="D753" s="6" t="n">
        <x:f>B753^2+C753^2</x:f>
        <x:v>0.2559051904718625</x:v>
      </x:c>
      <x:c r="E753" s="5" t="n">
        <x:f>IF(D753&lt;=1,1,0)</x:f>
        <x:v>1</x:v>
      </x:c>
      <x:c r="F753" s="6" t="n">
        <x:f>4*SUM($E$9:E753)/A753</x:f>
        <x:v>3.0711409395973153</x:v>
      </x:c>
      <x:c r="G753" s="1"/>
      <x:c r="H753" s="1"/>
    </x:row>
    <x:row r="754" ht="22" customHeight="1">
      <x:c r="A754" s="1" t="n">
        <x:v>746</x:v>
      </x:c>
      <x:c r="B754" s="6" t="n">
        <x:f>RAND()</x:f>
        <x:v>0.4114341798772756</x:v>
      </x:c>
      <x:c r="C754" s="6" t="n">
        <x:f>RAND()</x:f>
        <x:v>0.2585134905045301</x:v>
      </x:c>
      <x:c r="D754" s="6" t="n">
        <x:f>B754^2+C754^2</x:f>
        <x:v>0.23610730914412215</x:v>
      </x:c>
      <x:c r="E754" s="5" t="n">
        <x:f>IF(D754&lt;=1,1,0)</x:f>
        <x:v>1</x:v>
      </x:c>
      <x:c r="F754" s="6" t="n">
        <x:f>4*SUM($E$9:E754)/A754</x:f>
        <x:v>3.072386058981233</x:v>
      </x:c>
      <x:c r="G754" s="1"/>
      <x:c r="H754" s="1"/>
    </x:row>
    <x:row r="755" ht="22" customHeight="1">
      <x:c r="A755" s="1" t="n">
        <x:v>747</x:v>
      </x:c>
      <x:c r="B755" s="6" t="n">
        <x:f>RAND()</x:f>
        <x:v>0.08451476640203293</x:v>
      </x:c>
      <x:c r="C755" s="6" t="n">
        <x:f>RAND()</x:f>
        <x:v>0.5350568143010339</x:v>
      </x:c>
      <x:c r="D755" s="6" t="n">
        <x:f>B755^2+C755^2</x:f>
        <x:v>0.2934285402699613</x:v>
      </x:c>
      <x:c r="E755" s="5" t="n">
        <x:f>IF(D755&lt;=1,1,0)</x:f>
        <x:v>1</x:v>
      </x:c>
      <x:c r="F755" s="6" t="n">
        <x:f>4*SUM($E$9:E755)/A755</x:f>
        <x:v>3.073627844712182</x:v>
      </x:c>
      <x:c r="G755" s="1"/>
      <x:c r="H755" s="1"/>
    </x:row>
    <x:row r="756" ht="22" customHeight="1">
      <x:c r="A756" s="1" t="n">
        <x:v>748</x:v>
      </x:c>
      <x:c r="B756" s="6" t="n">
        <x:f>RAND()</x:f>
        <x:v>0.9635056759938834</x:v>
      </x:c>
      <x:c r="C756" s="6" t="n">
        <x:f>RAND()</x:f>
        <x:v>0.6929974328837565</x:v>
      </x:c>
      <x:c r="D756" s="6" t="n">
        <x:f>B756^2+C756^2</x:f>
        <x:v>1.4085886296559067</x:v>
      </x:c>
      <x:c r="E756" s="5" t="n">
        <x:f>IF(D756&lt;=1,1,0)</x:f>
        <x:v>0</x:v>
      </x:c>
      <x:c r="F756" s="6" t="n">
        <x:f>4*SUM($E$9:E756)/A756</x:f>
        <x:v>3.06951871657754</x:v>
      </x:c>
      <x:c r="G756" s="1"/>
      <x:c r="H756" s="1"/>
    </x:row>
    <x:row r="757" ht="22" customHeight="1">
      <x:c r="A757" s="1" t="n">
        <x:v>749</x:v>
      </x:c>
      <x:c r="B757" s="6" t="n">
        <x:f>RAND()</x:f>
        <x:v>0.9806818649192194</x:v>
      </x:c>
      <x:c r="C757" s="6" t="n">
        <x:f>RAND()</x:f>
        <x:v>0.7307549647363489</x:v>
      </x:c>
      <x:c r="D757" s="6" t="n">
        <x:f>B757^2+C757^2</x:f>
        <x:v>1.4957397386682607</x:v>
      </x:c>
      <x:c r="E757" s="5" t="n">
        <x:f>IF(D757&lt;=1,1,0)</x:f>
        <x:v>0</x:v>
      </x:c>
      <x:c r="F757" s="6" t="n">
        <x:f>4*SUM($E$9:E757)/A757</x:f>
        <x:v>3.0654205607476634</x:v>
      </x:c>
      <x:c r="G757" s="1"/>
      <x:c r="H757" s="1"/>
    </x:row>
    <x:row r="758" ht="22" customHeight="1">
      <x:c r="A758" s="1" t="n">
        <x:v>750</x:v>
      </x:c>
      <x:c r="B758" s="6" t="n">
        <x:f>RAND()</x:f>
        <x:v>0.7454363102078735</x:v>
      </x:c>
      <x:c r="C758" s="6" t="n">
        <x:f>RAND()</x:f>
        <x:v>0.18559124053856035</x:v>
      </x:c>
      <x:c r="D758" s="6" t="n">
        <x:f>B758^2+C758^2</x:f>
        <x:v>0.5901194011409707</x:v>
      </x:c>
      <x:c r="E758" s="5" t="n">
        <x:f>IF(D758&lt;=1,1,0)</x:f>
        <x:v>1</x:v>
      </x:c>
      <x:c r="F758" s="6" t="n">
        <x:f>4*SUM($E$9:E758)/A758</x:f>
        <x:v>3.066666666666667</x:v>
      </x:c>
      <x:c r="G758" s="1"/>
      <x:c r="H758" s="1"/>
    </x:row>
    <x:row r="759" ht="22" customHeight="1">
      <x:c r="A759" s="1" t="n">
        <x:v>751</x:v>
      </x:c>
      <x:c r="B759" s="6" t="n">
        <x:f>RAND()</x:f>
        <x:v>0.29598496601808744</x:v>
      </x:c>
      <x:c r="C759" s="6" t="n">
        <x:f>RAND()</x:f>
        <x:v>0.21203712469901925</x:v>
      </x:c>
      <x:c r="D759" s="6" t="n">
        <x:f>B759^2+C759^2</x:f>
        <x:v>0.1325668423593558</x:v>
      </x:c>
      <x:c r="E759" s="5" t="n">
        <x:f>IF(D759&lt;=1,1,0)</x:f>
        <x:v>1</x:v>
      </x:c>
      <x:c r="F759" s="6" t="n">
        <x:f>4*SUM($E$9:E759)/A759</x:f>
        <x:v>3.0679094540612515</x:v>
      </x:c>
      <x:c r="G759" s="1"/>
      <x:c r="H759" s="1"/>
    </x:row>
    <x:row r="760" ht="22" customHeight="1">
      <x:c r="A760" s="1" t="n">
        <x:v>752</x:v>
      </x:c>
      <x:c r="B760" s="6" t="n">
        <x:f>RAND()</x:f>
        <x:v>0.20225826571316408</x:v>
      </x:c>
      <x:c r="C760" s="6" t="n">
        <x:f>RAND()</x:f>
        <x:v>0.19510915339478596</x:v>
      </x:c>
      <x:c r="D760" s="6" t="n">
        <x:f>B760^2+C760^2</x:f>
        <x:v>0.07897598778772699</x:v>
      </x:c>
      <x:c r="E760" s="5" t="n">
        <x:f>IF(D760&lt;=1,1,0)</x:f>
        <x:v>1</x:v>
      </x:c>
      <x:c r="F760" s="6" t="n">
        <x:f>4*SUM($E$9:E760)/A760</x:f>
        <x:v>3.0691489361702127</x:v>
      </x:c>
      <x:c r="G760" s="1"/>
      <x:c r="H760" s="1"/>
    </x:row>
    <x:row r="761" ht="22" customHeight="1">
      <x:c r="A761" s="1" t="n">
        <x:v>753</x:v>
      </x:c>
      <x:c r="B761" s="6" t="n">
        <x:f>RAND()</x:f>
        <x:v>0.5020719183127574</x:v>
      </x:c>
      <x:c r="C761" s="6" t="n">
        <x:f>RAND()</x:f>
        <x:v>0.003675662690274195</x:v>
      </x:c>
      <x:c r="D761" s="6" t="n">
        <x:f>B761^2+C761^2</x:f>
        <x:v>0.25208972165446486</x:v>
      </x:c>
      <x:c r="E761" s="5" t="n">
        <x:f>IF(D761&lt;=1,1,0)</x:f>
        <x:v>1</x:v>
      </x:c>
      <x:c r="F761" s="6" t="n">
        <x:f>4*SUM($E$9:E761)/A761</x:f>
        <x:v>3.0703851261620185</x:v>
      </x:c>
      <x:c r="G761" s="1"/>
      <x:c r="H761" s="1"/>
    </x:row>
    <x:row r="762" ht="22" customHeight="1">
      <x:c r="A762" s="1" t="n">
        <x:v>754</x:v>
      </x:c>
      <x:c r="B762" s="6" t="n">
        <x:f>RAND()</x:f>
        <x:v>0.1161714334921512</x:v>
      </x:c>
      <x:c r="C762" s="6" t="n">
        <x:f>RAND()</x:f>
        <x:v>0.17606415616875348</x:v>
      </x:c>
      <x:c r="D762" s="6" t="n">
        <x:f>B762^2+C762^2</x:f>
        <x:v>0.04449438904703652</x:v>
      </x:c>
      <x:c r="E762" s="5" t="n">
        <x:f>IF(D762&lt;=1,1,0)</x:f>
        <x:v>1</x:v>
      </x:c>
      <x:c r="F762" s="6" t="n">
        <x:f>4*SUM($E$9:E762)/A762</x:f>
        <x:v>3.0716180371352784</x:v>
      </x:c>
      <x:c r="G762" s="1"/>
      <x:c r="H762" s="1"/>
    </x:row>
    <x:row r="763" ht="22" customHeight="1">
      <x:c r="A763" s="1" t="n">
        <x:v>755</x:v>
      </x:c>
      <x:c r="B763" s="6" t="n">
        <x:f>RAND()</x:f>
        <x:v>0.09749831648216889</x:v>
      </x:c>
      <x:c r="C763" s="6" t="n">
        <x:f>RAND()</x:f>
        <x:v>0.37881664424837724</x:v>
      </x:c>
      <x:c r="D763" s="6" t="n">
        <x:f>B763^2+C763^2</x:f>
        <x:v>0.15300797167645877</x:v>
      </x:c>
      <x:c r="E763" s="5" t="n">
        <x:f>IF(D763&lt;=1,1,0)</x:f>
        <x:v>1</x:v>
      </x:c>
      <x:c r="F763" s="6" t="n">
        <x:f>4*SUM($E$9:E763)/A763</x:f>
        <x:v>3.0728476821192054</x:v>
      </x:c>
      <x:c r="G763" s="1"/>
      <x:c r="H763" s="1"/>
    </x:row>
    <x:row r="764" ht="22" customHeight="1">
      <x:c r="A764" s="1" t="n">
        <x:v>756</x:v>
      </x:c>
      <x:c r="B764" s="6" t="n">
        <x:f>RAND()</x:f>
        <x:v>0.19506147963732057</x:v>
      </x:c>
      <x:c r="C764" s="6" t="n">
        <x:f>RAND()</x:f>
        <x:v>0.13833969202777285</x:v>
      </x:c>
      <x:c r="D764" s="6" t="n">
        <x:f>B764^2+C764^2</x:f>
        <x:v>0.05718685122863987</x:v>
      </x:c>
      <x:c r="E764" s="5" t="n">
        <x:f>IF(D764&lt;=1,1,0)</x:f>
        <x:v>1</x:v>
      </x:c>
      <x:c r="F764" s="6" t="n">
        <x:f>4*SUM($E$9:E764)/A764</x:f>
        <x:v>3.074074074074074</x:v>
      </x:c>
      <x:c r="G764" s="1"/>
      <x:c r="H764" s="1"/>
    </x:row>
    <x:row r="765" ht="22" customHeight="1">
      <x:c r="A765" s="1" t="n">
        <x:v>757</x:v>
      </x:c>
      <x:c r="B765" s="6" t="n">
        <x:f>RAND()</x:f>
        <x:v>0.5766562824610463</x:v>
      </x:c>
      <x:c r="C765" s="6" t="n">
        <x:f>RAND()</x:f>
        <x:v>0.7134891777876057</x:v>
      </x:c>
      <x:c r="D765" s="6" t="n">
        <x:f>B765^2+C765^2</x:f>
        <x:v>0.8415992749218275</x:v>
      </x:c>
      <x:c r="E765" s="5" t="n">
        <x:f>IF(D765&lt;=1,1,0)</x:f>
        <x:v>1</x:v>
      </x:c>
      <x:c r="F765" s="6" t="n">
        <x:f>4*SUM($E$9:E765)/A765</x:f>
        <x:v>3.0752972258916778</x:v>
      </x:c>
      <x:c r="G765" s="1"/>
      <x:c r="H765" s="1"/>
    </x:row>
    <x:row r="766" ht="22" customHeight="1">
      <x:c r="A766" s="1" t="n">
        <x:v>758</x:v>
      </x:c>
      <x:c r="B766" s="6" t="n">
        <x:f>RAND()</x:f>
        <x:v>0.44342378747511957</x:v>
      </x:c>
      <x:c r="C766" s="6" t="n">
        <x:f>RAND()</x:f>
        <x:v>0.5357306366909548</x:v>
      </x:c>
      <x:c r="D766" s="6" t="n">
        <x:f>B766^2+C766^2</x:f>
        <x:v>0.4836319703880758</x:v>
      </x:c>
      <x:c r="E766" s="5" t="n">
        <x:f>IF(D766&lt;=1,1,0)</x:f>
        <x:v>1</x:v>
      </x:c>
      <x:c r="F766" s="6" t="n">
        <x:f>4*SUM($E$9:E766)/A766</x:f>
        <x:v>3.0765171503957784</x:v>
      </x:c>
      <x:c r="G766" s="1"/>
      <x:c r="H766" s="1"/>
    </x:row>
    <x:row r="767" ht="22" customHeight="1">
      <x:c r="A767" s="1" t="n">
        <x:v>759</x:v>
      </x:c>
      <x:c r="B767" s="6" t="n">
        <x:f>RAND()</x:f>
        <x:v>0.22731301307942253</x:v>
      </x:c>
      <x:c r="C767" s="6" t="n">
        <x:f>RAND()</x:f>
        <x:v>0.5310989864570456</x:v>
      </x:c>
      <x:c r="D767" s="6" t="n">
        <x:f>B767^2+C767^2</x:f>
        <x:v>0.3337373393309468</x:v>
      </x:c>
      <x:c r="E767" s="5" t="n">
        <x:f>IF(D767&lt;=1,1,0)</x:f>
        <x:v>1</x:v>
      </x:c>
      <x:c r="F767" s="6" t="n">
        <x:f>4*SUM($E$9:E767)/A767</x:f>
        <x:v>3.077733860342556</x:v>
      </x:c>
      <x:c r="G767" s="1"/>
      <x:c r="H767" s="1"/>
    </x:row>
    <x:row r="768" ht="22" customHeight="1">
      <x:c r="A768" s="1" t="n">
        <x:v>760</x:v>
      </x:c>
      <x:c r="B768" s="6" t="n">
        <x:f>RAND()</x:f>
        <x:v>0.7616980668277606</x:v>
      </x:c>
      <x:c r="C768" s="6" t="n">
        <x:f>RAND()</x:f>
        <x:v>0.8821262888879702</x:v>
      </x:c>
      <x:c r="D768" s="6" t="n">
        <x:f>B768^2+C768^2</x:f>
        <x:v>1.3583307345564104</x:v>
      </x:c>
      <x:c r="E768" s="5" t="n">
        <x:f>IF(D768&lt;=1,1,0)</x:f>
        <x:v>0</x:v>
      </x:c>
      <x:c r="F768" s="6" t="n">
        <x:f>4*SUM($E$9:E768)/A768</x:f>
        <x:v>3.0736842105263156</x:v>
      </x:c>
      <x:c r="G768" s="1"/>
      <x:c r="H768" s="1"/>
    </x:row>
    <x:row r="769" ht="22" customHeight="1">
      <x:c r="A769" s="1" t="n">
        <x:v>761</x:v>
      </x:c>
      <x:c r="B769" s="6" t="n">
        <x:f>RAND()</x:f>
        <x:v>0.16884231943721795</x:v>
      </x:c>
      <x:c r="C769" s="6" t="n">
        <x:f>RAND()</x:f>
        <x:v>0.6294314171105451</x:v>
      </x:c>
      <x:c r="D769" s="6" t="n">
        <x:f>B769^2+C769^2</x:f>
        <x:v>0.42469163767872853</x:v>
      </x:c>
      <x:c r="E769" s="5" t="n">
        <x:f>IF(D769&lt;=1,1,0)</x:f>
        <x:v>1</x:v>
      </x:c>
      <x:c r="F769" s="6" t="n">
        <x:f>4*SUM($E$9:E769)/A769</x:f>
        <x:v>3.0749014454664914</x:v>
      </x:c>
      <x:c r="G769" s="1"/>
      <x:c r="H769" s="1"/>
    </x:row>
    <x:row r="770" ht="22" customHeight="1">
      <x:c r="A770" s="1" t="n">
        <x:v>762</x:v>
      </x:c>
      <x:c r="B770" s="6" t="n">
        <x:f>RAND()</x:f>
        <x:v>0.885900546245574</x:v>
      </x:c>
      <x:c r="C770" s="6" t="n">
        <x:f>RAND()</x:f>
        <x:v>0.09417836179677497</x:v>
      </x:c>
      <x:c r="D770" s="6" t="n">
        <x:f>B770^2+C770^2</x:f>
        <x:v>0.7936893416689307</x:v>
      </x:c>
      <x:c r="E770" s="5" t="n">
        <x:f>IF(D770&lt;=1,1,0)</x:f>
        <x:v>1</x:v>
      </x:c>
      <x:c r="F770" s="6" t="n">
        <x:f>4*SUM($E$9:E770)/A770</x:f>
        <x:v>3.0761154855643045</x:v>
      </x:c>
      <x:c r="G770" s="1"/>
      <x:c r="H770" s="1"/>
    </x:row>
    <x:row r="771" ht="22" customHeight="1">
      <x:c r="A771" s="1" t="n">
        <x:v>763</x:v>
      </x:c>
      <x:c r="B771" s="6" t="n">
        <x:f>RAND()</x:f>
        <x:v>0.10200081802525163</x:v>
      </x:c>
      <x:c r="C771" s="6" t="n">
        <x:f>RAND()</x:f>
        <x:v>0.40817921352348663</x:v>
      </x:c>
      <x:c r="D771" s="6" t="n">
        <x:f>B771^2+C771^2</x:f>
        <x:v>0.17701443723047258</x:v>
      </x:c>
      <x:c r="E771" s="5" t="n">
        <x:f>IF(D771&lt;=1,1,0)</x:f>
        <x:v>1</x:v>
      </x:c>
      <x:c r="F771" s="6" t="n">
        <x:f>4*SUM($E$9:E771)/A771</x:f>
        <x:v>3.0773263433813893</x:v>
      </x:c>
      <x:c r="G771" s="1"/>
      <x:c r="H771" s="1"/>
    </x:row>
    <x:row r="772" ht="22" customHeight="1">
      <x:c r="A772" s="1" t="n">
        <x:v>764</x:v>
      </x:c>
      <x:c r="B772" s="6" t="n">
        <x:f>RAND()</x:f>
        <x:v>0.46642482514551065</x:v>
      </x:c>
      <x:c r="C772" s="6" t="n">
        <x:f>RAND()</x:f>
        <x:v>0.9154193351297738</x:v>
      </x:c>
      <x:c r="D772" s="6" t="n">
        <x:f>B772^2+C772^2</x:f>
        <x:v>1.0555446766414573</x:v>
      </x:c>
      <x:c r="E772" s="5" t="n">
        <x:f>IF(D772&lt;=1,1,0)</x:f>
        <x:v>0</x:v>
      </x:c>
      <x:c r="F772" s="6" t="n">
        <x:f>4*SUM($E$9:E772)/A772</x:f>
        <x:v>3.073298429319372</x:v>
      </x:c>
      <x:c r="G772" s="1"/>
      <x:c r="H772" s="1"/>
    </x:row>
    <x:row r="773" ht="22" customHeight="1">
      <x:c r="A773" s="1" t="n">
        <x:v>765</x:v>
      </x:c>
      <x:c r="B773" s="6" t="n">
        <x:f>RAND()</x:f>
        <x:v>0.4748585096957111</x:v>
      </x:c>
      <x:c r="C773" s="6" t="n">
        <x:f>RAND()</x:f>
        <x:v>0.43546211565717474</x:v>
      </x:c>
      <x:c r="D773" s="6" t="n">
        <x:f>B773^2+C773^2</x:f>
        <x:v>0.4151178584030544</x:v>
      </x:c>
      <x:c r="E773" s="5" t="n">
        <x:f>IF(D773&lt;=1,1,0)</x:f>
        <x:v>1</x:v>
      </x:c>
      <x:c r="F773" s="6" t="n">
        <x:f>4*SUM($E$9:E773)/A773</x:f>
        <x:v>3.074509803921569</x:v>
      </x:c>
      <x:c r="G773" s="1"/>
      <x:c r="H773" s="1"/>
    </x:row>
    <x:row r="774" ht="22" customHeight="1">
      <x:c r="A774" s="1" t="n">
        <x:v>766</x:v>
      </x:c>
      <x:c r="B774" s="6" t="n">
        <x:f>RAND()</x:f>
        <x:v>0.1797576215734663</x:v>
      </x:c>
      <x:c r="C774" s="6" t="n">
        <x:f>RAND()</x:f>
        <x:v>0.32889390983596256</x:v>
      </x:c>
      <x:c r="D774" s="6" t="n">
        <x:f>B774^2+C774^2</x:f>
        <x:v>0.14048400644093578</x:v>
      </x:c>
      <x:c r="E774" s="5" t="n">
        <x:f>IF(D774&lt;=1,1,0)</x:f>
        <x:v>1</x:v>
      </x:c>
      <x:c r="F774" s="6" t="n">
        <x:f>4*SUM($E$9:E774)/A774</x:f>
        <x:v>3.0757180156657964</x:v>
      </x:c>
      <x:c r="G774" s="1"/>
      <x:c r="H774" s="1"/>
    </x:row>
    <x:row r="775" ht="22" customHeight="1">
      <x:c r="A775" s="1" t="n">
        <x:v>767</x:v>
      </x:c>
      <x:c r="B775" s="6" t="n">
        <x:f>RAND()</x:f>
        <x:v>0.1718447589242228</x:v>
      </x:c>
      <x:c r="C775" s="6" t="n">
        <x:f>RAND()</x:f>
        <x:v>0.29778947865941774</x:v>
      </x:c>
      <x:c r="D775" s="6" t="n">
        <x:f>B775^2+C775^2</x:f>
        <x:v>0.11820919476997205</x:v>
      </x:c>
      <x:c r="E775" s="5" t="n">
        <x:f>IF(D775&lt;=1,1,0)</x:f>
        <x:v>1</x:v>
      </x:c>
      <x:c r="F775" s="6" t="n">
        <x:f>4*SUM($E$9:E775)/A775</x:f>
        <x:v>3.076923076923077</x:v>
      </x:c>
      <x:c r="G775" s="1"/>
      <x:c r="H775" s="1"/>
    </x:row>
    <x:row r="776" ht="22" customHeight="1">
      <x:c r="A776" s="1" t="n">
        <x:v>768</x:v>
      </x:c>
      <x:c r="B776" s="6" t="n">
        <x:f>RAND()</x:f>
        <x:v>0.8228052507156772</x:v>
      </x:c>
      <x:c r="C776" s="6" t="n">
        <x:f>RAND()</x:f>
        <x:v>0.38644027545026594</x:v>
      </x:c>
      <x:c r="D776" s="6" t="n">
        <x:f>B776^2+C776^2</x:f>
        <x:v>0.826344567095366</x:v>
      </x:c>
      <x:c r="E776" s="5" t="n">
        <x:f>IF(D776&lt;=1,1,0)</x:f>
        <x:v>1</x:v>
      </x:c>
      <x:c r="F776" s="6" t="n">
        <x:f>4*SUM($E$9:E776)/A776</x:f>
        <x:v>3.078125</x:v>
      </x:c>
      <x:c r="G776" s="1"/>
      <x:c r="H776" s="1"/>
    </x:row>
    <x:row r="777" ht="22" customHeight="1">
      <x:c r="A777" s="1" t="n">
        <x:v>769</x:v>
      </x:c>
      <x:c r="B777" s="6" t="n">
        <x:f>RAND()</x:f>
        <x:v>0.28201114782015224</x:v>
      </x:c>
      <x:c r="C777" s="6" t="n">
        <x:f>RAND()</x:f>
        <x:v>0.3765212645520952</x:v>
      </x:c>
      <x:c r="D777" s="6" t="n">
        <x:f>B777^2+C777^2</x:f>
        <x:v>0.22129855015474864</x:v>
      </x:c>
      <x:c r="E777" s="5" t="n">
        <x:f>IF(D777&lt;=1,1,0)</x:f>
        <x:v>1</x:v>
      </x:c>
      <x:c r="F777" s="6" t="n">
        <x:f>4*SUM($E$9:E777)/A777</x:f>
        <x:v>3.079323797139142</x:v>
      </x:c>
      <x:c r="G777" s="1"/>
      <x:c r="H777" s="1"/>
    </x:row>
    <x:row r="778" ht="22" customHeight="1">
      <x:c r="A778" s="1" t="n">
        <x:v>770</x:v>
      </x:c>
      <x:c r="B778" s="6" t="n">
        <x:f>RAND()</x:f>
        <x:v>0.38339654097945974</x:v>
      </x:c>
      <x:c r="C778" s="6" t="n">
        <x:f>RAND()</x:f>
        <x:v>0.6052023883303124</x:v>
      </x:c>
      <x:c r="D778" s="6" t="n">
        <x:f>B778^2+C778^2</x:f>
        <x:v>0.5132628384757287</x:v>
      </x:c>
      <x:c r="E778" s="5" t="n">
        <x:f>IF(D778&lt;=1,1,0)</x:f>
        <x:v>1</x:v>
      </x:c>
      <x:c r="F778" s="6" t="n">
        <x:f>4*SUM($E$9:E778)/A778</x:f>
        <x:v>3.0805194805194804</x:v>
      </x:c>
      <x:c r="G778" s="1"/>
      <x:c r="H778" s="1"/>
    </x:row>
    <x:row r="779" ht="22" customHeight="1">
      <x:c r="A779" s="1" t="n">
        <x:v>771</x:v>
      </x:c>
      <x:c r="B779" s="6" t="n">
        <x:f>RAND()</x:f>
        <x:v>0.7137283452290679</x:v>
      </x:c>
      <x:c r="C779" s="6" t="n">
        <x:f>RAND()</x:f>
        <x:v>0.6729224324751518</x:v>
      </x:c>
      <x:c r="D779" s="6" t="n">
        <x:f>B779^2+C779^2</x:f>
        <x:v>0.9622327509116988</x:v>
      </x:c>
      <x:c r="E779" s="5" t="n">
        <x:f>IF(D779&lt;=1,1,0)</x:f>
        <x:v>1</x:v>
      </x:c>
      <x:c r="F779" s="6" t="n">
        <x:f>4*SUM($E$9:E779)/A779</x:f>
        <x:v>3.0817120622568095</x:v>
      </x:c>
      <x:c r="G779" s="1"/>
      <x:c r="H779" s="1"/>
    </x:row>
    <x:row r="780" ht="22" customHeight="1">
      <x:c r="A780" s="1" t="n">
        <x:v>772</x:v>
      </x:c>
      <x:c r="B780" s="6" t="n">
        <x:f>RAND()</x:f>
        <x:v>0.09452247747855425</x:v>
      </x:c>
      <x:c r="C780" s="6" t="n">
        <x:f>RAND()</x:f>
        <x:v>0.0339654371048983</x:v>
      </x:c>
      <x:c r="D780" s="6" t="n">
        <x:f>B780^2+C780^2</x:f>
        <x:v>0.010088149666410596</x:v>
      </x:c>
      <x:c r="E780" s="5" t="n">
        <x:f>IF(D780&lt;=1,1,0)</x:f>
        <x:v>1</x:v>
      </x:c>
      <x:c r="F780" s="6" t="n">
        <x:f>4*SUM($E$9:E780)/A780</x:f>
        <x:v>3.082901554404145</x:v>
      </x:c>
      <x:c r="G780" s="1"/>
      <x:c r="H780" s="1"/>
    </x:row>
    <x:row r="781" ht="22" customHeight="1">
      <x:c r="A781" s="1" t="n">
        <x:v>773</x:v>
      </x:c>
      <x:c r="B781" s="6" t="n">
        <x:f>RAND()</x:f>
        <x:v>0.4233956918487093</x:v>
      </x:c>
      <x:c r="C781" s="6" t="n">
        <x:f>RAND()</x:f>
        <x:v>0.6168209282724746</x:v>
      </x:c>
      <x:c r="D781" s="6" t="n">
        <x:f>B781^2+C781^2</x:f>
        <x:v>0.5597319694309645</x:v>
      </x:c>
      <x:c r="E781" s="5" t="n">
        <x:f>IF(D781&lt;=1,1,0)</x:f>
        <x:v>1</x:v>
      </x:c>
      <x:c r="F781" s="6" t="n">
        <x:f>4*SUM($E$9:E781)/A781</x:f>
        <x:v>3.0840879689521343</x:v>
      </x:c>
      <x:c r="G781" s="1"/>
      <x:c r="H781" s="1"/>
    </x:row>
    <x:row r="782" ht="22" customHeight="1">
      <x:c r="A782" s="1" t="n">
        <x:v>774</x:v>
      </x:c>
      <x:c r="B782" s="6" t="n">
        <x:f>RAND()</x:f>
        <x:v>0.6332253607090996</x:v>
      </x:c>
      <x:c r="C782" s="6" t="n">
        <x:f>RAND()</x:f>
        <x:v>0.2669883350130281</x:v>
      </x:c>
      <x:c r="D782" s="6" t="n">
        <x:f>B782^2+C782^2</x:f>
        <x:v>0.4722571284781983</x:v>
      </x:c>
      <x:c r="E782" s="5" t="n">
        <x:f>IF(D782&lt;=1,1,0)</x:f>
        <x:v>1</x:v>
      </x:c>
      <x:c r="F782" s="6" t="n">
        <x:f>4*SUM($E$9:E782)/A782</x:f>
        <x:v>3.0852713178294575</x:v>
      </x:c>
      <x:c r="G782" s="1"/>
      <x:c r="H782" s="1"/>
    </x:row>
    <x:row r="783" ht="22" customHeight="1">
      <x:c r="A783" s="1" t="n">
        <x:v>775</x:v>
      </x:c>
      <x:c r="B783" s="6" t="n">
        <x:f>RAND()</x:f>
        <x:v>0.28805168718079865</x:v>
      </x:c>
      <x:c r="C783" s="6" t="n">
        <x:f>RAND()</x:f>
        <x:v>0.544672074980996</x:v>
      </x:c>
      <x:c r="D783" s="6" t="n">
        <x:f>B783^2+C783^2</x:f>
        <x:v>0.3796414437518084</x:v>
      </x:c>
      <x:c r="E783" s="5" t="n">
        <x:f>IF(D783&lt;=1,1,0)</x:f>
        <x:v>1</x:v>
      </x:c>
      <x:c r="F783" s="6" t="n">
        <x:f>4*SUM($E$9:E783)/A783</x:f>
        <x:v>3.086451612903226</x:v>
      </x:c>
      <x:c r="G783" s="1"/>
      <x:c r="H783" s="1"/>
    </x:row>
    <x:row r="784" ht="22" customHeight="1">
      <x:c r="A784" s="1" t="n">
        <x:v>776</x:v>
      </x:c>
      <x:c r="B784" s="6" t="n">
        <x:f>RAND()</x:f>
        <x:v>0.27255493732110436</x:v>
      </x:c>
      <x:c r="C784" s="6" t="n">
        <x:f>RAND()</x:f>
        <x:v>0.4322388813447833</x:v>
      </x:c>
      <x:c r="D784" s="6" t="n">
        <x:f>B784^2+C784^2</x:f>
        <x:v>0.26111664440430077</x:v>
      </x:c>
      <x:c r="E784" s="5" t="n">
        <x:f>IF(D784&lt;=1,1,0)</x:f>
        <x:v>1</x:v>
      </x:c>
      <x:c r="F784" s="6" t="n">
        <x:f>4*SUM($E$9:E784)/A784</x:f>
        <x:v>3.0876288659793816</x:v>
      </x:c>
      <x:c r="G784" s="1"/>
      <x:c r="H784" s="1"/>
    </x:row>
    <x:row r="785" ht="22" customHeight="1">
      <x:c r="A785" s="1" t="n">
        <x:v>777</x:v>
      </x:c>
      <x:c r="B785" s="6" t="n">
        <x:f>RAND()</x:f>
        <x:v>0.2398114740496825</x:v>
      </x:c>
      <x:c r="C785" s="6" t="n">
        <x:f>RAND()</x:f>
        <x:v>0.5144307391946066</x:v>
      </x:c>
      <x:c r="D785" s="6" t="n">
        <x:f>B785^2+C785^2</x:f>
        <x:v>0.32214852851419085</x:v>
      </x:c>
      <x:c r="E785" s="5" t="n">
        <x:f>IF(D785&lt;=1,1,0)</x:f>
        <x:v>1</x:v>
      </x:c>
      <x:c r="F785" s="6" t="n">
        <x:f>4*SUM($E$9:E785)/A785</x:f>
        <x:v>3.088803088803089</x:v>
      </x:c>
      <x:c r="G785" s="1"/>
      <x:c r="H785" s="1"/>
    </x:row>
    <x:row r="786" ht="22" customHeight="1">
      <x:c r="A786" s="1" t="n">
        <x:v>778</x:v>
      </x:c>
      <x:c r="B786" s="6" t="n">
        <x:f>RAND()</x:f>
        <x:v>0.8650919662959977</x:v>
      </x:c>
      <x:c r="C786" s="6" t="n">
        <x:f>RAND()</x:f>
        <x:v>0.24755565896510445</x:v>
      </x:c>
      <x:c r="D786" s="6" t="n">
        <x:f>B786^2+C786^2</x:f>
        <x:v>0.8096679144355227</x:v>
      </x:c>
      <x:c r="E786" s="5" t="n">
        <x:f>IF(D786&lt;=1,1,0)</x:f>
        <x:v>1</x:v>
      </x:c>
      <x:c r="F786" s="6" t="n">
        <x:f>4*SUM($E$9:E786)/A786</x:f>
        <x:v>3.089974293059126</x:v>
      </x:c>
      <x:c r="G786" s="1"/>
      <x:c r="H786" s="1"/>
    </x:row>
    <x:row r="787" ht="22" customHeight="1">
      <x:c r="A787" s="1" t="n">
        <x:v>779</x:v>
      </x:c>
      <x:c r="B787" s="6" t="n">
        <x:f>RAND()</x:f>
        <x:v>0.47323782511927104</x:v>
      </x:c>
      <x:c r="C787" s="6" t="n">
        <x:f>RAND()</x:f>
        <x:v>0.3814505524338656</x:v>
      </x:c>
      <x:c r="D787" s="6" t="n">
        <x:f>B787^2+C787^2</x:f>
        <x:v>0.369458563075719</x:v>
      </x:c>
      <x:c r="E787" s="5" t="n">
        <x:f>IF(D787&lt;=1,1,0)</x:f>
        <x:v>1</x:v>
      </x:c>
      <x:c r="F787" s="6" t="n">
        <x:f>4*SUM($E$9:E787)/A787</x:f>
        <x:v>3.091142490372272</x:v>
      </x:c>
      <x:c r="G787" s="1"/>
      <x:c r="H787" s="1"/>
    </x:row>
    <x:row r="788" ht="22" customHeight="1">
      <x:c r="A788" s="1" t="n">
        <x:v>780</x:v>
      </x:c>
      <x:c r="B788" s="6" t="n">
        <x:f>RAND()</x:f>
        <x:v>0.030890837036800955</x:v>
      </x:c>
      <x:c r="C788" s="6" t="n">
        <x:f>RAND()</x:f>
        <x:v>0.5662150339877365</x:v>
      </x:c>
      <x:c r="D788" s="6" t="n">
        <x:f>B788^2+C788^2</x:f>
        <x:v>0.32155370852656784</x:v>
      </x:c>
      <x:c r="E788" s="5" t="n">
        <x:f>IF(D788&lt;=1,1,0)</x:f>
        <x:v>1</x:v>
      </x:c>
      <x:c r="F788" s="6" t="n">
        <x:f>4*SUM($E$9:E788)/A788</x:f>
        <x:v>3.0923076923076924</x:v>
      </x:c>
      <x:c r="G788" s="1"/>
      <x:c r="H788" s="1"/>
    </x:row>
    <x:row r="789" ht="22" customHeight="1">
      <x:c r="A789" s="1" t="n">
        <x:v>781</x:v>
      </x:c>
      <x:c r="B789" s="6" t="n">
        <x:f>RAND()</x:f>
        <x:v>0.2512578774642821</x:v>
      </x:c>
      <x:c r="C789" s="6" t="n">
        <x:f>RAND()</x:f>
        <x:v>0.9542668037677535</x:v>
      </x:c>
      <x:c r="D789" s="6" t="n">
        <x:f>B789^2+C789^2</x:f>
        <x:v>0.9737556537609804</x:v>
      </x:c>
      <x:c r="E789" s="5" t="n">
        <x:f>IF(D789&lt;=1,1,0)</x:f>
        <x:v>1</x:v>
      </x:c>
      <x:c r="F789" s="6" t="n">
        <x:f>4*SUM($E$9:E789)/A789</x:f>
        <x:v>3.093469910371319</x:v>
      </x:c>
      <x:c r="G789" s="1"/>
      <x:c r="H789" s="1"/>
    </x:row>
    <x:row r="790" ht="22" customHeight="1">
      <x:c r="A790" s="1" t="n">
        <x:v>782</x:v>
      </x:c>
      <x:c r="B790" s="6" t="n">
        <x:f>RAND()</x:f>
        <x:v>0.06403060466378896</x:v>
      </x:c>
      <x:c r="C790" s="6" t="n">
        <x:f>RAND()</x:f>
        <x:v>0.7337521761542666</x:v>
      </x:c>
      <x:c r="D790" s="6" t="n">
        <x:f>B790^2+C790^2</x:f>
        <x:v>0.5424921743447323</x:v>
      </x:c>
      <x:c r="E790" s="5" t="n">
        <x:f>IF(D790&lt;=1,1,0)</x:f>
        <x:v>1</x:v>
      </x:c>
      <x:c r="F790" s="6" t="n">
        <x:f>4*SUM($E$9:E790)/A790</x:f>
        <x:v>3.0946291560102304</x:v>
      </x:c>
      <x:c r="G790" s="1"/>
      <x:c r="H790" s="1"/>
    </x:row>
    <x:row r="791" ht="22" customHeight="1">
      <x:c r="A791" s="1" t="n">
        <x:v>783</x:v>
      </x:c>
      <x:c r="B791" s="6" t="n">
        <x:f>RAND()</x:f>
        <x:v>0.8336597079643083</x:v>
      </x:c>
      <x:c r="C791" s="6" t="n">
        <x:f>RAND()</x:f>
        <x:v>0.8941263604662469</x:v>
      </x:c>
      <x:c r="D791" s="6" t="n">
        <x:f>B791^2+C791^2</x:f>
        <x:v>1.4944504571637527</x:v>
      </x:c>
      <x:c r="E791" s="5" t="n">
        <x:f>IF(D791&lt;=1,1,0)</x:f>
        <x:v>0</x:v>
      </x:c>
      <x:c r="F791" s="6" t="n">
        <x:f>4*SUM($E$9:E791)/A791</x:f>
        <x:v>3.0906768837803322</x:v>
      </x:c>
      <x:c r="G791" s="1"/>
      <x:c r="H791" s="1"/>
    </x:row>
    <x:row r="792" ht="22" customHeight="1">
      <x:c r="A792" s="1" t="n">
        <x:v>784</x:v>
      </x:c>
      <x:c r="B792" s="6" t="n">
        <x:f>RAND()</x:f>
        <x:v>0.3182090972440067</x:v>
      </x:c>
      <x:c r="C792" s="6" t="n">
        <x:f>RAND()</x:f>
        <x:v>0.7310358354409422</x:v>
      </x:c>
      <x:c r="D792" s="6" t="n">
        <x:f>B792^2+C792^2</x:f>
        <x:v>0.6356704222676821</x:v>
      </x:c>
      <x:c r="E792" s="5" t="n">
        <x:f>IF(D792&lt;=1,1,0)</x:f>
        <x:v>1</x:v>
      </x:c>
      <x:c r="F792" s="6" t="n">
        <x:f>4*SUM($E$9:E792)/A792</x:f>
        <x:v>3.0918367346938775</x:v>
      </x:c>
      <x:c r="G792" s="1"/>
      <x:c r="H792" s="1"/>
    </x:row>
    <x:row r="793" ht="22" customHeight="1">
      <x:c r="A793" s="1" t="n">
        <x:v>785</x:v>
      </x:c>
      <x:c r="B793" s="6" t="n">
        <x:f>RAND()</x:f>
        <x:v>0.7299000399830466</x:v>
      </x:c>
      <x:c r="C793" s="6" t="n">
        <x:f>RAND()</x:f>
        <x:v>0.042030220498293636</x:v>
      </x:c>
      <x:c r="D793" s="6" t="n">
        <x:f>B793^2+C793^2</x:f>
        <x:v>0.5345206078023883</x:v>
      </x:c>
      <x:c r="E793" s="5" t="n">
        <x:f>IF(D793&lt;=1,1,0)</x:f>
        <x:v>1</x:v>
      </x:c>
      <x:c r="F793" s="6" t="n">
        <x:f>4*SUM($E$9:E793)/A793</x:f>
        <x:v>3.0929936305732486</x:v>
      </x:c>
      <x:c r="G793" s="1"/>
      <x:c r="H793" s="1"/>
    </x:row>
    <x:row r="794" ht="22" customHeight="1">
      <x:c r="A794" s="1" t="n">
        <x:v>786</x:v>
      </x:c>
      <x:c r="B794" s="6" t="n">
        <x:f>RAND()</x:f>
        <x:v>0.7486391140815601</x:v>
      </x:c>
      <x:c r="C794" s="6" t="n">
        <x:f>RAND()</x:f>
        <x:v>0.009863462245661259</x:v>
      </x:c>
      <x:c r="D794" s="6" t="n">
        <x:f>B794^2+C794^2</x:f>
        <x:v>0.5605578110202948</x:v>
      </x:c>
      <x:c r="E794" s="5" t="n">
        <x:f>IF(D794&lt;=1,1,0)</x:f>
        <x:v>1</x:v>
      </x:c>
      <x:c r="F794" s="6" t="n">
        <x:f>4*SUM($E$9:E794)/A794</x:f>
        <x:v>3.094147582697201</x:v>
      </x:c>
      <x:c r="G794" s="1"/>
      <x:c r="H794" s="1"/>
    </x:row>
    <x:row r="795" ht="22" customHeight="1">
      <x:c r="A795" s="1" t="n">
        <x:v>787</x:v>
      </x:c>
      <x:c r="B795" s="6" t="n">
        <x:f>RAND()</x:f>
        <x:v>0.4699327672958902</x:v>
      </x:c>
      <x:c r="C795" s="6" t="n">
        <x:f>RAND()</x:f>
        <x:v>0.5978733169721291</x:v>
      </x:c>
      <x:c r="D795" s="6" t="n">
        <x:f>B795^2+C795^2</x:f>
        <x:v>0.5782893089256292</x:v>
      </x:c>
      <x:c r="E795" s="5" t="n">
        <x:f>IF(D795&lt;=1,1,0)</x:f>
        <x:v>1</x:v>
      </x:c>
      <x:c r="F795" s="6" t="n">
        <x:f>4*SUM($E$9:E795)/A795</x:f>
        <x:v>3.0952986022871665</x:v>
      </x:c>
      <x:c r="G795" s="1"/>
      <x:c r="H795" s="1"/>
    </x:row>
    <x:row r="796" ht="22" customHeight="1">
      <x:c r="A796" s="1" t="n">
        <x:v>788</x:v>
      </x:c>
      <x:c r="B796" s="6" t="n">
        <x:f>RAND()</x:f>
        <x:v>0.37234052925941585</x:v>
      </x:c>
      <x:c r="C796" s="6" t="n">
        <x:f>RAND()</x:f>
        <x:v>0.8362717704331404</x:v>
      </x:c>
      <x:c r="D796" s="6" t="n">
        <x:f>B796^2+C796^2</x:f>
        <x:v>0.8379879437525609</x:v>
      </x:c>
      <x:c r="E796" s="5" t="n">
        <x:f>IF(D796&lt;=1,1,0)</x:f>
        <x:v>1</x:v>
      </x:c>
      <x:c r="F796" s="6" t="n">
        <x:f>4*SUM($E$9:E796)/A796</x:f>
        <x:v>3.0964467005076144</x:v>
      </x:c>
      <x:c r="G796" s="1"/>
      <x:c r="H796" s="1"/>
    </x:row>
    <x:row r="797" ht="22" customHeight="1">
      <x:c r="A797" s="1" t="n">
        <x:v>789</x:v>
      </x:c>
      <x:c r="B797" s="6" t="n">
        <x:f>RAND()</x:f>
        <x:v>0.5121144104595591</x:v>
      </x:c>
      <x:c r="C797" s="6" t="n">
        <x:f>RAND()</x:f>
        <x:v>0.6115573390910143</x:v>
      </x:c>
      <x:c r="D797" s="6" t="n">
        <x:f>B797^2+C797^2</x:f>
        <x:v>0.6362635483964236</x:v>
      </x:c>
      <x:c r="E797" s="5" t="n">
        <x:f>IF(D797&lt;=1,1,0)</x:f>
        <x:v>1</x:v>
      </x:c>
      <x:c r="F797" s="6" t="n">
        <x:f>4*SUM($E$9:E797)/A797</x:f>
        <x:v>3.0975918884664133</x:v>
      </x:c>
      <x:c r="G797" s="1"/>
      <x:c r="H797" s="1"/>
    </x:row>
    <x:row r="798" ht="22" customHeight="1">
      <x:c r="A798" s="1" t="n">
        <x:v>790</x:v>
      </x:c>
      <x:c r="B798" s="6" t="n">
        <x:f>RAND()</x:f>
        <x:v>0.38238531278856114</x:v>
      </x:c>
      <x:c r="C798" s="6" t="n">
        <x:f>RAND()</x:f>
        <x:v>0.609890387063821</x:v>
      </x:c>
      <x:c r="D798" s="6" t="n">
        <x:f>B798^2+C798^2</x:f>
        <x:v>0.5181848116692631</x:v>
      </x:c>
      <x:c r="E798" s="5" t="n">
        <x:f>IF(D798&lt;=1,1,0)</x:f>
        <x:v>1</x:v>
      </x:c>
      <x:c r="F798" s="6" t="n">
        <x:f>4*SUM($E$9:E798)/A798</x:f>
        <x:v>3.09873417721519</x:v>
      </x:c>
      <x:c r="G798" s="1"/>
      <x:c r="H798" s="1"/>
    </x:row>
    <x:row r="799" ht="22" customHeight="1">
      <x:c r="A799" s="1" t="n">
        <x:v>791</x:v>
      </x:c>
      <x:c r="B799" s="6" t="n">
        <x:f>RAND()</x:f>
        <x:v>0.32599874524953265</x:v>
      </x:c>
      <x:c r="C799" s="6" t="n">
        <x:f>RAND()</x:f>
        <x:v>0.797889234075215</x:v>
      </x:c>
      <x:c r="D799" s="6" t="n">
        <x:f>B799^2+C799^2</x:f>
        <x:v>0.7429024117574028</x:v>
      </x:c>
      <x:c r="E799" s="5" t="n">
        <x:f>IF(D799&lt;=1,1,0)</x:f>
        <x:v>1</x:v>
      </x:c>
      <x:c r="F799" s="6" t="n">
        <x:f>4*SUM($E$9:E799)/A799</x:f>
        <x:v>3.0998735777496838</x:v>
      </x:c>
      <x:c r="G799" s="1"/>
      <x:c r="H799" s="1"/>
    </x:row>
    <x:row r="800" ht="22" customHeight="1">
      <x:c r="A800" s="1" t="n">
        <x:v>792</x:v>
      </x:c>
      <x:c r="B800" s="6" t="n">
        <x:f>RAND()</x:f>
        <x:v>0.7694436739199252</x:v>
      </x:c>
      <x:c r="C800" s="6" t="n">
        <x:f>RAND()</x:f>
        <x:v>0.9330319046913691</x:v>
      </x:c>
      <x:c r="D800" s="6" t="n">
        <x:f>B800^2+C800^2</x:f>
        <x:v>1.4625921025073962</x:v>
      </x:c>
      <x:c r="E800" s="5" t="n">
        <x:f>IF(D800&lt;=1,1,0)</x:f>
        <x:v>0</x:v>
      </x:c>
      <x:c r="F800" s="6" t="n">
        <x:f>4*SUM($E$9:E800)/A800</x:f>
        <x:v>3.095959595959596</x:v>
      </x:c>
      <x:c r="G800" s="1"/>
      <x:c r="H800" s="1"/>
    </x:row>
    <x:row r="801" ht="22" customHeight="1">
      <x:c r="A801" s="1" t="n">
        <x:v>793</x:v>
      </x:c>
      <x:c r="B801" s="6" t="n">
        <x:f>RAND()</x:f>
        <x:v>0.4927603397608278</x:v>
      </x:c>
      <x:c r="C801" s="6" t="n">
        <x:f>RAND()</x:f>
        <x:v>0.7901113455779103</x:v>
      </x:c>
      <x:c r="D801" s="6" t="n">
        <x:f>B801^2+C801^2</x:f>
        <x:v>0.8670886908521425</x:v>
      </x:c>
      <x:c r="E801" s="5" t="n">
        <x:f>IF(D801&lt;=1,1,0)</x:f>
        <x:v>1</x:v>
      </x:c>
      <x:c r="F801" s="6" t="n">
        <x:f>4*SUM($E$9:E801)/A801</x:f>
        <x:v>3.0970996216897855</x:v>
      </x:c>
      <x:c r="G801" s="1"/>
      <x:c r="H801" s="1"/>
    </x:row>
    <x:row r="802" ht="22" customHeight="1">
      <x:c r="A802" s="1" t="n">
        <x:v>794</x:v>
      </x:c>
      <x:c r="B802" s="6" t="n">
        <x:f>RAND()</x:f>
        <x:v>0.24749559686952005</x:v>
      </x:c>
      <x:c r="C802" s="6" t="n">
        <x:f>RAND()</x:f>
        <x:v>0.6350714375932082</x:v>
      </x:c>
      <x:c r="D802" s="6" t="n">
        <x:f>B802^2+C802^2</x:f>
        <x:v>0.46456980131650405</x:v>
      </x:c>
      <x:c r="E802" s="5" t="n">
        <x:f>IF(D802&lt;=1,1,0)</x:f>
        <x:v>1</x:v>
      </x:c>
      <x:c r="F802" s="6" t="n">
        <x:f>4*SUM($E$9:E802)/A802</x:f>
        <x:v>3.09823677581864</x:v>
      </x:c>
      <x:c r="G802" s="1"/>
      <x:c r="H802" s="1"/>
    </x:row>
    <x:row r="803" ht="22" customHeight="1">
      <x:c r="A803" s="1" t="n">
        <x:v>795</x:v>
      </x:c>
      <x:c r="B803" s="6" t="n">
        <x:f>RAND()</x:f>
        <x:v>0.06233830108792171</x:v>
      </x:c>
      <x:c r="C803" s="6" t="n">
        <x:f>RAND()</x:f>
        <x:v>0.6733011013062453</x:v>
      </x:c>
      <x:c r="D803" s="6" t="n">
        <x:f>B803^2+C803^2</x:f>
        <x:v>0.45722043680273117</x:v>
      </x:c>
      <x:c r="E803" s="5" t="n">
        <x:f>IF(D803&lt;=1,1,0)</x:f>
        <x:v>1</x:v>
      </x:c>
      <x:c r="F803" s="6" t="n">
        <x:f>4*SUM($E$9:E803)/A803</x:f>
        <x:v>3.09937106918239</x:v>
      </x:c>
      <x:c r="G803" s="1"/>
      <x:c r="H803" s="1"/>
    </x:row>
    <x:row r="804" ht="22" customHeight="1">
      <x:c r="A804" s="1" t="n">
        <x:v>796</x:v>
      </x:c>
      <x:c r="B804" s="6" t="n">
        <x:f>RAND()</x:f>
        <x:v>0.2357545643793194</x:v>
      </x:c>
      <x:c r="C804" s="6" t="n">
        <x:f>RAND()</x:f>
        <x:v>0.8164435927849758</x:v>
      </x:c>
      <x:c r="D804" s="6" t="n">
        <x:f>B804^2+C804^2</x:f>
        <x:v>0.722160354825322</x:v>
      </x:c>
      <x:c r="E804" s="5" t="n">
        <x:f>IF(D804&lt;=1,1,0)</x:f>
        <x:v>1</x:v>
      </x:c>
      <x:c r="F804" s="6" t="n">
        <x:f>4*SUM($E$9:E804)/A804</x:f>
        <x:v>3.100502512562814</x:v>
      </x:c>
      <x:c r="G804" s="1"/>
      <x:c r="H804" s="1"/>
    </x:row>
    <x:row r="805" ht="22" customHeight="1">
      <x:c r="A805" s="1" t="n">
        <x:v>797</x:v>
      </x:c>
      <x:c r="B805" s="6" t="n">
        <x:f>RAND()</x:f>
        <x:v>0.8058608933725635</x:v>
      </x:c>
      <x:c r="C805" s="6" t="n">
        <x:f>RAND()</x:f>
        <x:v>0.6431616227649083</x:v>
      </x:c>
      <x:c r="D805" s="6" t="n">
        <x:f>B805^2+C805^2</x:f>
        <x:v>1.0630686524648163</x:v>
      </x:c>
      <x:c r="E805" s="5" t="n">
        <x:f>IF(D805&lt;=1,1,0)</x:f>
        <x:v>0</x:v>
      </x:c>
      <x:c r="F805" s="6" t="n">
        <x:f>4*SUM($E$9:E805)/A805</x:f>
        <x:v>3.096612296110414</x:v>
      </x:c>
      <x:c r="G805" s="1"/>
      <x:c r="H805" s="1"/>
    </x:row>
    <x:row r="806" ht="22" customHeight="1">
      <x:c r="A806" s="1" t="n">
        <x:v>798</x:v>
      </x:c>
      <x:c r="B806" s="6" t="n">
        <x:f>RAND()</x:f>
        <x:v>0.6165485341279116</x:v>
      </x:c>
      <x:c r="C806" s="6" t="n">
        <x:f>RAND()</x:f>
        <x:v>0.8077723941425312</x:v>
      </x:c>
      <x:c r="D806" s="6" t="n">
        <x:f>B806^2+C806^2</x:f>
        <x:v>1.0326283356740333</x:v>
      </x:c>
      <x:c r="E806" s="5" t="n">
        <x:f>IF(D806&lt;=1,1,0)</x:f>
        <x:v>0</x:v>
      </x:c>
      <x:c r="F806" s="6" t="n">
        <x:f>4*SUM($E$9:E806)/A806</x:f>
        <x:v>3.092731829573935</x:v>
      </x:c>
      <x:c r="G806" s="1"/>
      <x:c r="H806" s="1"/>
    </x:row>
    <x:row r="807" ht="22" customHeight="1">
      <x:c r="A807" s="1" t="n">
        <x:v>799</x:v>
      </x:c>
      <x:c r="B807" s="6" t="n">
        <x:f>RAND()</x:f>
        <x:v>0.565255375419939</x:v>
      </x:c>
      <x:c r="C807" s="6" t="n">
        <x:f>RAND()</x:f>
        <x:v>0.3709145786903423</x:v>
      </x:c>
      <x:c r="D807" s="6" t="n">
        <x:f>B807^2+C807^2</x:f>
        <x:v>0.4570912641261703</x:v>
      </x:c>
      <x:c r="E807" s="5" t="n">
        <x:f>IF(D807&lt;=1,1,0)</x:f>
        <x:v>1</x:v>
      </x:c>
      <x:c r="F807" s="6" t="n">
        <x:f>4*SUM($E$9:E807)/A807</x:f>
        <x:v>3.0938673341677094</x:v>
      </x:c>
      <x:c r="G807" s="1"/>
      <x:c r="H807" s="1"/>
    </x:row>
    <x:row r="808" ht="22" customHeight="1">
      <x:c r="A808" s="1" t="n">
        <x:v>800</x:v>
      </x:c>
      <x:c r="B808" s="6" t="n">
        <x:f>RAND()</x:f>
        <x:v>0.14849912015187794</x:v>
      </x:c>
      <x:c r="C808" s="6" t="n">
        <x:f>RAND()</x:f>
        <x:v>0.2210381330906097</x:v>
      </x:c>
      <x:c r="D808" s="6" t="n">
        <x:f>B808^2+C808^2</x:f>
        <x:v>0.07090984496606398</x:v>
      </x:c>
      <x:c r="E808" s="5" t="n">
        <x:f>IF(D808&lt;=1,1,0)</x:f>
        <x:v>1</x:v>
      </x:c>
      <x:c r="F808" s="6" t="n">
        <x:f>4*SUM($E$9:E808)/A808</x:f>
        <x:v>3.095</x:v>
      </x:c>
      <x:c r="G808" s="1"/>
      <x:c r="H808" s="1"/>
    </x:row>
    <x:row r="809" ht="22" customHeight="1">
      <x:c r="A809" s="1" t="n">
        <x:v>801</x:v>
      </x:c>
      <x:c r="B809" s="6" t="n">
        <x:f>RAND()</x:f>
        <x:v>0.6833642350412067</x:v>
      </x:c>
      <x:c r="C809" s="6" t="n">
        <x:f>RAND()</x:f>
        <x:v>0.7097309994672168</x:v>
      </x:c>
      <x:c r="D809" s="6" t="n">
        <x:f>B809^2+C809^2</x:f>
        <x:v>0.9707047693381882</x:v>
      </x:c>
      <x:c r="E809" s="5" t="n">
        <x:f>IF(D809&lt;=1,1,0)</x:f>
        <x:v>1</x:v>
      </x:c>
      <x:c r="F809" s="6" t="n">
        <x:f>4*SUM($E$9:E809)/A809</x:f>
        <x:v>3.0961298377028714</x:v>
      </x:c>
      <x:c r="G809" s="1"/>
      <x:c r="H809" s="1"/>
    </x:row>
    <x:row r="810" ht="22" customHeight="1">
      <x:c r="A810" s="1" t="n">
        <x:v>802</x:v>
      </x:c>
      <x:c r="B810" s="6" t="n">
        <x:f>RAND()</x:f>
        <x:v>0.06071485057160331</x:v>
      </x:c>
      <x:c r="C810" s="6" t="n">
        <x:f>RAND()</x:f>
        <x:v>0.2454221867525097</x:v>
      </x:c>
      <x:c r="D810" s="6" t="n">
        <x:f>B810^2+C810^2</x:f>
        <x:v>0.06391834283031587</x:v>
      </x:c>
      <x:c r="E810" s="5" t="n">
        <x:f>IF(D810&lt;=1,1,0)</x:f>
        <x:v>1</x:v>
      </x:c>
      <x:c r="F810" s="6" t="n">
        <x:f>4*SUM($E$9:E810)/A810</x:f>
        <x:v>3.0972568578553616</x:v>
      </x:c>
      <x:c r="G810" s="1"/>
      <x:c r="H810" s="1"/>
    </x:row>
    <x:row r="811" ht="22" customHeight="1">
      <x:c r="A811" s="1" t="n">
        <x:v>803</x:v>
      </x:c>
      <x:c r="B811" s="6" t="n">
        <x:f>RAND()</x:f>
        <x:v>0.17607308751717965</x:v>
      </x:c>
      <x:c r="C811" s="6" t="n">
        <x:f>RAND()</x:f>
        <x:v>0.8170746280431541</x:v>
      </x:c>
      <x:c r="D811" s="6" t="n">
        <x:f>B811^2+C811^2</x:f>
        <x:v>0.6986126799396911</x:v>
      </x:c>
      <x:c r="E811" s="5" t="n">
        <x:f>IF(D811&lt;=1,1,0)</x:f>
        <x:v>1</x:v>
      </x:c>
      <x:c r="F811" s="6" t="n">
        <x:f>4*SUM($E$9:E811)/A811</x:f>
        <x:v>3.0983810709838107</x:v>
      </x:c>
      <x:c r="G811" s="1"/>
      <x:c r="H811" s="1"/>
    </x:row>
    <x:row r="812" ht="22" customHeight="1">
      <x:c r="A812" s="1" t="n">
        <x:v>804</x:v>
      </x:c>
      <x:c r="B812" s="6" t="n">
        <x:f>RAND()</x:f>
        <x:v>0.20606717884994918</x:v>
      </x:c>
      <x:c r="C812" s="6" t="n">
        <x:f>RAND()</x:f>
        <x:v>0.6996586727759269</x:v>
      </x:c>
      <x:c r="D812" s="6" t="n">
        <x:f>B812^2+C812^2</x:f>
        <x:v>0.5319859405897485</x:v>
      </x:c>
      <x:c r="E812" s="5" t="n">
        <x:f>IF(D812&lt;=1,1,0)</x:f>
        <x:v>1</x:v>
      </x:c>
      <x:c r="F812" s="6" t="n">
        <x:f>4*SUM($E$9:E812)/A812</x:f>
        <x:v>3.099502487562189</x:v>
      </x:c>
      <x:c r="G812" s="1"/>
      <x:c r="H812" s="1"/>
    </x:row>
    <x:row r="813" ht="22" customHeight="1">
      <x:c r="A813" s="1" t="n">
        <x:v>805</x:v>
      </x:c>
      <x:c r="B813" s="6" t="n">
        <x:f>RAND()</x:f>
        <x:v>0.31235286973626886</x:v>
      </x:c>
      <x:c r="C813" s="6" t="n">
        <x:f>RAND()</x:f>
        <x:v>0.09494851745781263</x:v>
      </x:c>
      <x:c r="D813" s="6" t="n">
        <x:f>B813^2+C813^2</x:f>
        <x:v>0.1065795361999191</x:v>
      </x:c>
      <x:c r="E813" s="5" t="n">
        <x:f>IF(D813&lt;=1,1,0)</x:f>
        <x:v>1</x:v>
      </x:c>
      <x:c r="F813" s="6" t="n">
        <x:f>4*SUM($E$9:E813)/A813</x:f>
        <x:v>3.1006211180124224</x:v>
      </x:c>
      <x:c r="G813" s="1"/>
      <x:c r="H813" s="1"/>
    </x:row>
    <x:row r="814" ht="22" customHeight="1">
      <x:c r="A814" s="1" t="n">
        <x:v>806</x:v>
      </x:c>
      <x:c r="B814" s="6" t="n">
        <x:f>RAND()</x:f>
        <x:v>0.729189744722748</x:v>
      </x:c>
      <x:c r="C814" s="6" t="n">
        <x:f>RAND()</x:f>
        <x:v>0.16676026970204105</x:v>
      </x:c>
      <x:c r="D814" s="6" t="n">
        <x:f>B814^2+C814^2</x:f>
        <x:v>0.559526671359924</x:v>
      </x:c>
      <x:c r="E814" s="5" t="n">
        <x:f>IF(D814&lt;=1,1,0)</x:f>
        <x:v>1</x:v>
      </x:c>
      <x:c r="F814" s="6" t="n">
        <x:f>4*SUM($E$9:E814)/A814</x:f>
        <x:v>3.101736972704715</x:v>
      </x:c>
      <x:c r="G814" s="1"/>
      <x:c r="H814" s="1"/>
    </x:row>
    <x:row r="815" ht="22" customHeight="1">
      <x:c r="A815" s="1" t="n">
        <x:v>807</x:v>
      </x:c>
      <x:c r="B815" s="6" t="n">
        <x:f>RAND()</x:f>
        <x:v>0.9149617525513791</x:v>
      </x:c>
      <x:c r="C815" s="6" t="n">
        <x:f>RAND()</x:f>
        <x:v>0.7247737017469789</x:v>
      </x:c>
      <x:c r="D815" s="6" t="n">
        <x:f>B815^2+C815^2</x:f>
        <x:v>1.3624519273759097</x:v>
      </x:c>
      <x:c r="E815" s="5" t="n">
        <x:f>IF(D815&lt;=1,1,0)</x:f>
        <x:v>0</x:v>
      </x:c>
      <x:c r="F815" s="6" t="n">
        <x:f>4*SUM($E$9:E815)/A815</x:f>
        <x:v>3.097893432465923</x:v>
      </x:c>
      <x:c r="G815" s="1"/>
      <x:c r="H815" s="1"/>
    </x:row>
    <x:row r="816" ht="22" customHeight="1">
      <x:c r="A816" s="1" t="n">
        <x:v>808</x:v>
      </x:c>
      <x:c r="B816" s="6" t="n">
        <x:f>RAND()</x:f>
        <x:v>0.2846969493291863</x:v>
      </x:c>
      <x:c r="C816" s="6" t="n">
        <x:f>RAND()</x:f>
        <x:v>0.6284182129628355</x:v>
      </x:c>
      <x:c r="D816" s="6" t="n">
        <x:f>B816^2+C816^2</x:f>
        <x:v>0.475961803340749</x:v>
      </x:c>
      <x:c r="E816" s="5" t="n">
        <x:f>IF(D816&lt;=1,1,0)</x:f>
        <x:v>1</x:v>
      </x:c>
      <x:c r="F816" s="6" t="n">
        <x:f>4*SUM($E$9:E816)/A816</x:f>
        <x:v>3.099009900990099</x:v>
      </x:c>
      <x:c r="G816" s="1"/>
      <x:c r="H816" s="1"/>
    </x:row>
    <x:row r="817" ht="22" customHeight="1">
      <x:c r="A817" s="1" t="n">
        <x:v>809</x:v>
      </x:c>
      <x:c r="B817" s="6" t="n">
        <x:f>RAND()</x:f>
        <x:v>0.16278202070480086</x:v>
      </x:c>
      <x:c r="C817" s="6" t="n">
        <x:f>RAND()</x:f>
        <x:v>0.6646112368610199</x:v>
      </x:c>
      <x:c r="D817" s="6" t="n">
        <x:f>B817^2+C817^2</x:f>
        <x:v>0.46820608242667283</x:v>
      </x:c>
      <x:c r="E817" s="5" t="n">
        <x:f>IF(D817&lt;=1,1,0)</x:f>
        <x:v>1</x:v>
      </x:c>
      <x:c r="F817" s="6" t="n">
        <x:f>4*SUM($E$9:E817)/A817</x:f>
        <x:v>3.100123609394314</x:v>
      </x:c>
      <x:c r="G817" s="1"/>
      <x:c r="H817" s="1"/>
    </x:row>
    <x:row r="818" ht="22" customHeight="1">
      <x:c r="A818" s="1" t="n">
        <x:v>810</x:v>
      </x:c>
      <x:c r="B818" s="6" t="n">
        <x:f>RAND()</x:f>
        <x:v>0.5198204548166154</x:v>
      </x:c>
      <x:c r="C818" s="6" t="n">
        <x:f>RAND()</x:f>
        <x:v>0.47611252536369875</x:v>
      </x:c>
      <x:c r="D818" s="6" t="n">
        <x:f>B818^2+C818^2</x:f>
        <x:v>0.4968964420539516</x:v>
      </x:c>
      <x:c r="E818" s="5" t="n">
        <x:f>IF(D818&lt;=1,1,0)</x:f>
        <x:v>1</x:v>
      </x:c>
      <x:c r="F818" s="6" t="n">
        <x:f>4*SUM($E$9:E818)/A818</x:f>
        <x:v>3.1012345679012348</x:v>
      </x:c>
      <x:c r="G818" s="1"/>
      <x:c r="H818" s="1"/>
    </x:row>
    <x:row r="819" ht="22" customHeight="1">
      <x:c r="A819" s="1" t="n">
        <x:v>811</x:v>
      </x:c>
      <x:c r="B819" s="6" t="n">
        <x:f>RAND()</x:f>
        <x:v>0.6027284146919103</x:v>
      </x:c>
      <x:c r="C819" s="6" t="n">
        <x:f>RAND()</x:f>
        <x:v>0.17902407724271574</x:v>
      </x:c>
      <x:c r="D819" s="6" t="n">
        <x:f>B819^2+C819^2</x:f>
        <x:v>0.39533116210962926</x:v>
      </x:c>
      <x:c r="E819" s="5" t="n">
        <x:f>IF(D819&lt;=1,1,0)</x:f>
        <x:v>1</x:v>
      </x:c>
      <x:c r="F819" s="6" t="n">
        <x:f>4*SUM($E$9:E819)/A819</x:f>
        <x:v>3.1023427866831073</x:v>
      </x:c>
      <x:c r="G819" s="1"/>
      <x:c r="H819" s="1"/>
    </x:row>
    <x:row r="820" ht="22" customHeight="1">
      <x:c r="A820" s="1" t="n">
        <x:v>812</x:v>
      </x:c>
      <x:c r="B820" s="6" t="n">
        <x:f>RAND()</x:f>
        <x:v>0.4468115297978209</x:v>
      </x:c>
      <x:c r="C820" s="6" t="n">
        <x:f>RAND()</x:f>
        <x:v>0.9901152415234732</x:v>
      </x:c>
      <x:c r="D820" s="6" t="n">
        <x:f>B820^2+C820^2</x:f>
        <x:v>1.1799687346573546</x:v>
      </x:c>
      <x:c r="E820" s="5" t="n">
        <x:f>IF(D820&lt;=1,1,0)</x:f>
        <x:v>0</x:v>
      </x:c>
      <x:c r="F820" s="6" t="n">
        <x:f>4*SUM($E$9:E820)/A820</x:f>
        <x:v>3.0985221674876846</x:v>
      </x:c>
      <x:c r="G820" s="1"/>
      <x:c r="H820" s="1"/>
    </x:row>
    <x:row r="821" ht="22" customHeight="1">
      <x:c r="A821" s="1" t="n">
        <x:v>813</x:v>
      </x:c>
      <x:c r="B821" s="6" t="n">
        <x:f>RAND()</x:f>
        <x:v>0.3876228239995828</x:v>
      </x:c>
      <x:c r="C821" s="6" t="n">
        <x:f>RAND()</x:f>
        <x:v>0.24669821625295818</x:v>
      </x:c>
      <x:c r="D821" s="6" t="n">
        <x:f>B821^2+C821^2</x:f>
        <x:v>0.21111146358780286</x:v>
      </x:c>
      <x:c r="E821" s="5" t="n">
        <x:f>IF(D821&lt;=1,1,0)</x:f>
        <x:v>1</x:v>
      </x:c>
      <x:c r="F821" s="6" t="n">
        <x:f>4*SUM($E$9:E821)/A821</x:f>
        <x:v>3.0996309963099633</x:v>
      </x:c>
      <x:c r="G821" s="1"/>
      <x:c r="H821" s="1"/>
    </x:row>
    <x:row r="822" ht="22" customHeight="1">
      <x:c r="A822" s="1" t="n">
        <x:v>814</x:v>
      </x:c>
      <x:c r="B822" s="6" t="n">
        <x:f>RAND()</x:f>
        <x:v>0.5165053420446182</x:v>
      </x:c>
      <x:c r="C822" s="6" t="n">
        <x:f>RAND()</x:f>
        <x:v>0.4940672839970889</x:v>
      </x:c>
      <x:c r="D822" s="6" t="n">
        <x:f>B822^2+C822^2</x:f>
        <x:v>0.510880249476888</x:v>
      </x:c>
      <x:c r="E822" s="5" t="n">
        <x:f>IF(D822&lt;=1,1,0)</x:f>
        <x:v>1</x:v>
      </x:c>
      <x:c r="F822" s="6" t="n">
        <x:f>4*SUM($E$9:E822)/A822</x:f>
        <x:v>3.1007371007371005</x:v>
      </x:c>
      <x:c r="G822" s="1"/>
      <x:c r="H822" s="1"/>
    </x:row>
    <x:row r="823" ht="22" customHeight="1">
      <x:c r="A823" s="1" t="n">
        <x:v>815</x:v>
      </x:c>
      <x:c r="B823" s="6" t="n">
        <x:f>RAND()</x:f>
        <x:v>0.0715355761692168</x:v>
      </x:c>
      <x:c r="C823" s="6" t="n">
        <x:f>RAND()</x:f>
        <x:v>0.283732192841029</x:v>
      </x:c>
      <x:c r="D823" s="6" t="n">
        <x:f>B823^2+C823^2</x:f>
        <x:v>0.0856212959122407</x:v>
      </x:c>
      <x:c r="E823" s="5" t="n">
        <x:f>IF(D823&lt;=1,1,0)</x:f>
        <x:v>1</x:v>
      </x:c>
      <x:c r="F823" s="6" t="n">
        <x:f>4*SUM($E$9:E823)/A823</x:f>
        <x:v>3.101840490797546</x:v>
      </x:c>
      <x:c r="G823" s="1"/>
      <x:c r="H823" s="1"/>
    </x:row>
    <x:row r="824" ht="22" customHeight="1">
      <x:c r="A824" s="1" t="n">
        <x:v>816</x:v>
      </x:c>
      <x:c r="B824" s="6" t="n">
        <x:f>RAND()</x:f>
        <x:v>0.7722831514092817</x:v>
      </x:c>
      <x:c r="C824" s="6" t="n">
        <x:f>RAND()</x:f>
        <x:v>0.6658625786136234</x:v>
      </x:c>
      <x:c r="D824" s="6" t="n">
        <x:f>B824^2+C824^2</x:f>
        <x:v>1.0397942395486355</x:v>
      </x:c>
      <x:c r="E824" s="5" t="n">
        <x:f>IF(D824&lt;=1,1,0)</x:f>
        <x:v>0</x:v>
      </x:c>
      <x:c r="F824" s="6" t="n">
        <x:f>4*SUM($E$9:E824)/A824</x:f>
        <x:v>3.0980392156862746</x:v>
      </x:c>
      <x:c r="G824" s="1"/>
      <x:c r="H824" s="1"/>
    </x:row>
    <x:row r="825" ht="22" customHeight="1">
      <x:c r="A825" s="1" t="n">
        <x:v>817</x:v>
      </x:c>
      <x:c r="B825" s="6" t="n">
        <x:f>RAND()</x:f>
        <x:v>0.8217193771227311</x:v>
      </x:c>
      <x:c r="C825" s="6" t="n">
        <x:f>RAND()</x:f>
        <x:v>0.33735432403987375</x:v>
      </x:c>
      <x:c r="D825" s="6" t="n">
        <x:f>B825^2+C825^2</x:f>
        <x:v>0.7890306746873693</x:v>
      </x:c>
      <x:c r="E825" s="5" t="n">
        <x:f>IF(D825&lt;=1,1,0)</x:f>
        <x:v>1</x:v>
      </x:c>
      <x:c r="F825" s="6" t="n">
        <x:f>4*SUM($E$9:E825)/A825</x:f>
        <x:v>3.099143206854345</x:v>
      </x:c>
      <x:c r="G825" s="1"/>
      <x:c r="H825" s="1"/>
    </x:row>
    <x:row r="826" ht="22" customHeight="1">
      <x:c r="A826" s="1" t="n">
        <x:v>818</x:v>
      </x:c>
      <x:c r="B826" s="6" t="n">
        <x:f>RAND()</x:f>
        <x:v>0.7446091448039117</x:v>
      </x:c>
      <x:c r="C826" s="6" t="n">
        <x:f>RAND()</x:f>
        <x:v>0.4554848206912351</x:v>
      </x:c>
      <x:c r="D826" s="6" t="n">
        <x:f>B826^2+C826^2</x:f>
        <x:v>0.7619092004057393</x:v>
      </x:c>
      <x:c r="E826" s="5" t="n">
        <x:f>IF(D826&lt;=1,1,0)</x:f>
        <x:v>1</x:v>
      </x:c>
      <x:c r="F826" s="6" t="n">
        <x:f>4*SUM($E$9:E826)/A826</x:f>
        <x:v>3.100244498777506</x:v>
      </x:c>
      <x:c r="G826" s="1"/>
      <x:c r="H826" s="1"/>
    </x:row>
    <x:row r="827" ht="22" customHeight="1">
      <x:c r="A827" s="1" t="n">
        <x:v>819</x:v>
      </x:c>
      <x:c r="B827" s="6" t="n">
        <x:f>RAND()</x:f>
        <x:v>0.8073513529577834</x:v>
      </x:c>
      <x:c r="C827" s="6" t="n">
        <x:f>RAND()</x:f>
        <x:v>0.4828437276588289</x:v>
      </x:c>
      <x:c r="D827" s="6" t="n">
        <x:f>B827^2+C827^2</x:f>
        <x:v>0.8849542724622367</x:v>
      </x:c>
      <x:c r="E827" s="5" t="n">
        <x:f>IF(D827&lt;=1,1,0)</x:f>
        <x:v>1</x:v>
      </x:c>
      <x:c r="F827" s="6" t="n">
        <x:f>4*SUM($E$9:E827)/A827</x:f>
        <x:v>3.1013431013431014</x:v>
      </x:c>
      <x:c r="G827" s="1"/>
      <x:c r="H827" s="1"/>
    </x:row>
    <x:row r="828" ht="22" customHeight="1">
      <x:c r="A828" s="1" t="n">
        <x:v>820</x:v>
      </x:c>
      <x:c r="B828" s="6" t="n">
        <x:f>RAND()</x:f>
        <x:v>0.25578247956513345</x:v>
      </x:c>
      <x:c r="C828" s="6" t="n">
        <x:f>RAND()</x:f>
        <x:v>0.21908974785589697</x:v>
      </x:c>
      <x:c r="D828" s="6" t="n">
        <x:f>B828^2+C828^2</x:f>
        <x:v>0.11342499446804842</x:v>
      </x:c>
      <x:c r="E828" s="5" t="n">
        <x:f>IF(D828&lt;=1,1,0)</x:f>
        <x:v>1</x:v>
      </x:c>
      <x:c r="F828" s="6" t="n">
        <x:f>4*SUM($E$9:E828)/A828</x:f>
        <x:v>3.102439024390244</x:v>
      </x:c>
      <x:c r="G828" s="1"/>
      <x:c r="H828" s="1"/>
    </x:row>
    <x:row r="829" ht="22" customHeight="1">
      <x:c r="A829" s="1" t="n">
        <x:v>821</x:v>
      </x:c>
      <x:c r="B829" s="6" t="n">
        <x:f>RAND()</x:f>
        <x:v>0.7573475504996888</x:v>
      </x:c>
      <x:c r="C829" s="6" t="n">
        <x:f>RAND()</x:f>
        <x:v>0.18078063041340942</x:v>
      </x:c>
      <x:c r="D829" s="6" t="n">
        <x:f>B829^2+C829^2</x:f>
        <x:v>0.6062569485805485</x:v>
      </x:c>
      <x:c r="E829" s="5" t="n">
        <x:f>IF(D829&lt;=1,1,0)</x:f>
        <x:v>1</x:v>
      </x:c>
      <x:c r="F829" s="6" t="n">
        <x:f>4*SUM($E$9:E829)/A829</x:f>
        <x:v>3.1035322777101095</x:v>
      </x:c>
      <x:c r="G829" s="1"/>
      <x:c r="H829" s="1"/>
    </x:row>
    <x:row r="830" ht="22" customHeight="1">
      <x:c r="A830" s="1" t="n">
        <x:v>822</x:v>
      </x:c>
      <x:c r="B830" s="6" t="n">
        <x:f>RAND()</x:f>
        <x:v>0.5799017529100463</x:v>
      </x:c>
      <x:c r="C830" s="6" t="n">
        <x:f>RAND()</x:f>
        <x:v>0.9537071353218562</x:v>
      </x:c>
      <x:c r="D830" s="6" t="n">
        <x:f>B830^2+C830^2</x:f>
        <x:v>1.2458433429919658</x:v>
      </x:c>
      <x:c r="E830" s="5" t="n">
        <x:f>IF(D830&lt;=1,1,0)</x:f>
        <x:v>0</x:v>
      </x:c>
      <x:c r="F830" s="6" t="n">
        <x:f>4*SUM($E$9:E830)/A830</x:f>
        <x:v>3.099756690997567</x:v>
      </x:c>
      <x:c r="G830" s="1"/>
      <x:c r="H830" s="1"/>
    </x:row>
    <x:row r="831" ht="22" customHeight="1">
      <x:c r="A831" s="1" t="n">
        <x:v>823</x:v>
      </x:c>
      <x:c r="B831" s="6" t="n">
        <x:f>RAND()</x:f>
        <x:v>0.2669633794681673</x:v>
      </x:c>
      <x:c r="C831" s="6" t="n">
        <x:f>RAND()</x:f>
        <x:v>0.46850929013806875</x:v>
      </x:c>
      <x:c r="D831" s="6" t="n">
        <x:f>B831^2+C831^2</x:f>
        <x:v>0.29077040092274176</x:v>
      </x:c>
      <x:c r="E831" s="5" t="n">
        <x:f>IF(D831&lt;=1,1,0)</x:f>
        <x:v>1</x:v>
      </x:c>
      <x:c r="F831" s="6" t="n">
        <x:f>4*SUM($E$9:E831)/A831</x:f>
        <x:v>3.100850546780073</x:v>
      </x:c>
      <x:c r="G831" s="1"/>
      <x:c r="H831" s="1"/>
    </x:row>
    <x:row r="832" ht="22" customHeight="1">
      <x:c r="A832" s="1" t="n">
        <x:v>824</x:v>
      </x:c>
      <x:c r="B832" s="6" t="n">
        <x:f>RAND()</x:f>
        <x:v>0.16637338380840716</x:v>
      </x:c>
      <x:c r="C832" s="6" t="n">
        <x:f>RAND()</x:f>
        <x:v>0.8362330847671307</x:v>
      </x:c>
      <x:c r="D832" s="6" t="n">
        <x:f>B832^2+C832^2</x:f>
        <x:v>0.7269658748990107</x:v>
      </x:c>
      <x:c r="E832" s="5" t="n">
        <x:f>IF(D832&lt;=1,1,0)</x:f>
        <x:v>1</x:v>
      </x:c>
      <x:c r="F832" s="6" t="n">
        <x:f>4*SUM($E$9:E832)/A832</x:f>
        <x:v>3.1019417475728157</x:v>
      </x:c>
      <x:c r="G832" s="1"/>
      <x:c r="H832" s="1"/>
    </x:row>
    <x:row r="833" ht="22" customHeight="1">
      <x:c r="A833" s="1" t="n">
        <x:v>825</x:v>
      </x:c>
      <x:c r="B833" s="6" t="n">
        <x:f>RAND()</x:f>
        <x:v>0.8281432578903676</x:v>
      </x:c>
      <x:c r="C833" s="6" t="n">
        <x:f>RAND()</x:f>
        <x:v>0.9068879979816108</x:v>
      </x:c>
      <x:c r="D833" s="6" t="n">
        <x:f>B833^2+C833^2</x:f>
        <x:v>1.5082670964723661</x:v>
      </x:c>
      <x:c r="E833" s="5" t="n">
        <x:f>IF(D833&lt;=1,1,0)</x:f>
        <x:v>0</x:v>
      </x:c>
      <x:c r="F833" s="6" t="n">
        <x:f>4*SUM($E$9:E833)/A833</x:f>
        <x:v>3.098181818181818</x:v>
      </x:c>
      <x:c r="G833" s="1"/>
      <x:c r="H833" s="1"/>
    </x:row>
    <x:row r="834" ht="22" customHeight="1">
      <x:c r="A834" s="1" t="n">
        <x:v>826</x:v>
      </x:c>
      <x:c r="B834" s="6" t="n">
        <x:f>RAND()</x:f>
        <x:v>0.13644708636060143</x:v>
      </x:c>
      <x:c r="C834" s="6" t="n">
        <x:f>RAND()</x:f>
        <x:v>0.8961303456150408</x:v>
      </x:c>
      <x:c r="D834" s="6" t="n">
        <x:f>B834^2+C834^2</x:f>
        <x:v>0.8216674037084299</x:v>
      </x:c>
      <x:c r="E834" s="5" t="n">
        <x:f>IF(D834&lt;=1,1,0)</x:f>
        <x:v>1</x:v>
      </x:c>
      <x:c r="F834" s="6" t="n">
        <x:f>4*SUM($E$9:E834)/A834</x:f>
        <x:v>3.099273607748184</x:v>
      </x:c>
      <x:c r="G834" s="1"/>
      <x:c r="H834" s="1"/>
    </x:row>
    <x:row r="835" ht="22" customHeight="1">
      <x:c r="A835" s="1" t="n">
        <x:v>827</x:v>
      </x:c>
      <x:c r="B835" s="6" t="n">
        <x:f>RAND()</x:f>
        <x:v>0.4502281792315084</x:v>
      </x:c>
      <x:c r="C835" s="6" t="n">
        <x:f>RAND()</x:f>
        <x:v>0.014622042692089665</x:v>
      </x:c>
      <x:c r="D835" s="6" t="n">
        <x:f>B835^2+C835^2</x:f>
        <x:v>0.20291921750660852</x:v>
      </x:c>
      <x:c r="E835" s="5" t="n">
        <x:f>IF(D835&lt;=1,1,0)</x:f>
        <x:v>1</x:v>
      </x:c>
      <x:c r="F835" s="6" t="n">
        <x:f>4*SUM($E$9:E835)/A835</x:f>
        <x:v>3.100362756952842</x:v>
      </x:c>
      <x:c r="G835" s="1"/>
      <x:c r="H835" s="1"/>
    </x:row>
    <x:row r="836" ht="22" customHeight="1">
      <x:c r="A836" s="1" t="n">
        <x:v>828</x:v>
      </x:c>
      <x:c r="B836" s="6" t="n">
        <x:f>RAND()</x:f>
        <x:v>0.2602807517934618</x:v>
      </x:c>
      <x:c r="C836" s="6" t="n">
        <x:f>RAND()</x:f>
        <x:v>0.2045759508631677</x:v>
      </x:c>
      <x:c r="D836" s="6" t="n">
        <x:f>B836^2+C836^2</x:f>
        <x:v>0.10959738942573885</x:v>
      </x:c>
      <x:c r="E836" s="5" t="n">
        <x:f>IF(D836&lt;=1,1,0)</x:f>
        <x:v>1</x:v>
      </x:c>
      <x:c r="F836" s="6" t="n">
        <x:f>4*SUM($E$9:E836)/A836</x:f>
        <x:v>3.101449275362319</x:v>
      </x:c>
      <x:c r="G836" s="1"/>
      <x:c r="H836" s="1"/>
    </x:row>
    <x:row r="837" ht="22" customHeight="1">
      <x:c r="A837" s="1" t="n">
        <x:v>829</x:v>
      </x:c>
      <x:c r="B837" s="6" t="n">
        <x:f>RAND()</x:f>
        <x:v>0.8610589106405417</x:v>
      </x:c>
      <x:c r="C837" s="6" t="n">
        <x:f>RAND()</x:f>
        <x:v>0.3440487012897715</x:v>
      </x:c>
      <x:c r="D837" s="6" t="n">
        <x:f>B837^2+C837^2</x:f>
        <x:v>0.8597919564526548</x:v>
      </x:c>
      <x:c r="E837" s="5" t="n">
        <x:f>IF(D837&lt;=1,1,0)</x:f>
        <x:v>1</x:v>
      </x:c>
      <x:c r="F837" s="6" t="n">
        <x:f>4*SUM($E$9:E837)/A837</x:f>
        <x:v>3.1025331724969845</x:v>
      </x:c>
      <x:c r="G837" s="1"/>
      <x:c r="H837" s="1"/>
    </x:row>
    <x:row r="838" ht="22" customHeight="1">
      <x:c r="A838" s="1" t="n">
        <x:v>830</x:v>
      </x:c>
      <x:c r="B838" s="6" t="n">
        <x:f>RAND()</x:f>
        <x:v>0.14302642684364286</x:v>
      </x:c>
      <x:c r="C838" s="6" t="n">
        <x:f>RAND()</x:f>
        <x:v>0.44456065318165694</x:v>
      </x:c>
      <x:c r="D838" s="6" t="n">
        <x:f>B838^2+C838^2</x:f>
        <x:v>0.2180907331329614</x:v>
      </x:c>
      <x:c r="E838" s="5" t="n">
        <x:f>IF(D838&lt;=1,1,0)</x:f>
        <x:v>1</x:v>
      </x:c>
      <x:c r="F838" s="6" t="n">
        <x:f>4*SUM($E$9:E838)/A838</x:f>
        <x:v>3.103614457831325</x:v>
      </x:c>
      <x:c r="G838" s="1"/>
      <x:c r="H838" s="1"/>
    </x:row>
    <x:row r="839" ht="22" customHeight="1">
      <x:c r="A839" s="1" t="n">
        <x:v>831</x:v>
      </x:c>
      <x:c r="B839" s="6" t="n">
        <x:f>RAND()</x:f>
        <x:v>0.305694592683621</x:v>
      </x:c>
      <x:c r="C839" s="6" t="n">
        <x:f>RAND()</x:f>
        <x:v>0.22909713032045387</x:v>
      </x:c>
      <x:c r="D839" s="6" t="n">
        <x:f>B839^2+C839^2</x:f>
        <x:v>0.14593467911707197</x:v>
      </x:c>
      <x:c r="E839" s="5" t="n">
        <x:f>IF(D839&lt;=1,1,0)</x:f>
        <x:v>1</x:v>
      </x:c>
      <x:c r="F839" s="6" t="n">
        <x:f>4*SUM($E$9:E839)/A839</x:f>
        <x:v>3.104693140794224</x:v>
      </x:c>
      <x:c r="G839" s="1"/>
      <x:c r="H839" s="1"/>
    </x:row>
    <x:row r="840" ht="22" customHeight="1">
      <x:c r="A840" s="1" t="n">
        <x:v>832</x:v>
      </x:c>
      <x:c r="B840" s="6" t="n">
        <x:f>RAND()</x:f>
        <x:v>0.5949629455196515</x:v>
      </x:c>
      <x:c r="C840" s="6" t="n">
        <x:f>RAND()</x:f>
        <x:v>0.23395330880417253</x:v>
      </x:c>
      <x:c r="D840" s="6" t="n">
        <x:f>B840^2+C840^2</x:f>
        <x:v>0.40871505724184026</x:v>
      </x:c>
      <x:c r="E840" s="5" t="n">
        <x:f>IF(D840&lt;=1,1,0)</x:f>
        <x:v>1</x:v>
      </x:c>
      <x:c r="F840" s="6" t="n">
        <x:f>4*SUM($E$9:E840)/A840</x:f>
        <x:v>3.105769230769231</x:v>
      </x:c>
      <x:c r="G840" s="1"/>
      <x:c r="H840" s="1"/>
    </x:row>
    <x:row r="841" ht="22" customHeight="1">
      <x:c r="A841" s="1" t="n">
        <x:v>833</x:v>
      </x:c>
      <x:c r="B841" s="6" t="n">
        <x:f>RAND()</x:f>
        <x:v>0.9851723162559093</x:v>
      </x:c>
      <x:c r="C841" s="6" t="n">
        <x:f>RAND()</x:f>
        <x:v>0.7408598039628677</x:v>
      </x:c>
      <x:c r="D841" s="6" t="n">
        <x:f>B841^2+C841^2</x:f>
        <x:v>1.519437741844932</x:v>
      </x:c>
      <x:c r="E841" s="5" t="n">
        <x:f>IF(D841&lt;=1,1,0)</x:f>
        <x:v>0</x:v>
      </x:c>
      <x:c r="F841" s="6" t="n">
        <x:f>4*SUM($E$9:E841)/A841</x:f>
        <x:v>3.1020408163265305</x:v>
      </x:c>
      <x:c r="G841" s="1"/>
      <x:c r="H841" s="1"/>
    </x:row>
    <x:row r="842" ht="22" customHeight="1">
      <x:c r="A842" s="1" t="n">
        <x:v>834</x:v>
      </x:c>
      <x:c r="B842" s="6" t="n">
        <x:f>RAND()</x:f>
        <x:v>0.08663336545764377</x:v>
      </x:c>
      <x:c r="C842" s="6" t="n">
        <x:f>RAND()</x:f>
        <x:v>0.041757777896356596</x:v>
      </x:c>
      <x:c r="D842" s="6" t="n">
        <x:f>B842^2+C842^2</x:f>
        <x:v>0.009249052025359113</x:v>
      </x:c>
      <x:c r="E842" s="5" t="n">
        <x:f>IF(D842&lt;=1,1,0)</x:f>
        <x:v>1</x:v>
      </x:c>
      <x:c r="F842" s="6" t="n">
        <x:f>4*SUM($E$9:E842)/A842</x:f>
        <x:v>3.1031175059952036</x:v>
      </x:c>
      <x:c r="G842" s="1"/>
      <x:c r="H842" s="1"/>
    </x:row>
    <x:row r="843" ht="22" customHeight="1">
      <x:c r="A843" s="1" t="n">
        <x:v>835</x:v>
      </x:c>
      <x:c r="B843" s="6" t="n">
        <x:f>RAND()</x:f>
        <x:v>0.6965273240687891</x:v>
      </x:c>
      <x:c r="C843" s="6" t="n">
        <x:f>RAND()</x:f>
        <x:v>0.7812114353329966</x:v>
      </x:c>
      <x:c r="D843" s="6" t="n">
        <x:f>B843^2+C843^2</x:f>
        <x:v>1.0954416198694688</x:v>
      </x:c>
      <x:c r="E843" s="5" t="n">
        <x:f>IF(D843&lt;=1,1,0)</x:f>
        <x:v>0</x:v>
      </x:c>
      <x:c r="F843" s="6" t="n">
        <x:f>4*SUM($E$9:E843)/A843</x:f>
        <x:v>3.0994011976047906</x:v>
      </x:c>
      <x:c r="G843" s="1"/>
      <x:c r="H843" s="1"/>
    </x:row>
    <x:row r="844" ht="22" customHeight="1">
      <x:c r="A844" s="1" t="n">
        <x:v>836</x:v>
      </x:c>
      <x:c r="B844" s="6" t="n">
        <x:f>RAND()</x:f>
        <x:v>0.12012593981181119</x:v>
      </x:c>
      <x:c r="C844" s="6" t="n">
        <x:f>RAND()</x:f>
        <x:v>0.037089325609777735</x:v>
      </x:c>
      <x:c r="D844" s="6" t="n">
        <x:f>B844^2+C844^2</x:f>
        <x:v>0.015805859489859</x:v>
      </x:c>
      <x:c r="E844" s="5" t="n">
        <x:f>IF(D844&lt;=1,1,0)</x:f>
        <x:v>1</x:v>
      </x:c>
      <x:c r="F844" s="6" t="n">
        <x:f>4*SUM($E$9:E844)/A844</x:f>
        <x:v>3.1004784688995217</x:v>
      </x:c>
      <x:c r="G844" s="1"/>
      <x:c r="H844" s="1"/>
    </x:row>
    <x:row r="845" ht="22" customHeight="1">
      <x:c r="A845" s="1" t="n">
        <x:v>837</x:v>
      </x:c>
      <x:c r="B845" s="6" t="n">
        <x:f>RAND()</x:f>
        <x:v>0.6035755338341153</x:v>
      </x:c>
      <x:c r="C845" s="6" t="n">
        <x:f>RAND()</x:f>
        <x:v>0.9688585307341647</x:v>
      </x:c>
      <x:c r="D845" s="6" t="n">
        <x:f>B845^2+C845^2</x:f>
        <x:v>1.3029902776195017</x:v>
      </x:c>
      <x:c r="E845" s="5" t="n">
        <x:f>IF(D845&lt;=1,1,0)</x:f>
        <x:v>0</x:v>
      </x:c>
      <x:c r="F845" s="6" t="n">
        <x:f>4*SUM($E$9:E845)/A845</x:f>
        <x:v>3.096774193548387</x:v>
      </x:c>
      <x:c r="G845" s="1"/>
      <x:c r="H845" s="1"/>
    </x:row>
    <x:row r="846" ht="22" customHeight="1">
      <x:c r="A846" s="1" t="n">
        <x:v>838</x:v>
      </x:c>
      <x:c r="B846" s="6" t="n">
        <x:f>RAND()</x:f>
        <x:v>0.7849847871985097</x:v>
      </x:c>
      <x:c r="C846" s="6" t="n">
        <x:f>RAND()</x:f>
        <x:v>0.8147960754099446</x:v>
      </x:c>
      <x:c r="D846" s="6" t="n">
        <x:f>B846^2+C846^2</x:f>
        <x:v>1.2800937606365377</x:v>
      </x:c>
      <x:c r="E846" s="5" t="n">
        <x:f>IF(D846&lt;=1,1,0)</x:f>
        <x:v>0</x:v>
      </x:c>
      <x:c r="F846" s="6" t="n">
        <x:f>4*SUM($E$9:E846)/A846</x:f>
        <x:v>3.0930787589498805</x:v>
      </x:c>
      <x:c r="G846" s="1"/>
      <x:c r="H846" s="1"/>
    </x:row>
    <x:row r="847" ht="22" customHeight="1">
      <x:c r="A847" s="1" t="n">
        <x:v>839</x:v>
      </x:c>
      <x:c r="B847" s="6" t="n">
        <x:f>RAND()</x:f>
        <x:v>0.06626320284719966</x:v>
      </x:c>
      <x:c r="C847" s="6" t="n">
        <x:f>RAND()</x:f>
        <x:v>0.7804639375186035</x:v>
      </x:c>
      <x:c r="D847" s="6" t="n">
        <x:f>B847^2+C847^2</x:f>
        <x:v>0.6135147698186117</x:v>
      </x:c>
      <x:c r="E847" s="5" t="n">
        <x:f>IF(D847&lt;=1,1,0)</x:f>
        <x:v>1</x:v>
      </x:c>
      <x:c r="F847" s="6" t="n">
        <x:f>4*SUM($E$9:E847)/A847</x:f>
        <x:v>3.0941597139451726</x:v>
      </x:c>
      <x:c r="G847" s="1"/>
      <x:c r="H847" s="1"/>
    </x:row>
    <x:row r="848" ht="22" customHeight="1">
      <x:c r="A848" s="1" t="n">
        <x:v>840</x:v>
      </x:c>
      <x:c r="B848" s="6" t="n">
        <x:f>RAND()</x:f>
        <x:v>0.12836503605319904</x:v>
      </x:c>
      <x:c r="C848" s="6" t="n">
        <x:f>RAND()</x:f>
        <x:v>0.5750814942663074</x:v>
      </x:c>
      <x:c r="D848" s="6" t="n">
        <x:f>B848^2+C848^2</x:f>
        <x:v>0.34719630752850805</x:v>
      </x:c>
      <x:c r="E848" s="5" t="n">
        <x:f>IF(D848&lt;=1,1,0)</x:f>
        <x:v>1</x:v>
      </x:c>
      <x:c r="F848" s="6" t="n">
        <x:f>4*SUM($E$9:E848)/A848</x:f>
        <x:v>3.0952380952380953</x:v>
      </x:c>
      <x:c r="G848" s="1"/>
      <x:c r="H848" s="1"/>
    </x:row>
    <x:row r="849" ht="22" customHeight="1">
      <x:c r="A849" s="1" t="n">
        <x:v>841</x:v>
      </x:c>
      <x:c r="B849" s="6" t="n">
        <x:f>RAND()</x:f>
        <x:v>0.6059934461168424</x:v>
      </x:c>
      <x:c r="C849" s="6" t="n">
        <x:f>RAND()</x:f>
        <x:v>0.8017085516588134</x:v>
      </x:c>
      <x:c r="D849" s="6" t="n">
        <x:f>B849^2+C849^2</x:f>
        <x:v>1.0099646585394386</x:v>
      </x:c>
      <x:c r="E849" s="5" t="n">
        <x:f>IF(D849&lt;=1,1,0)</x:f>
        <x:v>0</x:v>
      </x:c>
      <x:c r="F849" s="6" t="n">
        <x:f>4*SUM($E$9:E849)/A849</x:f>
        <x:v>3.0915576694411415</x:v>
      </x:c>
      <x:c r="G849" s="1"/>
      <x:c r="H849" s="1"/>
    </x:row>
    <x:row r="850" ht="22" customHeight="1">
      <x:c r="A850" s="1" t="n">
        <x:v>842</x:v>
      </x:c>
      <x:c r="B850" s="6" t="n">
        <x:f>RAND()</x:f>
        <x:v>0.4732541065780118</x:v>
      </x:c>
      <x:c r="C850" s="6" t="n">
        <x:f>RAND()</x:f>
        <x:v>0.8524541175609037</x:v>
      </x:c>
      <x:c r="D850" s="6" t="n">
        <x:f>B850^2+C850^2</x:f>
        <x:v>0.9506474719394912</x:v>
      </x:c>
      <x:c r="E850" s="5" t="n">
        <x:f>IF(D850&lt;=1,1,0)</x:f>
        <x:v>1</x:v>
      </x:c>
      <x:c r="F850" s="6" t="n">
        <x:f>4*SUM($E$9:E850)/A850</x:f>
        <x:v>3.0926365795724466</x:v>
      </x:c>
      <x:c r="G850" s="1"/>
      <x:c r="H850" s="1"/>
    </x:row>
    <x:row r="851" ht="22" customHeight="1">
      <x:c r="A851" s="1" t="n">
        <x:v>843</x:v>
      </x:c>
      <x:c r="B851" s="6" t="n">
        <x:f>RAND()</x:f>
        <x:v>0.08064171286604227</x:v>
      </x:c>
      <x:c r="C851" s="6" t="n">
        <x:f>RAND()</x:f>
        <x:v>0.8077414037375303</x:v>
      </x:c>
      <x:c r="D851" s="6" t="n">
        <x:f>B851^2+C851^2</x:f>
        <x:v>0.6589492611658452</x:v>
      </x:c>
      <x:c r="E851" s="5" t="n">
        <x:f>IF(D851&lt;=1,1,0)</x:f>
        <x:v>1</x:v>
      </x:c>
      <x:c r="F851" s="6" t="n">
        <x:f>4*SUM($E$9:E851)/A851</x:f>
        <x:v>3.093712930011862</x:v>
      </x:c>
      <x:c r="G851" s="1"/>
      <x:c r="H851" s="1"/>
    </x:row>
    <x:row r="852" ht="22" customHeight="1">
      <x:c r="A852" s="1" t="n">
        <x:v>844</x:v>
      </x:c>
      <x:c r="B852" s="6" t="n">
        <x:f>RAND()</x:f>
        <x:v>0.7453616134528334</x:v>
      </x:c>
      <x:c r="C852" s="6" t="n">
        <x:f>RAND()</x:f>
        <x:v>0.1618577658511693</x:v>
      </x:c>
      <x:c r="D852" s="6" t="n">
        <x:f>B852^2+C852^2</x:f>
        <x:v>0.581761871175343</x:v>
      </x:c>
      <x:c r="E852" s="5" t="n">
        <x:f>IF(D852&lt;=1,1,0)</x:f>
        <x:v>1</x:v>
      </x:c>
      <x:c r="F852" s="6" t="n">
        <x:f>4*SUM($E$9:E852)/A852</x:f>
        <x:v>3.09478672985782</x:v>
      </x:c>
      <x:c r="G852" s="1"/>
      <x:c r="H852" s="1"/>
    </x:row>
    <x:row r="853" ht="22" customHeight="1">
      <x:c r="A853" s="1" t="n">
        <x:v>845</x:v>
      </x:c>
      <x:c r="B853" s="6" t="n">
        <x:f>RAND()</x:f>
        <x:v>0.824442776242699</x:v>
      </x:c>
      <x:c r="C853" s="6" t="n">
        <x:f>RAND()</x:f>
        <x:v>0.8055716996762167</x:v>
      </x:c>
      <x:c r="D853" s="6" t="n">
        <x:f>B853^2+C853^2</x:f>
        <x:v>1.3286516546179978</x:v>
      </x:c>
      <x:c r="E853" s="5" t="n">
        <x:f>IF(D853&lt;=1,1,0)</x:f>
        <x:v>0</x:v>
      </x:c>
      <x:c r="F853" s="6" t="n">
        <x:f>4*SUM($E$9:E853)/A853</x:f>
        <x:v>3.0911242603550297</x:v>
      </x:c>
      <x:c r="G853" s="1"/>
      <x:c r="H853" s="1"/>
    </x:row>
    <x:row r="854" ht="22" customHeight="1">
      <x:c r="A854" s="1" t="n">
        <x:v>846</x:v>
      </x:c>
      <x:c r="B854" s="6" t="n">
        <x:f>RAND()</x:f>
        <x:v>0.10086429347106396</x:v>
      </x:c>
      <x:c r="C854" s="6" t="n">
        <x:f>RAND()</x:f>
        <x:v>0.1805198164023265</x:v>
      </x:c>
      <x:c r="D854" s="6" t="n">
        <x:f>B854^2+C854^2</x:f>
        <x:v>0.04276100981134659</x:v>
      </x:c>
      <x:c r="E854" s="5" t="n">
        <x:f>IF(D854&lt;=1,1,0)</x:f>
        <x:v>1</x:v>
      </x:c>
      <x:c r="F854" s="6" t="n">
        <x:f>4*SUM($E$9:E854)/A854</x:f>
        <x:v>3.0921985815602837</x:v>
      </x:c>
      <x:c r="G854" s="1"/>
      <x:c r="H854" s="1"/>
    </x:row>
    <x:row r="855" ht="22" customHeight="1">
      <x:c r="A855" s="1" t="n">
        <x:v>847</x:v>
      </x:c>
      <x:c r="B855" s="6" t="n">
        <x:f>RAND()</x:f>
        <x:v>0.9253272838078722</x:v>
      </x:c>
      <x:c r="C855" s="6" t="n">
        <x:f>RAND()</x:f>
        <x:v>0.769678715553703</x:v>
      </x:c>
      <x:c r="D855" s="6" t="n">
        <x:f>B855^2+C855^2</x:f>
        <x:v>1.4486359073356527</x:v>
      </x:c>
      <x:c r="E855" s="5" t="n">
        <x:f>IF(D855&lt;=1,1,0)</x:f>
        <x:v>0</x:v>
      </x:c>
      <x:c r="F855" s="6" t="n">
        <x:f>4*SUM($E$9:E855)/A855</x:f>
        <x:v>3.0885478158205433</x:v>
      </x:c>
      <x:c r="G855" s="1"/>
      <x:c r="H855" s="1"/>
    </x:row>
    <x:row r="856" ht="22" customHeight="1">
      <x:c r="A856" s="1" t="n">
        <x:v>848</x:v>
      </x:c>
      <x:c r="B856" s="6" t="n">
        <x:f>RAND()</x:f>
        <x:v>0.7747768087943188</x:v>
      </x:c>
      <x:c r="C856" s="6" t="n">
        <x:f>RAND()</x:f>
        <x:v>0.410228659564045</x:v>
      </x:c>
      <x:c r="D856" s="6" t="n">
        <x:f>B856^2+C856^2</x:f>
        <x:v>0.7685666565732214</x:v>
      </x:c>
      <x:c r="E856" s="5" t="n">
        <x:f>IF(D856&lt;=1,1,0)</x:f>
        <x:v>1</x:v>
      </x:c>
      <x:c r="F856" s="6" t="n">
        <x:f>4*SUM($E$9:E856)/A856</x:f>
        <x:v>3.089622641509434</x:v>
      </x:c>
      <x:c r="G856" s="1"/>
      <x:c r="H856" s="1"/>
    </x:row>
    <x:row r="857" ht="22" customHeight="1">
      <x:c r="A857" s="1" t="n">
        <x:v>849</x:v>
      </x:c>
      <x:c r="B857" s="6" t="n">
        <x:f>RAND()</x:f>
        <x:v>0.004184804044469748</x:v>
      </x:c>
      <x:c r="C857" s="6" t="n">
        <x:f>RAND()</x:f>
        <x:v>0.3816889569290365</x:v>
      </x:c>
      <x:c r="D857" s="6" t="n">
        <x:f>B857^2+C857^2</x:f>
        <x:v>0.14570397242646646</x:v>
      </x:c>
      <x:c r="E857" s="5" t="n">
        <x:f>IF(D857&lt;=1,1,0)</x:f>
        <x:v>1</x:v>
      </x:c>
      <x:c r="F857" s="6" t="n">
        <x:f>4*SUM($E$9:E857)/A857</x:f>
        <x:v>3.0906949352179036</x:v>
      </x:c>
      <x:c r="G857" s="1"/>
      <x:c r="H857" s="1"/>
    </x:row>
    <x:row r="858" ht="22" customHeight="1">
      <x:c r="A858" s="1" t="n">
        <x:v>850</x:v>
      </x:c>
      <x:c r="B858" s="6" t="n">
        <x:f>RAND()</x:f>
        <x:v>0.5550478616272787</x:v>
      </x:c>
      <x:c r="C858" s="6" t="n">
        <x:f>RAND()</x:f>
        <x:v>0.1551694609672415</x:v>
      </x:c>
      <x:c r="D858" s="6" t="n">
        <x:f>B858^2+C858^2</x:f>
        <x:v>0.33215569031387904</x:v>
      </x:c>
      <x:c r="E858" s="5" t="n">
        <x:f>IF(D858&lt;=1,1,0)</x:f>
        <x:v>1</x:v>
      </x:c>
      <x:c r="F858" s="6" t="n">
        <x:f>4*SUM($E$9:E858)/A858</x:f>
        <x:v>3.091764705882353</x:v>
      </x:c>
      <x:c r="G858" s="1"/>
      <x:c r="H858" s="1"/>
    </x:row>
    <x:row r="859" ht="22" customHeight="1">
      <x:c r="A859" s="1" t="n">
        <x:v>851</x:v>
      </x:c>
      <x:c r="B859" s="6" t="n">
        <x:f>RAND()</x:f>
        <x:v>0.8551225006952482</x:v>
      </x:c>
      <x:c r="C859" s="6" t="n">
        <x:f>RAND()</x:f>
        <x:v>0.040092464106010195</x:v>
      </x:c>
      <x:c r="D859" s="6" t="n">
        <x:f>B859^2+C859^2</x:f>
        <x:v>0.7328418968733864</x:v>
      </x:c>
      <x:c r="E859" s="5" t="n">
        <x:f>IF(D859&lt;=1,1,0)</x:f>
        <x:v>1</x:v>
      </x:c>
      <x:c r="F859" s="6" t="n">
        <x:f>4*SUM($E$9:E859)/A859</x:f>
        <x:v>3.0928319623971796</x:v>
      </x:c>
      <x:c r="G859" s="1"/>
      <x:c r="H859" s="1"/>
    </x:row>
    <x:row r="860" ht="22" customHeight="1">
      <x:c r="A860" s="1" t="n">
        <x:v>852</x:v>
      </x:c>
      <x:c r="B860" s="6" t="n">
        <x:f>RAND()</x:f>
        <x:v>0.35465103870990533</x:v>
      </x:c>
      <x:c r="C860" s="6" t="n">
        <x:f>RAND()</x:f>
        <x:v>0.6648107742516299</x:v>
      </x:c>
      <x:c r="D860" s="6" t="n">
        <x:f>B860^2+C860^2</x:f>
        <x:v>0.5677507248190664</x:v>
      </x:c>
      <x:c r="E860" s="5" t="n">
        <x:f>IF(D860&lt;=1,1,0)</x:f>
        <x:v>1</x:v>
      </x:c>
      <x:c r="F860" s="6" t="n">
        <x:f>4*SUM($E$9:E860)/A860</x:f>
        <x:v>3.0938967136150235</x:v>
      </x:c>
      <x:c r="G860" s="1"/>
      <x:c r="H860" s="1"/>
    </x:row>
    <x:row r="861" ht="22" customHeight="1">
      <x:c r="A861" s="1" t="n">
        <x:v>853</x:v>
      </x:c>
      <x:c r="B861" s="6" t="n">
        <x:f>RAND()</x:f>
        <x:v>0.41310996991986937</x:v>
      </x:c>
      <x:c r="C861" s="6" t="n">
        <x:f>RAND()</x:f>
        <x:v>0.6874578502279859</x:v>
      </x:c>
      <x:c r="D861" s="6" t="n">
        <x:f>B861^2+C861^2</x:f>
        <x:v>0.6432581430872792</x:v>
      </x:c>
      <x:c r="E861" s="5" t="n">
        <x:f>IF(D861&lt;=1,1,0)</x:f>
        <x:v>1</x:v>
      </x:c>
      <x:c r="F861" s="6" t="n">
        <x:f>4*SUM($E$9:E861)/A861</x:f>
        <x:v>3.0949589683470107</x:v>
      </x:c>
      <x:c r="G861" s="1"/>
      <x:c r="H861" s="1"/>
    </x:row>
    <x:row r="862" ht="22" customHeight="1">
      <x:c r="A862" s="1" t="n">
        <x:v>854</x:v>
      </x:c>
      <x:c r="B862" s="6" t="n">
        <x:f>RAND()</x:f>
        <x:v>0.6498194189741476</x:v>
      </x:c>
      <x:c r="C862" s="6" t="n">
        <x:f>RAND()</x:f>
        <x:v>0.8409706200153647</x:v>
      </x:c>
      <x:c r="D862" s="6" t="n">
        <x:f>B862^2+C862^2</x:f>
        <x:v>1.1294968610049256</x:v>
      </x:c>
      <x:c r="E862" s="5" t="n">
        <x:f>IF(D862&lt;=1,1,0)</x:f>
        <x:v>0</x:v>
      </x:c>
      <x:c r="F862" s="6" t="n">
        <x:f>4*SUM($E$9:E862)/A862</x:f>
        <x:v>3.091334894613583</x:v>
      </x:c>
      <x:c r="G862" s="1"/>
      <x:c r="H862" s="1"/>
    </x:row>
    <x:row r="863" ht="22" customHeight="1">
      <x:c r="A863" s="1" t="n">
        <x:v>855</x:v>
      </x:c>
      <x:c r="B863" s="6" t="n">
        <x:f>RAND()</x:f>
        <x:v>0.5198264066132634</x:v>
      </x:c>
      <x:c r="C863" s="6" t="n">
        <x:f>RAND()</x:f>
        <x:v>0.00922087581224651</x:v>
      </x:c>
      <x:c r="D863" s="6" t="n">
        <x:f>B863^2+C863^2</x:f>
        <x:v>0.27030451756320273</x:v>
      </x:c>
      <x:c r="E863" s="5" t="n">
        <x:f>IF(D863&lt;=1,1,0)</x:f>
        <x:v>1</x:v>
      </x:c>
      <x:c r="F863" s="6" t="n">
        <x:f>4*SUM($E$9:E863)/A863</x:f>
        <x:v>3.0923976608187136</x:v>
      </x:c>
      <x:c r="G863" s="1"/>
      <x:c r="H863" s="1"/>
    </x:row>
    <x:row r="864" ht="22" customHeight="1">
      <x:c r="A864" s="1" t="n">
        <x:v>856</x:v>
      </x:c>
      <x:c r="B864" s="6" t="n">
        <x:f>RAND()</x:f>
        <x:v>0.20442816014519516</x:v>
      </x:c>
      <x:c r="C864" s="6" t="n">
        <x:f>RAND()</x:f>
        <x:v>0.9111440029401723</x:v>
      </x:c>
      <x:c r="D864" s="6" t="n">
        <x:f>B864^2+C864^2</x:f>
        <x:v>0.8719742667541902</x:v>
      </x:c>
      <x:c r="E864" s="5" t="n">
        <x:f>IF(D864&lt;=1,1,0)</x:f>
        <x:v>1</x:v>
      </x:c>
      <x:c r="F864" s="6" t="n">
        <x:f>4*SUM($E$9:E864)/A864</x:f>
        <x:v>3.0934579439252334</x:v>
      </x:c>
      <x:c r="G864" s="1"/>
      <x:c r="H864" s="1"/>
    </x:row>
    <x:row r="865" ht="22" customHeight="1">
      <x:c r="A865" s="1" t="n">
        <x:v>857</x:v>
      </x:c>
      <x:c r="B865" s="6" t="n">
        <x:f>RAND()</x:f>
        <x:v>0.1688125087584461</x:v>
      </x:c>
      <x:c r="C865" s="6" t="n">
        <x:f>RAND()</x:f>
        <x:v>0.802930004886118</x:v>
      </x:c>
      <x:c r="D865" s="6" t="n">
        <x:f>B865^2+C865^2</x:f>
        <x:v>0.6731942558597419</x:v>
      </x:c>
      <x:c r="E865" s="5" t="n">
        <x:f>IF(D865&lt;=1,1,0)</x:f>
        <x:v>1</x:v>
      </x:c>
      <x:c r="F865" s="6" t="n">
        <x:f>4*SUM($E$9:E865)/A865</x:f>
        <x:v>3.0945157526254374</x:v>
      </x:c>
      <x:c r="G865" s="1"/>
      <x:c r="H865" s="1"/>
    </x:row>
    <x:row r="866" ht="22" customHeight="1">
      <x:c r="A866" s="1" t="n">
        <x:v>858</x:v>
      </x:c>
      <x:c r="B866" s="6" t="n">
        <x:f>RAND()</x:f>
        <x:v>0.3176372907678906</x:v>
      </x:c>
      <x:c r="C866" s="6" t="n">
        <x:f>RAND()</x:f>
        <x:v>0.7730809865544452</x:v>
      </x:c>
      <x:c r="D866" s="6" t="n">
        <x:f>B866^2+C866^2</x:f>
        <x:v>0.6985476602583598</x:v>
      </x:c>
      <x:c r="E866" s="5" t="n">
        <x:f>IF(D866&lt;=1,1,0)</x:f>
        <x:v>1</x:v>
      </x:c>
      <x:c r="F866" s="6" t="n">
        <x:f>4*SUM($E$9:E866)/A866</x:f>
        <x:v>3.0955710955710956</x:v>
      </x:c>
      <x:c r="G866" s="1"/>
      <x:c r="H866" s="1"/>
    </x:row>
    <x:row r="867" ht="22" customHeight="1">
      <x:c r="A867" s="1" t="n">
        <x:v>859</x:v>
      </x:c>
      <x:c r="B867" s="6" t="n">
        <x:f>RAND()</x:f>
        <x:v>0.3691011419381037</x:v>
      </x:c>
      <x:c r="C867" s="6" t="n">
        <x:f>RAND()</x:f>
        <x:v>0.9015795576131893</x:v>
      </x:c>
      <x:c r="D867" s="6" t="n">
        <x:f>B867^2+C867^2</x:f>
        <x:v>0.9490813516860063</x:v>
      </x:c>
      <x:c r="E867" s="5" t="n">
        <x:f>IF(D867&lt;=1,1,0)</x:f>
        <x:v>1</x:v>
      </x:c>
      <x:c r="F867" s="6" t="n">
        <x:f>4*SUM($E$9:E867)/A867</x:f>
        <x:v>3.0966239813736904</x:v>
      </x:c>
      <x:c r="G867" s="1"/>
      <x:c r="H867" s="1"/>
    </x:row>
    <x:row r="868" ht="22" customHeight="1">
      <x:c r="A868" s="1" t="n">
        <x:v>860</x:v>
      </x:c>
      <x:c r="B868" s="6" t="n">
        <x:f>RAND()</x:f>
        <x:v>0.36752520811386624</x:v>
      </x:c>
      <x:c r="C868" s="6" t="n">
        <x:f>RAND()</x:f>
        <x:v>0.8335811410761776</x:v>
      </x:c>
      <x:c r="D868" s="6" t="n">
        <x:f>B868^2+C868^2</x:f>
        <x:v>0.8299322973570031</x:v>
      </x:c>
      <x:c r="E868" s="5" t="n">
        <x:f>IF(D868&lt;=1,1,0)</x:f>
        <x:v>1</x:v>
      </x:c>
      <x:c r="F868" s="6" t="n">
        <x:f>4*SUM($E$9:E868)/A868</x:f>
        <x:v>3.097674418604651</x:v>
      </x:c>
      <x:c r="G868" s="1"/>
      <x:c r="H868" s="1"/>
    </x:row>
    <x:row r="869" ht="22" customHeight="1">
      <x:c r="A869" s="1" t="n">
        <x:v>861</x:v>
      </x:c>
      <x:c r="B869" s="6" t="n">
        <x:f>RAND()</x:f>
        <x:v>0.07526166374679844</x:v>
      </x:c>
      <x:c r="C869" s="6" t="n">
        <x:f>RAND()</x:f>
        <x:v>0.8376802282066284</x:v>
      </x:c>
      <x:c r="D869" s="6" t="n">
        <x:f>B869^2+C869^2</x:f>
        <x:v>0.7073724827582452</x:v>
      </x:c>
      <x:c r="E869" s="5" t="n">
        <x:f>IF(D869&lt;=1,1,0)</x:f>
        <x:v>1</x:v>
      </x:c>
      <x:c r="F869" s="6" t="n">
        <x:f>4*SUM($E$9:E869)/A869</x:f>
        <x:v>3.0987224157955864</x:v>
      </x:c>
      <x:c r="G869" s="1"/>
      <x:c r="H869" s="1"/>
    </x:row>
    <x:row r="870" ht="22" customHeight="1">
      <x:c r="A870" s="1" t="n">
        <x:v>862</x:v>
      </x:c>
      <x:c r="B870" s="6" t="n">
        <x:f>RAND()</x:f>
        <x:v>0.034997320624087114</x:v>
      </x:c>
      <x:c r="C870" s="6" t="n">
        <x:f>RAND()</x:f>
        <x:v>0.8440326482910546</x:v>
      </x:c>
      <x:c r="D870" s="6" t="n">
        <x:f>B870^2+C870^2</x:f>
        <x:v>0.7136159238320763</x:v>
      </x:c>
      <x:c r="E870" s="5" t="n">
        <x:f>IF(D870&lt;=1,1,0)</x:f>
        <x:v>1</x:v>
      </x:c>
      <x:c r="F870" s="6" t="n">
        <x:f>4*SUM($E$9:E870)/A870</x:f>
        <x:v>3.0997679814385153</x:v>
      </x:c>
      <x:c r="G870" s="1"/>
      <x:c r="H870" s="1"/>
    </x:row>
    <x:row r="871" ht="22" customHeight="1">
      <x:c r="A871" s="1" t="n">
        <x:v>863</x:v>
      </x:c>
      <x:c r="B871" s="6" t="n">
        <x:f>RAND()</x:f>
        <x:v>0.32080537210133875</x:v>
      </x:c>
      <x:c r="C871" s="6" t="n">
        <x:f>RAND()</x:f>
        <x:v>0.8946415703789288</x:v>
      </x:c>
      <x:c r="D871" s="6" t="n">
        <x:f>B871^2+C871^2</x:f>
        <x:v>0.9032996262191542</x:v>
      </x:c>
      <x:c r="E871" s="5" t="n">
        <x:f>IF(D871&lt;=1,1,0)</x:f>
        <x:v>1</x:v>
      </x:c>
      <x:c r="F871" s="6" t="n">
        <x:f>4*SUM($E$9:E871)/A871</x:f>
        <x:v>3.100811123986095</x:v>
      </x:c>
      <x:c r="G871" s="1"/>
      <x:c r="H871" s="1"/>
    </x:row>
    <x:row r="872" ht="22" customHeight="1">
      <x:c r="A872" s="1" t="n">
        <x:v>864</x:v>
      </x:c>
      <x:c r="B872" s="6" t="n">
        <x:f>RAND()</x:f>
        <x:v>0.01091894038240393</x:v>
      </x:c>
      <x:c r="C872" s="6" t="n">
        <x:f>RAND()</x:f>
        <x:v>0.08559369395820016</x:v>
      </x:c>
      <x:c r="D872" s="6" t="n">
        <x:f>B872^2+C872^2</x:f>
        <x:v>0.007445503704484521</x:v>
      </x:c>
      <x:c r="E872" s="5" t="n">
        <x:f>IF(D872&lt;=1,1,0)</x:f>
        <x:v>1</x:v>
      </x:c>
      <x:c r="F872" s="6" t="n">
        <x:f>4*SUM($E$9:E872)/A872</x:f>
        <x:v>3.1018518518518516</x:v>
      </x:c>
      <x:c r="G872" s="1"/>
      <x:c r="H872" s="1"/>
    </x:row>
    <x:row r="873" ht="22" customHeight="1">
      <x:c r="A873" s="1" t="n">
        <x:v>865</x:v>
      </x:c>
      <x:c r="B873" s="6" t="n">
        <x:f>RAND()</x:f>
        <x:v>0.7571041392866015</x:v>
      </x:c>
      <x:c r="C873" s="6" t="n">
        <x:f>RAND()</x:f>
        <x:v>0.9349510946203314</x:v>
      </x:c>
      <x:c r="D873" s="6" t="n">
        <x:f>B873^2+C873^2</x:f>
        <x:v>1.4473402270566615</x:v>
      </x:c>
      <x:c r="E873" s="5" t="n">
        <x:f>IF(D873&lt;=1,1,0)</x:f>
        <x:v>0</x:v>
      </x:c>
      <x:c r="F873" s="6" t="n">
        <x:f>4*SUM($E$9:E873)/A873</x:f>
        <x:v>3.098265895953757</x:v>
      </x:c>
      <x:c r="G873" s="1"/>
      <x:c r="H873" s="1"/>
    </x:row>
    <x:row r="874" ht="22" customHeight="1">
      <x:c r="A874" s="1" t="n">
        <x:v>866</x:v>
      </x:c>
      <x:c r="B874" s="6" t="n">
        <x:f>RAND()</x:f>
        <x:v>0.8764424095133394</x:v>
      </x:c>
      <x:c r="C874" s="6" t="n">
        <x:f>RAND()</x:f>
        <x:v>0.7654341221587642</x:v>
      </x:c>
      <x:c r="D874" s="6" t="n">
        <x:f>B874^2+C874^2</x:f>
        <x:v>1.354040692558506</x:v>
      </x:c>
      <x:c r="E874" s="5" t="n">
        <x:f>IF(D874&lt;=1,1,0)</x:f>
        <x:v>0</x:v>
      </x:c>
      <x:c r="F874" s="6" t="n">
        <x:f>4*SUM($E$9:E874)/A874</x:f>
        <x:v>3.094688221709007</x:v>
      </x:c>
      <x:c r="G874" s="1"/>
      <x:c r="H874" s="1"/>
    </x:row>
    <x:row r="875" ht="22" customHeight="1">
      <x:c r="A875" s="1" t="n">
        <x:v>867</x:v>
      </x:c>
      <x:c r="B875" s="6" t="n">
        <x:f>RAND()</x:f>
        <x:v>0.22913755151451065</x:v>
      </x:c>
      <x:c r="C875" s="6" t="n">
        <x:f>RAND()</x:f>
        <x:v>0.2798953945693544</x:v>
      </x:c>
      <x:c r="D875" s="6" t="n">
        <x:f>B875^2+C875^2</x:f>
        <x:v>0.13084544941519963</x:v>
      </x:c>
      <x:c r="E875" s="5" t="n">
        <x:f>IF(D875&lt;=1,1,0)</x:f>
        <x:v>1</x:v>
      </x:c>
      <x:c r="F875" s="6" t="n">
        <x:f>4*SUM($E$9:E875)/A875</x:f>
        <x:v>3.0957324106113036</x:v>
      </x:c>
      <x:c r="G875" s="1"/>
      <x:c r="H875" s="1"/>
    </x:row>
    <x:row r="876" ht="22" customHeight="1">
      <x:c r="A876" s="1" t="n">
        <x:v>868</x:v>
      </x:c>
      <x:c r="B876" s="6" t="n">
        <x:f>RAND()</x:f>
        <x:v>0.9207577215147676</x:v>
      </x:c>
      <x:c r="C876" s="6" t="n">
        <x:f>RAND()</x:f>
        <x:v>0.9735994735610289</x:v>
      </x:c>
      <x:c r="D876" s="6" t="n">
        <x:f>B876^2+C876^2</x:f>
        <x:v>1.7956907166473792</x:v>
      </x:c>
      <x:c r="E876" s="5" t="n">
        <x:f>IF(D876&lt;=1,1,0)</x:f>
        <x:v>0</x:v>
      </x:c>
      <x:c r="F876" s="6" t="n">
        <x:f>4*SUM($E$9:E876)/A876</x:f>
        <x:v>3.0921658986175116</x:v>
      </x:c>
      <x:c r="G876" s="1"/>
      <x:c r="H876" s="1"/>
    </x:row>
    <x:row r="877" ht="22" customHeight="1">
      <x:c r="A877" s="1" t="n">
        <x:v>869</x:v>
      </x:c>
      <x:c r="B877" s="6" t="n">
        <x:f>RAND()</x:f>
        <x:v>0.8953267297460958</x:v>
      </x:c>
      <x:c r="C877" s="6" t="n">
        <x:f>RAND()</x:f>
        <x:v>0.2560483652734842</x:v>
      </x:c>
      <x:c r="D877" s="6" t="n">
        <x:f>B877^2+C877^2</x:f>
        <x:v>0.8671707183570622</x:v>
      </x:c>
      <x:c r="E877" s="5" t="n">
        <x:f>IF(D877&lt;=1,1,0)</x:f>
        <x:v>1</x:v>
      </x:c>
      <x:c r="F877" s="6" t="n">
        <x:f>4*SUM($E$9:E877)/A877</x:f>
        <x:v>3.0932105868814728</x:v>
      </x:c>
      <x:c r="G877" s="1"/>
      <x:c r="H877" s="1"/>
    </x:row>
    <x:row r="878" ht="22" customHeight="1">
      <x:c r="A878" s="1" t="n">
        <x:v>870</x:v>
      </x:c>
      <x:c r="B878" s="6" t="n">
        <x:f>RAND()</x:f>
        <x:v>0.4095493314674208</x:v>
      </x:c>
      <x:c r="C878" s="6" t="n">
        <x:f>RAND()</x:f>
        <x:v>0.6396537472393683</x:v>
      </x:c>
      <x:c r="D878" s="6" t="n">
        <x:f>B878^2+C878^2</x:f>
        <x:v>0.576887571262777</x:v>
      </x:c>
      <x:c r="E878" s="5" t="n">
        <x:f>IF(D878&lt;=1,1,0)</x:f>
        <x:v>1</x:v>
      </x:c>
      <x:c r="F878" s="6" t="n">
        <x:f>4*SUM($E$9:E878)/A878</x:f>
        <x:v>3.094252873563218</x:v>
      </x:c>
      <x:c r="G878" s="1"/>
      <x:c r="H878" s="1"/>
    </x:row>
    <x:row r="879" ht="22" customHeight="1">
      <x:c r="A879" s="1" t="n">
        <x:v>871</x:v>
      </x:c>
      <x:c r="B879" s="6" t="n">
        <x:f>RAND()</x:f>
        <x:v>0.9318577226190383</x:v>
      </x:c>
      <x:c r="C879" s="6" t="n">
        <x:f>RAND()</x:f>
        <x:v>0.6659486178357245</x:v>
      </x:c>
      <x:c r="D879" s="6" t="n">
        <x:f>B879^2+C879^2</x:f>
        <x:v>1.3118463768020523</x:v>
      </x:c>
      <x:c r="E879" s="5" t="n">
        <x:f>IF(D879&lt;=1,1,0)</x:f>
        <x:v>0</x:v>
      </x:c>
      <x:c r="F879" s="6" t="n">
        <x:f>4*SUM($E$9:E879)/A879</x:f>
        <x:v>3.0907003444316876</x:v>
      </x:c>
      <x:c r="G879" s="1"/>
      <x:c r="H879" s="1"/>
    </x:row>
    <x:row r="880" ht="22" customHeight="1">
      <x:c r="A880" s="1" t="n">
        <x:v>872</x:v>
      </x:c>
      <x:c r="B880" s="6" t="n">
        <x:f>RAND()</x:f>
        <x:v>0.02701786259268113</x:v>
      </x:c>
      <x:c r="C880" s="6" t="n">
        <x:f>RAND()</x:f>
        <x:v>0.7952487460153888</x:v>
      </x:c>
      <x:c r="D880" s="6" t="n">
        <x:f>B880^2+C880^2</x:f>
        <x:v>0.6331505329381253</x:v>
      </x:c>
      <x:c r="E880" s="5" t="n">
        <x:f>IF(D880&lt;=1,1,0)</x:f>
        <x:v>1</x:v>
      </x:c>
      <x:c r="F880" s="6" t="n">
        <x:f>4*SUM($E$9:E880)/A880</x:f>
        <x:v>3.091743119266055</x:v>
      </x:c>
      <x:c r="G880" s="1"/>
      <x:c r="H880" s="1"/>
    </x:row>
    <x:row r="881" ht="22" customHeight="1">
      <x:c r="A881" s="1" t="n">
        <x:v>873</x:v>
      </x:c>
      <x:c r="B881" s="6" t="n">
        <x:f>RAND()</x:f>
        <x:v>0.9501842709374158</x:v>
      </x:c>
      <x:c r="C881" s="6" t="n">
        <x:f>RAND()</x:f>
        <x:v>0.5988857308305034</x:v>
      </x:c>
      <x:c r="D881" s="6" t="n">
        <x:f>B881^2+C881^2</x:f>
        <x:v>1.2615142673292545</x:v>
      </x:c>
      <x:c r="E881" s="5" t="n">
        <x:f>IF(D881&lt;=1,1,0)</x:f>
        <x:v>0</x:v>
      </x:c>
      <x:c r="F881" s="6" t="n">
        <x:f>4*SUM($E$9:E881)/A881</x:f>
        <x:v>3.0882016036655213</x:v>
      </x:c>
      <x:c r="G881" s="1"/>
      <x:c r="H881" s="1"/>
    </x:row>
    <x:row r="882" ht="22" customHeight="1">
      <x:c r="A882" s="1" t="n">
        <x:v>874</x:v>
      </x:c>
      <x:c r="B882" s="6" t="n">
        <x:f>RAND()</x:f>
        <x:v>0.48768533333909214</x:v>
      </x:c>
      <x:c r="C882" s="6" t="n">
        <x:f>RAND()</x:f>
        <x:v>0.9911470525908294</x:v>
      </x:c>
      <x:c r="D882" s="6" t="n">
        <x:f>B882^2+C882^2</x:f>
        <x:v>1.2202094642135497</x:v>
      </x:c>
      <x:c r="E882" s="5" t="n">
        <x:f>IF(D882&lt;=1,1,0)</x:f>
        <x:v>0</x:v>
      </x:c>
      <x:c r="F882" s="6" t="n">
        <x:f>4*SUM($E$9:E882)/A882</x:f>
        <x:v>3.0846681922196795</x:v>
      </x:c>
      <x:c r="G882" s="1"/>
      <x:c r="H882" s="1"/>
    </x:row>
    <x:row r="883" ht="22" customHeight="1">
      <x:c r="A883" s="1" t="n">
        <x:v>875</x:v>
      </x:c>
      <x:c r="B883" s="6" t="n">
        <x:f>RAND()</x:f>
        <x:v>0.17332728823441657</x:v>
      </x:c>
      <x:c r="C883" s="6" t="n">
        <x:f>RAND()</x:f>
        <x:v>0.5140319254479465</x:v>
      </x:c>
      <x:c r="D883" s="6" t="n">
        <x:f>B883^2+C883^2</x:f>
        <x:v>0.29427116922641977</x:v>
      </x:c>
      <x:c r="E883" s="5" t="n">
        <x:f>IF(D883&lt;=1,1,0)</x:f>
        <x:v>1</x:v>
      </x:c>
      <x:c r="F883" s="6" t="n">
        <x:f>4*SUM($E$9:E883)/A883</x:f>
        <x:v>3.085714285714286</x:v>
      </x:c>
      <x:c r="G883" s="1"/>
      <x:c r="H883" s="1"/>
    </x:row>
    <x:row r="884" ht="22" customHeight="1">
      <x:c r="A884" s="1" t="n">
        <x:v>876</x:v>
      </x:c>
      <x:c r="B884" s="6" t="n">
        <x:f>RAND()</x:f>
        <x:v>0.026506264232007526</x:v>
      </x:c>
      <x:c r="C884" s="6" t="n">
        <x:f>RAND()</x:f>
        <x:v>0.8328209297852138</x:v>
      </x:c>
      <x:c r="D884" s="6" t="n">
        <x:f>B884^2+C884^2</x:f>
        <x:v>0.694293283131845</x:v>
      </x:c>
      <x:c r="E884" s="5" t="n">
        <x:f>IF(D884&lt;=1,1,0)</x:f>
        <x:v>1</x:v>
      </x:c>
      <x:c r="F884" s="6" t="n">
        <x:f>4*SUM($E$9:E884)/A884</x:f>
        <x:v>3.08675799086758</x:v>
      </x:c>
      <x:c r="G884" s="1"/>
      <x:c r="H884" s="1"/>
    </x:row>
    <x:row r="885" ht="22" customHeight="1">
      <x:c r="A885" s="1" t="n">
        <x:v>877</x:v>
      </x:c>
      <x:c r="B885" s="6" t="n">
        <x:f>RAND()</x:f>
        <x:v>0.8320461544104646</x:v>
      </x:c>
      <x:c r="C885" s="6" t="n">
        <x:f>RAND()</x:f>
        <x:v>0.22465207879206828</x:v>
      </x:c>
      <x:c r="D885" s="6" t="n">
        <x:f>B885^2+C885^2</x:f>
        <x:v>0.7427693595748404</x:v>
      </x:c>
      <x:c r="E885" s="5" t="n">
        <x:f>IF(D885&lt;=1,1,0)</x:f>
        <x:v>1</x:v>
      </x:c>
      <x:c r="F885" s="6" t="n">
        <x:f>4*SUM($E$9:E885)/A885</x:f>
        <x:v>3.087799315849487</x:v>
      </x:c>
      <x:c r="G885" s="1"/>
      <x:c r="H885" s="1"/>
    </x:row>
    <x:row r="886" ht="22" customHeight="1">
      <x:c r="A886" s="1" t="n">
        <x:v>878</x:v>
      </x:c>
      <x:c r="B886" s="6" t="n">
        <x:f>RAND()</x:f>
        <x:v>0.419695679075497</x:v>
      </x:c>
      <x:c r="C886" s="6" t="n">
        <x:f>RAND()</x:f>
        <x:v>0.610076046953008</x:v>
      </x:c>
      <x:c r="D886" s="6" t="n">
        <x:f>B886^2+C886^2</x:f>
        <x:v>0.5483372461004514</x:v>
      </x:c>
      <x:c r="E886" s="5" t="n">
        <x:f>IF(D886&lt;=1,1,0)</x:f>
        <x:v>1</x:v>
      </x:c>
      <x:c r="F886" s="6" t="n">
        <x:f>4*SUM($E$9:E886)/A886</x:f>
        <x:v>3.0888382687927107</x:v>
      </x:c>
      <x:c r="G886" s="1"/>
      <x:c r="H886" s="1"/>
    </x:row>
    <x:row r="887" ht="22" customHeight="1">
      <x:c r="A887" s="1" t="n">
        <x:v>879</x:v>
      </x:c>
      <x:c r="B887" s="6" t="n">
        <x:f>RAND()</x:f>
        <x:v>0.3645827369944946</x:v>
      </x:c>
      <x:c r="C887" s="6" t="n">
        <x:f>RAND()</x:f>
        <x:v>0.941459559129072</x:v>
      </x:c>
      <x:c r="D887" s="6" t="n">
        <x:f>B887^2+C887^2</x:f>
        <x:v>1.0192666735899034</x:v>
      </x:c>
      <x:c r="E887" s="5" t="n">
        <x:f>IF(D887&lt;=1,1,0)</x:f>
        <x:v>0</x:v>
      </x:c>
      <x:c r="F887" s="6" t="n">
        <x:f>4*SUM($E$9:E887)/A887</x:f>
        <x:v>3.0853242320819114</x:v>
      </x:c>
      <x:c r="G887" s="1"/>
      <x:c r="H887" s="1"/>
    </x:row>
    <x:row r="888" ht="22" customHeight="1">
      <x:c r="A888" s="1" t="n">
        <x:v>880</x:v>
      </x:c>
      <x:c r="B888" s="6" t="n">
        <x:f>RAND()</x:f>
        <x:v>0.5607993769352745</x:v>
      </x:c>
      <x:c r="C888" s="6" t="n">
        <x:f>RAND()</x:f>
        <x:v>0.001602470399644229</x:v>
      </x:c>
      <x:c r="D888" s="6" t="n">
        <x:f>B888^2+C888^2</x:f>
        <x:v>0.3144985090823738</x:v>
      </x:c>
      <x:c r="E888" s="5" t="n">
        <x:f>IF(D888&lt;=1,1,0)</x:f>
        <x:v>1</x:v>
      </x:c>
      <x:c r="F888" s="6" t="n">
        <x:f>4*SUM($E$9:E888)/A888</x:f>
        <x:v>3.0863636363636364</x:v>
      </x:c>
      <x:c r="G888" s="1"/>
      <x:c r="H888" s="1"/>
    </x:row>
    <x:row r="889" ht="22" customHeight="1">
      <x:c r="A889" s="1" t="n">
        <x:v>881</x:v>
      </x:c>
      <x:c r="B889" s="6" t="n">
        <x:f>RAND()</x:f>
        <x:v>0.8500266477396388</x:v>
      </x:c>
      <x:c r="C889" s="6" t="n">
        <x:f>RAND()</x:f>
        <x:v>0.971609250310073</x:v>
      </x:c>
      <x:c r="D889" s="6" t="n">
        <x:f>B889^2+C889^2</x:f>
        <x:v>1.66656983715559</x:v>
      </x:c>
      <x:c r="E889" s="5" t="n">
        <x:f>IF(D889&lt;=1,1,0)</x:f>
        <x:v>0</x:v>
      </x:c>
      <x:c r="F889" s="6" t="n">
        <x:f>4*SUM($E$9:E889)/A889</x:f>
        <x:v>3.082860385925085</x:v>
      </x:c>
      <x:c r="G889" s="1"/>
      <x:c r="H889" s="1"/>
    </x:row>
    <x:row r="890" ht="22" customHeight="1">
      <x:c r="A890" s="1" t="n">
        <x:v>882</x:v>
      </x:c>
      <x:c r="B890" s="6" t="n">
        <x:f>RAND()</x:f>
        <x:v>0.7031146971848542</x:v>
      </x:c>
      <x:c r="C890" s="6" t="n">
        <x:f>RAND()</x:f>
        <x:v>0.9152059112948028</x:v>
      </x:c>
      <x:c r="D890" s="6" t="n">
        <x:f>B890^2+C890^2</x:f>
        <x:v>1.3319721374662996</x:v>
      </x:c>
      <x:c r="E890" s="5" t="n">
        <x:f>IF(D890&lt;=1,1,0)</x:f>
        <x:v>0</x:v>
      </x:c>
      <x:c r="F890" s="6" t="n">
        <x:f>4*SUM($E$9:E890)/A890</x:f>
        <x:v>3.0793650793650795</x:v>
      </x:c>
      <x:c r="G890" s="1"/>
      <x:c r="H890" s="1"/>
    </x:row>
    <x:row r="891" ht="22" customHeight="1">
      <x:c r="A891" s="1" t="n">
        <x:v>883</x:v>
      </x:c>
      <x:c r="B891" s="6" t="n">
        <x:f>RAND()</x:f>
        <x:v>0.4623478874163911</x:v>
      </x:c>
      <x:c r="C891" s="6" t="n">
        <x:f>RAND()</x:f>
        <x:v>0.13404878893887295</x:v>
      </x:c>
      <x:c r="D891" s="6" t="n">
        <x:f>B891^2+C891^2</x:f>
        <x:v>0.23173464681437836</x:v>
      </x:c>
      <x:c r="E891" s="5" t="n">
        <x:f>IF(D891&lt;=1,1,0)</x:f>
        <x:v>1</x:v>
      </x:c>
      <x:c r="F891" s="6" t="n">
        <x:f>4*SUM($E$9:E891)/A891</x:f>
        <x:v>3.0804077010192525</x:v>
      </x:c>
      <x:c r="G891" s="1"/>
      <x:c r="H891" s="1"/>
    </x:row>
    <x:row r="892" ht="22" customHeight="1">
      <x:c r="A892" s="1" t="n">
        <x:v>884</x:v>
      </x:c>
      <x:c r="B892" s="6" t="n">
        <x:f>RAND()</x:f>
        <x:v>0.43621244824111716</x:v>
      </x:c>
      <x:c r="C892" s="6" t="n">
        <x:f>RAND()</x:f>
        <x:v>0.3914814189822503</x:v>
      </x:c>
      <x:c r="D892" s="6" t="n">
        <x:f>B892^2+C892^2</x:f>
        <x:v>0.3435390014088655</x:v>
      </x:c>
      <x:c r="E892" s="5" t="n">
        <x:f>IF(D892&lt;=1,1,0)</x:f>
        <x:v>1</x:v>
      </x:c>
      <x:c r="F892" s="6" t="n">
        <x:f>4*SUM($E$9:E892)/A892</x:f>
        <x:v>3.081447963800905</x:v>
      </x:c>
      <x:c r="G892" s="1"/>
      <x:c r="H892" s="1"/>
    </x:row>
    <x:row r="893" ht="22" customHeight="1">
      <x:c r="A893" s="1" t="n">
        <x:v>885</x:v>
      </x:c>
      <x:c r="B893" s="6" t="n">
        <x:f>RAND()</x:f>
        <x:v>0.022026068618713923</x:v>
      </x:c>
      <x:c r="C893" s="6" t="n">
        <x:f>RAND()</x:f>
        <x:v>0.38291776348608064</x:v>
      </x:c>
      <x:c r="D893" s="6" t="n">
        <x:f>B893^2+C893^2</x:f>
        <x:v>0.1471111612919783</x:v>
      </x:c>
      <x:c r="E893" s="5" t="n">
        <x:f>IF(D893&lt;=1,1,0)</x:f>
        <x:v>1</x:v>
      </x:c>
      <x:c r="F893" s="6" t="n">
        <x:f>4*SUM($E$9:E893)/A893</x:f>
        <x:v>3.082485875706215</x:v>
      </x:c>
      <x:c r="G893" s="1"/>
      <x:c r="H893" s="1"/>
    </x:row>
    <x:row r="894" ht="22" customHeight="1">
      <x:c r="A894" s="1" t="n">
        <x:v>886</x:v>
      </x:c>
      <x:c r="B894" s="6" t="n">
        <x:f>RAND()</x:f>
        <x:v>0.46614743067793496</x:v>
      </x:c>
      <x:c r="C894" s="6" t="n">
        <x:f>RAND()</x:f>
        <x:v>0.7360270811474958</x:v>
      </x:c>
      <x:c r="D894" s="6" t="n">
        <x:f>B894^2+C894^2</x:f>
        <x:v>0.7590292913101426</x:v>
      </x:c>
      <x:c r="E894" s="5" t="n">
        <x:f>IF(D894&lt;=1,1,0)</x:f>
        <x:v>1</x:v>
      </x:c>
      <x:c r="F894" s="6" t="n">
        <x:f>4*SUM($E$9:E894)/A894</x:f>
        <x:v>3.0835214446952595</x:v>
      </x:c>
      <x:c r="G894" s="1"/>
      <x:c r="H894" s="1"/>
    </x:row>
    <x:row r="895" ht="22" customHeight="1">
      <x:c r="A895" s="1" t="n">
        <x:v>887</x:v>
      </x:c>
      <x:c r="B895" s="6" t="n">
        <x:f>RAND()</x:f>
        <x:v>0.8888867090995842</x:v>
      </x:c>
      <x:c r="C895" s="6" t="n">
        <x:f>RAND()</x:f>
        <x:v>0.5579693099524363</x:v>
      </x:c>
      <x:c r="D895" s="6" t="n">
        <x:f>B895^2+C895^2</x:f>
        <x:v>1.1014493324626868</x:v>
      </x:c>
      <x:c r="E895" s="5" t="n">
        <x:f>IF(D895&lt;=1,1,0)</x:f>
        <x:v>0</x:v>
      </x:c>
      <x:c r="F895" s="6" t="n">
        <x:f>4*SUM($E$9:E895)/A895</x:f>
        <x:v>3.080045095828636</x:v>
      </x:c>
      <x:c r="G895" s="1"/>
      <x:c r="H895" s="1"/>
    </x:row>
    <x:row r="896" ht="22" customHeight="1">
      <x:c r="A896" s="1" t="n">
        <x:v>888</x:v>
      </x:c>
      <x:c r="B896" s="6" t="n">
        <x:f>RAND()</x:f>
        <x:v>0.5653785457354027</x:v>
      </x:c>
      <x:c r="C896" s="6" t="n">
        <x:f>RAND()</x:f>
        <x:v>0.094044092331382</x:v>
      </x:c>
      <x:c r="D896" s="6" t="n">
        <x:f>B896^2+C896^2</x:f>
        <x:v>0.32849719128031235</x:v>
      </x:c>
      <x:c r="E896" s="5" t="n">
        <x:f>IF(D896&lt;=1,1,0)</x:f>
        <x:v>1</x:v>
      </x:c>
      <x:c r="F896" s="6" t="n">
        <x:f>4*SUM($E$9:E896)/A896</x:f>
        <x:v>3.081081081081081</x:v>
      </x:c>
      <x:c r="G896" s="1"/>
      <x:c r="H896" s="1"/>
    </x:row>
    <x:row r="897" ht="22" customHeight="1">
      <x:c r="A897" s="1" t="n">
        <x:v>889</x:v>
      </x:c>
      <x:c r="B897" s="6" t="n">
        <x:f>RAND()</x:f>
        <x:v>0.027527637611759692</x:v>
      </x:c>
      <x:c r="C897" s="6" t="n">
        <x:f>RAND()</x:f>
        <x:v>0.7674670049017547</x:v>
      </x:c>
      <x:c r="D897" s="6" t="n">
        <x:f>B897^2+C897^2</x:f>
        <x:v>0.5897633744453543</x:v>
      </x:c>
      <x:c r="E897" s="5" t="n">
        <x:f>IF(D897&lt;=1,1,0)</x:f>
        <x:v>1</x:v>
      </x:c>
      <x:c r="F897" s="6" t="n">
        <x:f>4*SUM($E$9:E897)/A897</x:f>
        <x:v>3.0821147356580427</x:v>
      </x:c>
      <x:c r="G897" s="1"/>
      <x:c r="H897" s="1"/>
    </x:row>
    <x:row r="898" ht="22" customHeight="1">
      <x:c r="A898" s="1" t="n">
        <x:v>890</x:v>
      </x:c>
      <x:c r="B898" s="6" t="n">
        <x:f>RAND()</x:f>
        <x:v>0.7475145441308644</x:v>
      </x:c>
      <x:c r="C898" s="6" t="n">
        <x:f>RAND()</x:f>
        <x:v>0.7722509794833424</x:v>
      </x:c>
      <x:c r="D898" s="6" t="n">
        <x:f>B898^2+C898^2</x:f>
        <x:v>1.1551495690001556</x:v>
      </x:c>
      <x:c r="E898" s="5" t="n">
        <x:f>IF(D898&lt;=1,1,0)</x:f>
        <x:v>0</x:v>
      </x:c>
      <x:c r="F898" s="6" t="n">
        <x:f>4*SUM($E$9:E898)/A898</x:f>
        <x:v>3.0786516853932584</x:v>
      </x:c>
      <x:c r="G898" s="1"/>
      <x:c r="H898" s="1"/>
    </x:row>
    <x:row r="899" ht="22" customHeight="1">
      <x:c r="A899" s="1" t="n">
        <x:v>891</x:v>
      </x:c>
      <x:c r="B899" s="6" t="n">
        <x:f>RAND()</x:f>
        <x:v>0.5828823968056093</x:v>
      </x:c>
      <x:c r="C899" s="6" t="n">
        <x:f>RAND()</x:f>
        <x:v>0.6325366429086411</x:v>
      </x:c>
      <x:c r="D899" s="6" t="n">
        <x:f>B899^2+C899^2</x:f>
        <x:v>0.7398544931279855</x:v>
      </x:c>
      <x:c r="E899" s="5" t="n">
        <x:f>IF(D899&lt;=1,1,0)</x:f>
        <x:v>1</x:v>
      </x:c>
      <x:c r="F899" s="6" t="n">
        <x:f>4*SUM($E$9:E899)/A899</x:f>
        <x:v>3.079685746352413</x:v>
      </x:c>
      <x:c r="G899" s="1"/>
      <x:c r="H899" s="1"/>
    </x:row>
    <x:row r="900" ht="22" customHeight="1">
      <x:c r="A900" s="1" t="n">
        <x:v>892</x:v>
      </x:c>
      <x:c r="B900" s="6" t="n">
        <x:f>RAND()</x:f>
        <x:v>0.6685404330478467</x:v>
      </x:c>
      <x:c r="C900" s="6" t="n">
        <x:f>RAND()</x:f>
        <x:v>0.9590594765258119</x:v>
      </x:c>
      <x:c r="D900" s="6" t="n">
        <x:f>B900^2+C900^2</x:f>
        <x:v>1.3667413901337668</x:v>
      </x:c>
      <x:c r="E900" s="5" t="n">
        <x:f>IF(D900&lt;=1,1,0)</x:f>
        <x:v>0</x:v>
      </x:c>
      <x:c r="F900" s="6" t="n">
        <x:f>4*SUM($E$9:E900)/A900</x:f>
        <x:v>3.0762331838565022</x:v>
      </x:c>
      <x:c r="G900" s="1"/>
      <x:c r="H900" s="1"/>
    </x:row>
    <x:row r="901" ht="22" customHeight="1">
      <x:c r="A901" s="1" t="n">
        <x:v>893</x:v>
      </x:c>
      <x:c r="B901" s="6" t="n">
        <x:f>RAND()</x:f>
        <x:v>0.224860597026729</x:v>
      </x:c>
      <x:c r="C901" s="6" t="n">
        <x:f>RAND()</x:f>
        <x:v>0.12930010866913422</x:v>
      </x:c>
      <x:c r="D901" s="6" t="n">
        <x:f>B901^2+C901^2</x:f>
        <x:v>0.06728080619706693</x:v>
      </x:c>
      <x:c r="E901" s="5" t="n">
        <x:f>IF(D901&lt;=1,1,0)</x:f>
        <x:v>1</x:v>
      </x:c>
      <x:c r="F901" s="6" t="n">
        <x:f>4*SUM($E$9:E901)/A901</x:f>
        <x:v>3.0772676371780516</x:v>
      </x:c>
      <x:c r="G901" s="1"/>
      <x:c r="H901" s="1"/>
    </x:row>
    <x:row r="902" ht="22" customHeight="1">
      <x:c r="A902" s="1" t="n">
        <x:v>894</x:v>
      </x:c>
      <x:c r="B902" s="6" t="n">
        <x:f>RAND()</x:f>
        <x:v>0.577635472331837</x:v>
      </x:c>
      <x:c r="C902" s="6" t="n">
        <x:f>RAND()</x:f>
        <x:v>0.9754414909711294</x:v>
      </x:c>
      <x:c r="D902" s="6" t="n">
        <x:f>B902^2+C902^2</x:f>
        <x:v>1.2851488412040044</x:v>
      </x:c>
      <x:c r="E902" s="5" t="n">
        <x:f>IF(D902&lt;=1,1,0)</x:f>
        <x:v>0</x:v>
      </x:c>
      <x:c r="F902" s="6" t="n">
        <x:f>4*SUM($E$9:E902)/A902</x:f>
        <x:v>3.0738255033557045</x:v>
      </x:c>
      <x:c r="G902" s="1"/>
      <x:c r="H902" s="1"/>
    </x:row>
    <x:row r="903" ht="22" customHeight="1">
      <x:c r="A903" s="1" t="n">
        <x:v>895</x:v>
      </x:c>
      <x:c r="B903" s="6" t="n">
        <x:f>RAND()</x:f>
        <x:v>0.37059488366884974</x:v>
      </x:c>
      <x:c r="C903" s="6" t="n">
        <x:f>RAND()</x:f>
        <x:v>0.5573581651671237</x:v>
      </x:c>
      <x:c r="D903" s="6" t="n">
        <x:f>B903^2+C903^2</x:f>
        <x:v>0.44798869207999104</x:v>
      </x:c>
      <x:c r="E903" s="5" t="n">
        <x:f>IF(D903&lt;=1,1,0)</x:f>
        <x:v>1</x:v>
      </x:c>
      <x:c r="F903" s="6" t="n">
        <x:f>4*SUM($E$9:E903)/A903</x:f>
        <x:v>3.0748603351955306</x:v>
      </x:c>
      <x:c r="G903" s="1"/>
      <x:c r="H903" s="1"/>
    </x:row>
    <x:row r="904" ht="22" customHeight="1">
      <x:c r="A904" s="1" t="n">
        <x:v>896</x:v>
      </x:c>
      <x:c r="B904" s="6" t="n">
        <x:f>RAND()</x:f>
        <x:v>0.47241612174618863</x:v>
      </x:c>
      <x:c r="C904" s="6" t="n">
        <x:f>RAND()</x:f>
        <x:v>0.5022970991152879</x:v>
      </x:c>
      <x:c r="D904" s="6" t="n">
        <x:f>B904^2+C904^2</x:f>
        <x:v>0.47547936786534306</x:v>
      </x:c>
      <x:c r="E904" s="5" t="n">
        <x:f>IF(D904&lt;=1,1,0)</x:f>
        <x:v>1</x:v>
      </x:c>
      <x:c r="F904" s="6" t="n">
        <x:f>4*SUM($E$9:E904)/A904</x:f>
        <x:v>3.075892857142857</x:v>
      </x:c>
      <x:c r="G904" s="1"/>
      <x:c r="H904" s="1"/>
    </x:row>
    <x:row r="905" ht="22" customHeight="1">
      <x:c r="A905" s="1" t="n">
        <x:v>897</x:v>
      </x:c>
      <x:c r="B905" s="6" t="n">
        <x:f>RAND()</x:f>
        <x:v>0.6704306992613527</x:v>
      </x:c>
      <x:c r="C905" s="6" t="n">
        <x:f>RAND()</x:f>
        <x:v>0.8331420414598086</x:v>
      </x:c>
      <x:c r="D905" s="6" t="n">
        <x:f>B905^2+C905^2</x:f>
        <x:v>1.1436029837598838</x:v>
      </x:c>
      <x:c r="E905" s="5" t="n">
        <x:f>IF(D905&lt;=1,1,0)</x:f>
        <x:v>0</x:v>
      </x:c>
      <x:c r="F905" s="6" t="n">
        <x:f>4*SUM($E$9:E905)/A905</x:f>
        <x:v>3.072463768115942</x:v>
      </x:c>
      <x:c r="G905" s="1"/>
      <x:c r="H905" s="1"/>
    </x:row>
    <x:row r="906" ht="22" customHeight="1">
      <x:c r="A906" s="1" t="n">
        <x:v>898</x:v>
      </x:c>
      <x:c r="B906" s="6" t="n">
        <x:f>RAND()</x:f>
        <x:v>0.0826122070716252</x:v>
      </x:c>
      <x:c r="C906" s="6" t="n">
        <x:f>RAND()</x:f>
        <x:v>0.16554354599741428</x:v>
      </x:c>
      <x:c r="D906" s="6" t="n">
        <x:f>B906^2+C906^2</x:f>
        <x:v>0.0342294423786431</x:v>
      </x:c>
      <x:c r="E906" s="5" t="n">
        <x:f>IF(D906&lt;=1,1,0)</x:f>
        <x:v>1</x:v>
      </x:c>
      <x:c r="F906" s="6" t="n">
        <x:f>4*SUM($E$9:E906)/A906</x:f>
        <x:v>3.0734966592427617</x:v>
      </x:c>
      <x:c r="G906" s="1"/>
      <x:c r="H906" s="1"/>
    </x:row>
    <x:row r="907" ht="22" customHeight="1">
      <x:c r="A907" s="1" t="n">
        <x:v>899</x:v>
      </x:c>
      <x:c r="B907" s="6" t="n">
        <x:f>RAND()</x:f>
        <x:v>0.7672463633012069</x:v>
      </x:c>
      <x:c r="C907" s="6" t="n">
        <x:f>RAND()</x:f>
        <x:v>0.41658026197950526</x:v>
      </x:c>
      <x:c r="D907" s="6" t="n">
        <x:f>B907^2+C907^2</x:f>
        <x:v>0.7622060966698407</x:v>
      </x:c>
      <x:c r="E907" s="5" t="n">
        <x:f>IF(D907&lt;=1,1,0)</x:f>
        <x:v>1</x:v>
      </x:c>
      <x:c r="F907" s="6" t="n">
        <x:f>4*SUM($E$9:E907)/A907</x:f>
        <x:v>3.0745272525027807</x:v>
      </x:c>
      <x:c r="G907" s="1"/>
      <x:c r="H907" s="1"/>
    </x:row>
    <x:row r="908" ht="22" customHeight="1">
      <x:c r="A908" s="1" t="n">
        <x:v>900</x:v>
      </x:c>
      <x:c r="B908" s="6" t="n">
        <x:f>RAND()</x:f>
        <x:v>0.603152061185454</x:v>
      </x:c>
      <x:c r="C908" s="6" t="n">
        <x:f>RAND()</x:f>
        <x:v>0.3452393601997872</x:v>
      </x:c>
      <x:c r="D908" s="6" t="n">
        <x:f>B908^2+C908^2</x:f>
        <x:v>0.48298262474341996</x:v>
      </x:c>
      <x:c r="E908" s="5" t="n">
        <x:f>IF(D908&lt;=1,1,0)</x:f>
        <x:v>1</x:v>
      </x:c>
      <x:c r="F908" s="6" t="n">
        <x:f>4*SUM($E$9:E908)/A908</x:f>
        <x:v>3.0755555555555554</x:v>
      </x:c>
      <x:c r="G908" s="1"/>
      <x:c r="H908" s="1"/>
    </x:row>
    <x:row r="909" ht="22" customHeight="1">
      <x:c r="A909" s="1" t="n">
        <x:v>901</x:v>
      </x:c>
      <x:c r="B909" s="6" t="n">
        <x:f>RAND()</x:f>
        <x:v>0.9529663557119383</x:v>
      </x:c>
      <x:c r="C909" s="6" t="n">
        <x:f>RAND()</x:f>
        <x:v>0.9897969174035126</x:v>
      </x:c>
      <x:c r="D909" s="6" t="n">
        <x:f>B909^2+C909^2</x:f>
        <x:v>1.8878428128203883</x:v>
      </x:c>
      <x:c r="E909" s="5" t="n">
        <x:f>IF(D909&lt;=1,1,0)</x:f>
        <x:v>0</x:v>
      </x:c>
      <x:c r="F909" s="6" t="n">
        <x:f>4*SUM($E$9:E909)/A909</x:f>
        <x:v>3.072142064372919</x:v>
      </x:c>
      <x:c r="G909" s="1"/>
      <x:c r="H909" s="1"/>
    </x:row>
    <x:row r="910" ht="22" customHeight="1">
      <x:c r="A910" s="1" t="n">
        <x:v>902</x:v>
      </x:c>
      <x:c r="B910" s="6" t="n">
        <x:f>RAND()</x:f>
        <x:v>0.7980538321926945</x:v>
      </x:c>
      <x:c r="C910" s="6" t="n">
        <x:f>RAND()</x:f>
        <x:v>0.303727088930852</x:v>
      </x:c>
      <x:c r="D910" s="6" t="n">
        <x:f>B910^2+C910^2</x:f>
        <x:v>0.7291400636278551</x:v>
      </x:c>
      <x:c r="E910" s="5" t="n">
        <x:f>IF(D910&lt;=1,1,0)</x:f>
        <x:v>1</x:v>
      </x:c>
      <x:c r="F910" s="6" t="n">
        <x:f>4*SUM($E$9:E910)/A910</x:f>
        <x:v>3.073170731707317</x:v>
      </x:c>
      <x:c r="G910" s="1"/>
      <x:c r="H910" s="1"/>
    </x:row>
    <x:row r="911" ht="22" customHeight="1">
      <x:c r="A911" s="1" t="n">
        <x:v>903</x:v>
      </x:c>
      <x:c r="B911" s="6" t="n">
        <x:f>RAND()</x:f>
        <x:v>0.23548981443491934</x:v>
      </x:c>
      <x:c r="C911" s="6" t="n">
        <x:f>RAND()</x:f>
        <x:v>0.8525815810043021</x:v>
      </x:c>
      <x:c r="D911" s="6" t="n">
        <x:f>B911^2+C911^2</x:f>
        <x:v>0.7823508049703882</x:v>
      </x:c>
      <x:c r="E911" s="5" t="n">
        <x:f>IF(D911&lt;=1,1,0)</x:f>
        <x:v>1</x:v>
      </x:c>
      <x:c r="F911" s="6" t="n">
        <x:f>4*SUM($E$9:E911)/A911</x:f>
        <x:v>3.0741971207087486</x:v>
      </x:c>
      <x:c r="G911" s="1"/>
      <x:c r="H911" s="1"/>
    </x:row>
    <x:row r="912" ht="22" customHeight="1">
      <x:c r="A912" s="1" t="n">
        <x:v>904</x:v>
      </x:c>
      <x:c r="B912" s="6" t="n">
        <x:f>RAND()</x:f>
        <x:v>0.4386956199413006</x:v>
      </x:c>
      <x:c r="C912" s="6" t="n">
        <x:f>RAND()</x:f>
        <x:v>0.9171293550229779</x:v>
      </x:c>
      <x:c r="D912" s="6" t="n">
        <x:f>B912^2+C912^2</x:f>
        <x:v>1.0335801008005454</x:v>
      </x:c>
      <x:c r="E912" s="5" t="n">
        <x:f>IF(D912&lt;=1,1,0)</x:f>
        <x:v>0</x:v>
      </x:c>
      <x:c r="F912" s="6" t="n">
        <x:f>4*SUM($E$9:E912)/A912</x:f>
        <x:v>3.0707964601769913</x:v>
      </x:c>
      <x:c r="G912" s="1"/>
      <x:c r="H912" s="1"/>
    </x:row>
    <x:row r="913" ht="22" customHeight="1">
      <x:c r="A913" s="1" t="n">
        <x:v>905</x:v>
      </x:c>
      <x:c r="B913" s="6" t="n">
        <x:f>RAND()</x:f>
        <x:v>0.45062294223879373</x:v>
      </x:c>
      <x:c r="C913" s="6" t="n">
        <x:f>RAND()</x:f>
        <x:v>0.4775605070568659</x:v>
      </x:c>
      <x:c r="D913" s="6" t="n">
        <x:f>B913^2+C913^2</x:f>
        <x:v>0.4311250739723581</x:v>
      </x:c>
      <x:c r="E913" s="5" t="n">
        <x:f>IF(D913&lt;=1,1,0)</x:f>
        <x:v>1</x:v>
      </x:c>
      <x:c r="F913" s="6" t="n">
        <x:f>4*SUM($E$9:E913)/A913</x:f>
        <x:v>3.0718232044198897</x:v>
      </x:c>
      <x:c r="G913" s="1"/>
      <x:c r="H913" s="1"/>
    </x:row>
    <x:row r="914" ht="22" customHeight="1">
      <x:c r="A914" s="1" t="n">
        <x:v>906</x:v>
      </x:c>
      <x:c r="B914" s="6" t="n">
        <x:f>RAND()</x:f>
        <x:v>0.016601568723481286</x:v>
      </x:c>
      <x:c r="C914" s="6" t="n">
        <x:f>RAND()</x:f>
        <x:v>0.059899978959508604</x:v>
      </x:c>
      <x:c r="D914" s="6" t="n">
        <x:f>B914^2+C914^2</x:f>
        <x:v>0.0038636195634300452</x:v>
      </x:c>
      <x:c r="E914" s="5" t="n">
        <x:f>IF(D914&lt;=1,1,0)</x:f>
        <x:v>1</x:v>
      </x:c>
      <x:c r="F914" s="6" t="n">
        <x:f>4*SUM($E$9:E914)/A914</x:f>
        <x:v>3.0728476821192054</x:v>
      </x:c>
      <x:c r="G914" s="1"/>
      <x:c r="H914" s="1"/>
    </x:row>
    <x:row r="915" ht="22" customHeight="1">
      <x:c r="A915" s="1" t="n">
        <x:v>907</x:v>
      </x:c>
      <x:c r="B915" s="6" t="n">
        <x:f>RAND()</x:f>
        <x:v>0.6984457642989241</x:v>
      </x:c>
      <x:c r="C915" s="6" t="n">
        <x:f>RAND()</x:f>
        <x:v>0.31377696143178935</x:v>
      </x:c>
      <x:c r="D915" s="6" t="n">
        <x:f>B915^2+C915^2</x:f>
        <x:v>0.5862824671924749</x:v>
      </x:c>
      <x:c r="E915" s="5" t="n">
        <x:f>IF(D915&lt;=1,1,0)</x:f>
        <x:v>1</x:v>
      </x:c>
      <x:c r="F915" s="6" t="n">
        <x:f>4*SUM($E$9:E915)/A915</x:f>
        <x:v>3.073869900771775</x:v>
      </x:c>
      <x:c r="G915" s="1"/>
      <x:c r="H915" s="1"/>
    </x:row>
    <x:row r="916" ht="22" customHeight="1">
      <x:c r="A916" s="1" t="n">
        <x:v>908</x:v>
      </x:c>
      <x:c r="B916" s="6" t="n">
        <x:f>RAND()</x:f>
        <x:v>0.8594544225411308</x:v>
      </x:c>
      <x:c r="C916" s="6" t="n">
        <x:f>RAND()</x:f>
        <x:v>0.8639309785726901</x:v>
      </x:c>
      <x:c r="D916" s="6" t="n">
        <x:f>B916^2+C916^2</x:f>
        <x:v>1.4850386401630744</x:v>
      </x:c>
      <x:c r="E916" s="5" t="n">
        <x:f>IF(D916&lt;=1,1,0)</x:f>
        <x:v>0</x:v>
      </x:c>
      <x:c r="F916" s="6" t="n">
        <x:f>4*SUM($E$9:E916)/A916</x:f>
        <x:v>3.0704845814977975</x:v>
      </x:c>
      <x:c r="G916" s="1"/>
      <x:c r="H916" s="1"/>
    </x:row>
    <x:row r="917" ht="22" customHeight="1">
      <x:c r="A917" s="1" t="n">
        <x:v>909</x:v>
      </x:c>
      <x:c r="B917" s="6" t="n">
        <x:f>RAND()</x:f>
        <x:v>0.833001712366651</x:v>
      </x:c>
      <x:c r="C917" s="6" t="n">
        <x:f>RAND()</x:f>
        <x:v>0.8039059368198788</x:v>
      </x:c>
      <x:c r="D917" s="6" t="n">
        <x:f>B917^2+C917^2</x:f>
        <x:v>1.3401566080600196</x:v>
      </x:c>
      <x:c r="E917" s="5" t="n">
        <x:f>IF(D917&lt;=1,1,0)</x:f>
        <x:v>0</x:v>
      </x:c>
      <x:c r="F917" s="6" t="n">
        <x:f>4*SUM($E$9:E917)/A917</x:f>
        <x:v>3.067106710671067</x:v>
      </x:c>
      <x:c r="G917" s="1"/>
      <x:c r="H917" s="1"/>
    </x:row>
    <x:row r="918" ht="22" customHeight="1">
      <x:c r="A918" s="1" t="n">
        <x:v>910</x:v>
      </x:c>
      <x:c r="B918" s="6" t="n">
        <x:f>RAND()</x:f>
        <x:v>0.7860626959158437</x:v>
      </x:c>
      <x:c r="C918" s="6" t="n">
        <x:f>RAND()</x:f>
        <x:v>0.7643993829116192</x:v>
      </x:c>
      <x:c r="D918" s="6" t="n">
        <x:f>B918^2+C918^2</x:f>
        <x:v>1.2022009785061485</x:v>
      </x:c>
      <x:c r="E918" s="5" t="n">
        <x:f>IF(D918&lt;=1,1,0)</x:f>
        <x:v>0</x:v>
      </x:c>
      <x:c r="F918" s="6" t="n">
        <x:f>4*SUM($E$9:E918)/A918</x:f>
        <x:v>3.063736263736264</x:v>
      </x:c>
      <x:c r="G918" s="1"/>
      <x:c r="H918" s="1"/>
    </x:row>
    <x:row r="919" ht="22" customHeight="1">
      <x:c r="A919" s="1" t="n">
        <x:v>911</x:v>
      </x:c>
      <x:c r="B919" s="6" t="n">
        <x:f>RAND()</x:f>
        <x:v>0.6202023719985909</x:v>
      </x:c>
      <x:c r="C919" s="6" t="n">
        <x:f>RAND()</x:f>
        <x:v>0.2839315038975919</x:v>
      </x:c>
      <x:c r="D919" s="6" t="n">
        <x:f>B919^2+C919^2</x:f>
        <x:v>0.4652680811382267</x:v>
      </x:c>
      <x:c r="E919" s="5" t="n">
        <x:f>IF(D919&lt;=1,1,0)</x:f>
        <x:v>1</x:v>
      </x:c>
      <x:c r="F919" s="6" t="n">
        <x:f>4*SUM($E$9:E919)/A919</x:f>
        <x:v>3.0647639956092205</x:v>
      </x:c>
      <x:c r="G919" s="1"/>
      <x:c r="H919" s="1"/>
    </x:row>
    <x:row r="920" ht="22" customHeight="1">
      <x:c r="A920" s="1" t="n">
        <x:v>912</x:v>
      </x:c>
      <x:c r="B920" s="6" t="n">
        <x:f>RAND()</x:f>
        <x:v>0.6980941765287904</x:v>
      </x:c>
      <x:c r="C920" s="6" t="n">
        <x:f>RAND()</x:f>
        <x:v>0.8982706218605329</x:v>
      </x:c>
      <x:c r="D920" s="6" t="n">
        <x:f>B920^2+C920^2</x:f>
        <x:v>1.2942255894011183</x:v>
      </x:c>
      <x:c r="E920" s="5" t="n">
        <x:f>IF(D920&lt;=1,1,0)</x:f>
        <x:v>0</x:v>
      </x:c>
      <x:c r="F920" s="6" t="n">
        <x:f>4*SUM($E$9:E920)/A920</x:f>
        <x:v>3.06140350877193</x:v>
      </x:c>
      <x:c r="G920" s="1"/>
      <x:c r="H920" s="1"/>
    </x:row>
    <x:row r="921" ht="22" customHeight="1">
      <x:c r="A921" s="1" t="n">
        <x:v>913</x:v>
      </x:c>
      <x:c r="B921" s="6" t="n">
        <x:f>RAND()</x:f>
        <x:v>0.7464998850371866</x:v>
      </x:c>
      <x:c r="C921" s="6" t="n">
        <x:f>RAND()</x:f>
        <x:v>0.5705934506800726</x:v>
      </x:c>
      <x:c r="D921" s="6" t="n">
        <x:f>B921^2+C921^2</x:f>
        <x:v>0.8828389643195252</x:v>
      </x:c>
      <x:c r="E921" s="5" t="n">
        <x:f>IF(D921&lt;=1,1,0)</x:f>
        <x:v>1</x:v>
      </x:c>
      <x:c r="F921" s="6" t="n">
        <x:f>4*SUM($E$9:E921)/A921</x:f>
        <x:v>3.062431544359255</x:v>
      </x:c>
      <x:c r="G921" s="1"/>
      <x:c r="H921" s="1"/>
    </x:row>
    <x:row r="922" ht="22" customHeight="1">
      <x:c r="A922" s="1" t="n">
        <x:v>914</x:v>
      </x:c>
      <x:c r="B922" s="6" t="n">
        <x:f>RAND()</x:f>
        <x:v>0.24691701784666098</x:v>
      </x:c>
      <x:c r="C922" s="6" t="n">
        <x:f>RAND()</x:f>
        <x:v>0.7470417106995558</x:v>
      </x:c>
      <x:c r="D922" s="6" t="n">
        <x:f>B922^2+C922^2</x:f>
        <x:v>0.6190393312272072</x:v>
      </x:c>
      <x:c r="E922" s="5" t="n">
        <x:f>IF(D922&lt;=1,1,0)</x:f>
        <x:v>1</x:v>
      </x:c>
      <x:c r="F922" s="6" t="n">
        <x:f>4*SUM($E$9:E922)/A922</x:f>
        <x:v>3.063457330415755</x:v>
      </x:c>
      <x:c r="G922" s="1"/>
      <x:c r="H922" s="1"/>
    </x:row>
    <x:row r="923" ht="22" customHeight="1">
      <x:c r="A923" s="1" t="n">
        <x:v>915</x:v>
      </x:c>
      <x:c r="B923" s="6" t="n">
        <x:f>RAND()</x:f>
        <x:v>0.22968908901284635</x:v>
      </x:c>
      <x:c r="C923" s="6" t="n">
        <x:f>RAND()</x:f>
        <x:v>0.7548127494700138</x:v>
      </x:c>
      <x:c r="D923" s="6" t="n">
        <x:f>B923^2+C923^2</x:f>
        <x:v>0.622499364374033</x:v>
      </x:c>
      <x:c r="E923" s="5" t="n">
        <x:f>IF(D923&lt;=1,1,0)</x:f>
        <x:v>1</x:v>
      </x:c>
      <x:c r="F923" s="6" t="n">
        <x:f>4*SUM($E$9:E923)/A923</x:f>
        <x:v>3.06448087431694</x:v>
      </x:c>
      <x:c r="G923" s="1"/>
      <x:c r="H923" s="1"/>
    </x:row>
    <x:row r="924" ht="22" customHeight="1">
      <x:c r="A924" s="1" t="n">
        <x:v>916</x:v>
      </x:c>
      <x:c r="B924" s="6" t="n">
        <x:f>RAND()</x:f>
        <x:v>0.6481140098135152</x:v>
      </x:c>
      <x:c r="C924" s="6" t="n">
        <x:f>RAND()</x:f>
        <x:v>0.7665406022817308</x:v>
      </x:c>
      <x:c r="D924" s="6" t="n">
        <x:f>B924^2+C924^2</x:f>
        <x:v>1.007636264662992</x:v>
      </x:c>
      <x:c r="E924" s="5" t="n">
        <x:f>IF(D924&lt;=1,1,0)</x:f>
        <x:v>0</x:v>
      </x:c>
      <x:c r="F924" s="6" t="n">
        <x:f>4*SUM($E$9:E924)/A924</x:f>
        <x:v>3.061135371179039</x:v>
      </x:c>
      <x:c r="G924" s="1"/>
      <x:c r="H924" s="1"/>
    </x:row>
    <x:row r="925" ht="22" customHeight="1">
      <x:c r="A925" s="1" t="n">
        <x:v>917</x:v>
      </x:c>
      <x:c r="B925" s="6" t="n">
        <x:f>RAND()</x:f>
        <x:v>0.7937448820523545</x:v>
      </x:c>
      <x:c r="C925" s="6" t="n">
        <x:f>RAND()</x:f>
        <x:v>0.621210046129395</x:v>
      </x:c>
      <x:c r="D925" s="6" t="n">
        <x:f>B925^2+C925^2</x:f>
        <x:v>1.0159328591963912</x:v>
      </x:c>
      <x:c r="E925" s="5" t="n">
        <x:f>IF(D925&lt;=1,1,0)</x:f>
        <x:v>0</x:v>
      </x:c>
      <x:c r="F925" s="6" t="n">
        <x:f>4*SUM($E$9:E925)/A925</x:f>
        <x:v>3.057797164667394</x:v>
      </x:c>
      <x:c r="G925" s="1"/>
      <x:c r="H925" s="1"/>
    </x:row>
    <x:row r="926" ht="22" customHeight="1">
      <x:c r="A926" s="1" t="n">
        <x:v>918</x:v>
      </x:c>
      <x:c r="B926" s="6" t="n">
        <x:f>RAND()</x:f>
        <x:v>0.9316204461716014</x:v>
      </x:c>
      <x:c r="C926" s="6" t="n">
        <x:f>RAND()</x:f>
        <x:v>0.38592017614178753</x:v>
      </x:c>
      <x:c r="D926" s="6" t="n">
        <x:f>B926^2+C926^2</x:f>
        <x:v>1.016851038078282</x:v>
      </x:c>
      <x:c r="E926" s="5" t="n">
        <x:f>IF(D926&lt;=1,1,0)</x:f>
        <x:v>0</x:v>
      </x:c>
      <x:c r="F926" s="6" t="n">
        <x:f>4*SUM($E$9:E926)/A926</x:f>
        <x:v>3.054466230936819</x:v>
      </x:c>
      <x:c r="G926" s="1"/>
      <x:c r="H926" s="1"/>
    </x:row>
    <x:row r="927" ht="22" customHeight="1">
      <x:c r="A927" s="1" t="n">
        <x:v>919</x:v>
      </x:c>
      <x:c r="B927" s="6" t="n">
        <x:f>RAND()</x:f>
        <x:v>0.4932759939439745</x:v>
      </x:c>
      <x:c r="C927" s="6" t="n">
        <x:f>RAND()</x:f>
        <x:v>0.8831716769408927</x:v>
      </x:c>
      <x:c r="D927" s="6" t="n">
        <x:f>B927^2+C927^2</x:f>
        <x:v>1.0233134171520044</x:v>
      </x:c>
      <x:c r="E927" s="5" t="n">
        <x:f>IF(D927&lt;=1,1,0)</x:f>
        <x:v>0</x:v>
      </x:c>
      <x:c r="F927" s="6" t="n">
        <x:f>4*SUM($E$9:E927)/A927</x:f>
        <x:v>3.0511425462459196</x:v>
      </x:c>
      <x:c r="G927" s="1"/>
      <x:c r="H927" s="1"/>
    </x:row>
    <x:row r="928" ht="22" customHeight="1">
      <x:c r="A928" s="1" t="n">
        <x:v>920</x:v>
      </x:c>
      <x:c r="B928" s="6" t="n">
        <x:f>RAND()</x:f>
        <x:v>0.3023384591626812</x:v>
      </x:c>
      <x:c r="C928" s="6" t="n">
        <x:f>RAND()</x:f>
        <x:v>0.9541440434752193</x:v>
      </x:c>
      <x:c r="D928" s="6" t="n">
        <x:f>B928^2+C928^2</x:f>
        <x:v>1.0017993995881054</x:v>
      </x:c>
      <x:c r="E928" s="5" t="n">
        <x:f>IF(D928&lt;=1,1,0)</x:f>
        <x:v>0</x:v>
      </x:c>
      <x:c r="F928" s="6" t="n">
        <x:f>4*SUM($E$9:E928)/A928</x:f>
        <x:v>3.0478260869565217</x:v>
      </x:c>
      <x:c r="G928" s="1"/>
      <x:c r="H928" s="1"/>
    </x:row>
    <x:row r="929" ht="22" customHeight="1">
      <x:c r="A929" s="1" t="n">
        <x:v>921</x:v>
      </x:c>
      <x:c r="B929" s="6" t="n">
        <x:f>RAND()</x:f>
        <x:v>0.9432818034519184</x:v>
      </x:c>
      <x:c r="C929" s="6" t="n">
        <x:f>RAND()</x:f>
        <x:v>0.03637624367516856</x:v>
      </x:c>
      <x:c r="D929" s="6" t="n">
        <x:f>B929^2+C929^2</x:f>
        <x:v>0.8911037918274187</x:v>
      </x:c>
      <x:c r="E929" s="5" t="n">
        <x:f>IF(D929&lt;=1,1,0)</x:f>
        <x:v>1</x:v>
      </x:c>
      <x:c r="F929" s="6" t="n">
        <x:f>4*SUM($E$9:E929)/A929</x:f>
        <x:v>3.04885993485342</x:v>
      </x:c>
      <x:c r="G929" s="1"/>
      <x:c r="H929" s="1"/>
    </x:row>
    <x:row r="930" ht="22" customHeight="1">
      <x:c r="A930" s="1" t="n">
        <x:v>922</x:v>
      </x:c>
      <x:c r="B930" s="6" t="n">
        <x:f>RAND()</x:f>
        <x:v>0.23858830571678236</x:v>
      </x:c>
      <x:c r="C930" s="6" t="n">
        <x:f>RAND()</x:f>
        <x:v>0.8306040619382205</x:v>
      </x:c>
      <x:c r="D930" s="6" t="n">
        <x:f>B930^2+C930^2</x:f>
        <x:v>0.7468274873330759</x:v>
      </x:c>
      <x:c r="E930" s="5" t="n">
        <x:f>IF(D930&lt;=1,1,0)</x:f>
        <x:v>1</x:v>
      </x:c>
      <x:c r="F930" s="6" t="n">
        <x:f>4*SUM($E$9:E930)/A930</x:f>
        <x:v>3.049891540130152</x:v>
      </x:c>
      <x:c r="G930" s="1"/>
      <x:c r="H930" s="1"/>
    </x:row>
    <x:row r="931" ht="22" customHeight="1">
      <x:c r="A931" s="1" t="n">
        <x:v>923</x:v>
      </x:c>
      <x:c r="B931" s="6" t="n">
        <x:f>RAND()</x:f>
        <x:v>0.7502098277834431</x:v>
      </x:c>
      <x:c r="C931" s="6" t="n">
        <x:f>RAND()</x:f>
        <x:v>0.013948570583351083</x:v>
      </x:c>
      <x:c r="D931" s="6" t="n">
        <x:f>B931^2+C931^2</x:f>
        <x:v>0.563009348324182</x:v>
      </x:c>
      <x:c r="E931" s="5" t="n">
        <x:f>IF(D931&lt;=1,1,0)</x:f>
        <x:v>1</x:v>
      </x:c>
      <x:c r="F931" s="6" t="n">
        <x:f>4*SUM($E$9:E931)/A931</x:f>
        <x:v>3.0509209100758397</x:v>
      </x:c>
      <x:c r="G931" s="1"/>
      <x:c r="H931" s="1"/>
    </x:row>
    <x:row r="932" ht="22" customHeight="1">
      <x:c r="A932" s="1" t="n">
        <x:v>924</x:v>
      </x:c>
      <x:c r="B932" s="6" t="n">
        <x:f>RAND()</x:f>
        <x:v>0.9207673259823812</x:v>
      </x:c>
      <x:c r="C932" s="6" t="n">
        <x:f>RAND()</x:f>
        <x:v>0.5688812106510329</x:v>
      </x:c>
      <x:c r="D932" s="6" t="n">
        <x:f>B932^2+C932^2</x:f>
        <x:v>1.1714383004285296</x:v>
      </x:c>
      <x:c r="E932" s="5" t="n">
        <x:f>IF(D932&lt;=1,1,0)</x:f>
        <x:v>0</x:v>
      </x:c>
      <x:c r="F932" s="6" t="n">
        <x:f>4*SUM($E$9:E932)/A932</x:f>
        <x:v>3.0476190476190474</x:v>
      </x:c>
      <x:c r="G932" s="1"/>
      <x:c r="H932" s="1"/>
    </x:row>
    <x:row r="933" ht="22" customHeight="1">
      <x:c r="A933" s="1" t="n">
        <x:v>925</x:v>
      </x:c>
      <x:c r="B933" s="6" t="n">
        <x:f>RAND()</x:f>
        <x:v>0.5034240460754693</x:v>
      </x:c>
      <x:c r="C933" s="6" t="n">
        <x:f>RAND()</x:f>
        <x:v>0.11330772017370527</x:v>
      </x:c>
      <x:c r="D933" s="6" t="n">
        <x:f>B933^2+C933^2</x:f>
        <x:v>0.26627440961795895</x:v>
      </x:c>
      <x:c r="E933" s="5" t="n">
        <x:f>IF(D933&lt;=1,1,0)</x:f>
        <x:v>1</x:v>
      </x:c>
      <x:c r="F933" s="6" t="n">
        <x:f>4*SUM($E$9:E933)/A933</x:f>
        <x:v>3.0486486486486486</x:v>
      </x:c>
      <x:c r="G933" s="1"/>
      <x:c r="H933" s="1"/>
    </x:row>
    <x:row r="934" ht="22" customHeight="1">
      <x:c r="A934" s="1" t="n">
        <x:v>926</x:v>
      </x:c>
      <x:c r="B934" s="6" t="n">
        <x:f>RAND()</x:f>
        <x:v>0.49346207254359953</x:v>
      </x:c>
      <x:c r="C934" s="6" t="n">
        <x:f>RAND()</x:f>
        <x:v>0.6430675722405815</x:v>
      </x:c>
      <x:c r="D934" s="6" t="n">
        <x:f>B934^2+C934^2</x:f>
        <x:v>0.6570407195064202</x:v>
      </x:c>
      <x:c r="E934" s="5" t="n">
        <x:f>IF(D934&lt;=1,1,0)</x:f>
        <x:v>1</x:v>
      </x:c>
      <x:c r="F934" s="6" t="n">
        <x:f>4*SUM($E$9:E934)/A934</x:f>
        <x:v>3.0496760259179267</x:v>
      </x:c>
      <x:c r="G934" s="1"/>
      <x:c r="H934" s="1"/>
    </x:row>
    <x:row r="935" ht="22" customHeight="1">
      <x:c r="A935" s="1" t="n">
        <x:v>927</x:v>
      </x:c>
      <x:c r="B935" s="6" t="n">
        <x:f>RAND()</x:f>
        <x:v>0.9736130404295221</x:v>
      </x:c>
      <x:c r="C935" s="6" t="n">
        <x:f>RAND()</x:f>
        <x:v>0.9658625921516405</x:v>
      </x:c>
      <x:c r="D935" s="6" t="n">
        <x:f>B935^2+C935^2</x:f>
        <x:v>1.8808128994123043</x:v>
      </x:c>
      <x:c r="E935" s="5" t="n">
        <x:f>IF(D935&lt;=1,1,0)</x:f>
        <x:v>0</x:v>
      </x:c>
      <x:c r="F935" s="6" t="n">
        <x:f>4*SUM($E$9:E935)/A935</x:f>
        <x:v>3.04638619201726</x:v>
      </x:c>
      <x:c r="G935" s="1"/>
      <x:c r="H935" s="1"/>
    </x:row>
    <x:row r="936" ht="22" customHeight="1">
      <x:c r="A936" s="1" t="n">
        <x:v>928</x:v>
      </x:c>
      <x:c r="B936" s="6" t="n">
        <x:f>RAND()</x:f>
        <x:v>0.9510180936369885</x:v>
      </x:c>
      <x:c r="C936" s="6" t="n">
        <x:f>RAND()</x:f>
        <x:v>0.12692465087649474</x:v>
      </x:c>
      <x:c r="D936" s="6" t="n">
        <x:f>B936^2+C936^2</x:f>
        <x:v>0.920545281425052</x:v>
      </x:c>
      <x:c r="E936" s="5" t="n">
        <x:f>IF(D936&lt;=1,1,0)</x:f>
        <x:v>1</x:v>
      </x:c>
      <x:c r="F936" s="6" t="n">
        <x:f>4*SUM($E$9:E936)/A936</x:f>
        <x:v>3.0474137931034484</x:v>
      </x:c>
      <x:c r="G936" s="1"/>
      <x:c r="H936" s="1"/>
    </x:row>
    <x:row r="937" ht="22" customHeight="1">
      <x:c r="A937" s="1" t="n">
        <x:v>929</x:v>
      </x:c>
      <x:c r="B937" s="6" t="n">
        <x:f>RAND()</x:f>
        <x:v>0.5787349078679589</x:v>
      </x:c>
      <x:c r="C937" s="6" t="n">
        <x:f>RAND()</x:f>
        <x:v>0.5152794382026586</x:v>
      </x:c>
      <x:c r="D937" s="6" t="n">
        <x:f>B937^2+C937^2</x:f>
        <x:v>0.6004469930193823</x:v>
      </x:c>
      <x:c r="E937" s="5" t="n">
        <x:f>IF(D937&lt;=1,1,0)</x:f>
        <x:v>1</x:v>
      </x:c>
      <x:c r="F937" s="6" t="n">
        <x:f>4*SUM($E$9:E937)/A937</x:f>
        <x:v>3.048439181916039</x:v>
      </x:c>
      <x:c r="G937" s="1"/>
      <x:c r="H937" s="1"/>
    </x:row>
    <x:row r="938" ht="22" customHeight="1">
      <x:c r="A938" s="1" t="n">
        <x:v>930</x:v>
      </x:c>
      <x:c r="B938" s="6" t="n">
        <x:f>RAND()</x:f>
        <x:v>0.9694982692592544</x:v>
      </x:c>
      <x:c r="C938" s="6" t="n">
        <x:f>RAND()</x:f>
        <x:v>0.6845806634969718</x:v>
      </x:c>
      <x:c r="D938" s="6" t="n">
        <x:f>B938^2+C938^2</x:f>
        <x:v>1.408577578930644</x:v>
      </x:c>
      <x:c r="E938" s="5" t="n">
        <x:f>IF(D938&lt;=1,1,0)</x:f>
        <x:v>0</x:v>
      </x:c>
      <x:c r="F938" s="6" t="n">
        <x:f>4*SUM($E$9:E938)/A938</x:f>
        <x:v>3.0451612903225804</x:v>
      </x:c>
      <x:c r="G938" s="1"/>
      <x:c r="H938" s="1"/>
    </x:row>
    <x:row r="939" ht="22" customHeight="1">
      <x:c r="A939" s="1" t="n">
        <x:v>931</x:v>
      </x:c>
      <x:c r="B939" s="6" t="n">
        <x:f>RAND()</x:f>
        <x:v>0.3645553636052905</x:v>
      </x:c>
      <x:c r="C939" s="6" t="n">
        <x:f>RAND()</x:f>
        <x:v>0.8083954140899212</x:v>
      </x:c>
      <x:c r="D939" s="6" t="n">
        <x:f>B939^2+C939^2</x:f>
        <x:v>0.7864037586550008</x:v>
      </x:c>
      <x:c r="E939" s="5" t="n">
        <x:f>IF(D939&lt;=1,1,0)</x:f>
        <x:v>1</x:v>
      </x:c>
      <x:c r="F939" s="6" t="n">
        <x:f>4*SUM($E$9:E939)/A939</x:f>
        <x:v>3.046186895810956</x:v>
      </x:c>
      <x:c r="G939" s="1"/>
      <x:c r="H939" s="1"/>
    </x:row>
    <x:row r="940" ht="22" customHeight="1">
      <x:c r="A940" s="1" t="n">
        <x:v>932</x:v>
      </x:c>
      <x:c r="B940" s="6" t="n">
        <x:f>RAND()</x:f>
        <x:v>0.0524874473032404</x:v>
      </x:c>
      <x:c r="C940" s="6" t="n">
        <x:f>RAND()</x:f>
        <x:v>0.54508045692424</x:v>
      </x:c>
      <x:c r="D940" s="6" t="n">
        <x:f>B940^2+C940^2</x:f>
        <x:v>0.2998676366451487</x:v>
      </x:c>
      <x:c r="E940" s="5" t="n">
        <x:f>IF(D940&lt;=1,1,0)</x:f>
        <x:v>1</x:v>
      </x:c>
      <x:c r="F940" s="6" t="n">
        <x:f>4*SUM($E$9:E940)/A940</x:f>
        <x:v>3.0472103004291844</x:v>
      </x:c>
      <x:c r="G940" s="1"/>
      <x:c r="H940" s="1"/>
    </x:row>
    <x:row r="941" ht="22" customHeight="1">
      <x:c r="A941" s="1" t="n">
        <x:v>933</x:v>
      </x:c>
      <x:c r="B941" s="6" t="n">
        <x:f>RAND()</x:f>
        <x:v>0.31696758780389667</x:v>
      </x:c>
      <x:c r="C941" s="6" t="n">
        <x:f>RAND()</x:f>
        <x:v>0.2944744312197639</x:v>
      </x:c>
      <x:c r="D941" s="6" t="n">
        <x:f>B941^2+C941^2</x:f>
        <x:v>0.1871836423604244</x:v>
      </x:c>
      <x:c r="E941" s="5" t="n">
        <x:f>IF(D941&lt;=1,1,0)</x:f>
        <x:v>1</x:v>
      </x:c>
      <x:c r="F941" s="6" t="n">
        <x:f>4*SUM($E$9:E941)/A941</x:f>
        <x:v>3.0482315112540195</x:v>
      </x:c>
      <x:c r="G941" s="1"/>
      <x:c r="H941" s="1"/>
    </x:row>
    <x:row r="942" ht="22" customHeight="1">
      <x:c r="A942" s="1" t="n">
        <x:v>934</x:v>
      </x:c>
      <x:c r="B942" s="6" t="n">
        <x:f>RAND()</x:f>
        <x:v>0.6827011948988174</x:v>
      </x:c>
      <x:c r="C942" s="6" t="n">
        <x:f>RAND()</x:f>
        <x:v>0.24863098282566665</x:v>
      </x:c>
      <x:c r="D942" s="6" t="n">
        <x:f>B942^2+C942^2</x:f>
        <x:v>0.52789828713713</x:v>
      </x:c>
      <x:c r="E942" s="5" t="n">
        <x:f>IF(D942&lt;=1,1,0)</x:f>
        <x:v>1</x:v>
      </x:c>
      <x:c r="F942" s="6" t="n">
        <x:f>4*SUM($E$9:E942)/A942</x:f>
        <x:v>3.0492505353319057</x:v>
      </x:c>
      <x:c r="G942" s="1"/>
      <x:c r="H942" s="1"/>
    </x:row>
    <x:row r="943" ht="22" customHeight="1">
      <x:c r="A943" s="1" t="n">
        <x:v>935</x:v>
      </x:c>
      <x:c r="B943" s="6" t="n">
        <x:f>RAND()</x:f>
        <x:v>0.34337517922700955</x:v>
      </x:c>
      <x:c r="C943" s="6" t="n">
        <x:f>RAND()</x:f>
        <x:v>0.4276548648410171</x:v>
      </x:c>
      <x:c r="D943" s="6" t="n">
        <x:f>B943^2+C943^2</x:f>
        <x:v>0.30079519713136954</x:v>
      </x:c>
      <x:c r="E943" s="5" t="n">
        <x:f>IF(D943&lt;=1,1,0)</x:f>
        <x:v>1</x:v>
      </x:c>
      <x:c r="F943" s="6" t="n">
        <x:f>4*SUM($E$9:E943)/A943</x:f>
        <x:v>3.0502673796791444</x:v>
      </x:c>
      <x:c r="G943" s="1"/>
      <x:c r="H943" s="1"/>
    </x:row>
    <x:row r="944" ht="22" customHeight="1">
      <x:c r="A944" s="1" t="n">
        <x:v>936</x:v>
      </x:c>
      <x:c r="B944" s="6" t="n">
        <x:f>RAND()</x:f>
        <x:v>0.3467809419873481</x:v>
      </x:c>
      <x:c r="C944" s="6" t="n">
        <x:f>RAND()</x:f>
        <x:v>0.8768807105707621</x:v>
      </x:c>
      <x:c r="D944" s="6" t="n">
        <x:f>B944^2+C944^2</x:f>
        <x:v>0.8891768022967171</x:v>
      </x:c>
      <x:c r="E944" s="5" t="n">
        <x:f>IF(D944&lt;=1,1,0)</x:f>
        <x:v>1</x:v>
      </x:c>
      <x:c r="F944" s="6" t="n">
        <x:f>4*SUM($E$9:E944)/A944</x:f>
        <x:v>3.051282051282051</x:v>
      </x:c>
      <x:c r="G944" s="1"/>
      <x:c r="H944" s="1"/>
    </x:row>
    <x:row r="945" ht="22" customHeight="1">
      <x:c r="A945" s="1" t="n">
        <x:v>937</x:v>
      </x:c>
      <x:c r="B945" s="6" t="n">
        <x:f>RAND()</x:f>
        <x:v>0.8969191133422247</x:v>
      </x:c>
      <x:c r="C945" s="6" t="n">
        <x:f>RAND()</x:f>
        <x:v>0.1577648136380404</x:v>
      </x:c>
      <x:c r="D945" s="6" t="n">
        <x:f>B945^2+C945^2</x:f>
        <x:v>0.8293536323008481</x:v>
      </x:c>
      <x:c r="E945" s="5" t="n">
        <x:f>IF(D945&lt;=1,1,0)</x:f>
        <x:v>1</x:v>
      </x:c>
      <x:c r="F945" s="6" t="n">
        <x:f>4*SUM($E$9:E945)/A945</x:f>
        <x:v>3.0522945570971185</x:v>
      </x:c>
      <x:c r="G945" s="1"/>
      <x:c r="H945" s="1"/>
    </x:row>
    <x:row r="946" ht="22" customHeight="1">
      <x:c r="A946" s="1" t="n">
        <x:v>938</x:v>
      </x:c>
      <x:c r="B946" s="6" t="n">
        <x:f>RAND()</x:f>
        <x:v>0.5383206923438563</x:v>
      </x:c>
      <x:c r="C946" s="6" t="n">
        <x:f>RAND()</x:f>
        <x:v>0.6805394960604347</x:v>
      </x:c>
      <x:c r="D946" s="6" t="n">
        <x:f>B946^2+C946^2</x:f>
        <x:v>0.7529231735037591</x:v>
      </x:c>
      <x:c r="E946" s="5" t="n">
        <x:f>IF(D946&lt;=1,1,0)</x:f>
        <x:v>1</x:v>
      </x:c>
      <x:c r="F946" s="6" t="n">
        <x:f>4*SUM($E$9:E946)/A946</x:f>
        <x:v>3.053304904051173</x:v>
      </x:c>
      <x:c r="G946" s="1"/>
      <x:c r="H946" s="1"/>
    </x:row>
    <x:row r="947" ht="22" customHeight="1">
      <x:c r="A947" s="1" t="n">
        <x:v>939</x:v>
      </x:c>
      <x:c r="B947" s="6" t="n">
        <x:f>RAND()</x:f>
        <x:v>0.13082599943566675</x:v>
      </x:c>
      <x:c r="C947" s="6" t="n">
        <x:f>RAND()</x:f>
        <x:v>0.01051337177932965</x:v>
      </x:c>
      <x:c r="D947" s="6" t="n">
        <x:f>B947^2+C947^2</x:f>
        <x:v>0.017225973114511482</x:v>
      </x:c>
      <x:c r="E947" s="5" t="n">
        <x:f>IF(D947&lt;=1,1,0)</x:f>
        <x:v>1</x:v>
      </x:c>
      <x:c r="F947" s="6" t="n">
        <x:f>4*SUM($E$9:E947)/A947</x:f>
        <x:v>3.0543130990415337</x:v>
      </x:c>
      <x:c r="G947" s="1"/>
      <x:c r="H947" s="1"/>
    </x:row>
    <x:row r="948" ht="22" customHeight="1">
      <x:c r="A948" s="1" t="n">
        <x:v>940</x:v>
      </x:c>
      <x:c r="B948" s="6" t="n">
        <x:f>RAND()</x:f>
        <x:v>0.7225787170285384</x:v>
      </x:c>
      <x:c r="C948" s="6" t="n">
        <x:f>RAND()</x:f>
        <x:v>0.8929601157192308</x:v>
      </x:c>
      <x:c r="D948" s="6" t="n">
        <x:f>B948^2+C948^2</x:f>
        <x:v>1.3194977705679107</x:v>
      </x:c>
      <x:c r="E948" s="5" t="n">
        <x:f>IF(D948&lt;=1,1,0)</x:f>
        <x:v>0</x:v>
      </x:c>
      <x:c r="F948" s="6" t="n">
        <x:f>4*SUM($E$9:E948)/A948</x:f>
        <x:v>3.051063829787234</x:v>
      </x:c>
      <x:c r="G948" s="1"/>
      <x:c r="H948" s="1"/>
    </x:row>
    <x:row r="949" ht="22" customHeight="1">
      <x:c r="A949" s="1" t="n">
        <x:v>941</x:v>
      </x:c>
      <x:c r="B949" s="6" t="n">
        <x:f>RAND()</x:f>
        <x:v>0.3507590320233869</x:v>
      </x:c>
      <x:c r="C949" s="6" t="n">
        <x:f>RAND()</x:f>
        <x:v>0.003266184365226632</x:v>
      </x:c>
      <x:c r="D949" s="6" t="n">
        <x:f>B949^2+C949^2</x:f>
        <x:v>0.12304256650629099</x:v>
      </x:c>
      <x:c r="E949" s="5" t="n">
        <x:f>IF(D949&lt;=1,1,0)</x:f>
        <x:v>1</x:v>
      </x:c>
      <x:c r="F949" s="6" t="n">
        <x:f>4*SUM($E$9:E949)/A949</x:f>
        <x:v>3.0520722635494155</x:v>
      </x:c>
      <x:c r="G949" s="1"/>
      <x:c r="H949" s="1"/>
    </x:row>
    <x:row r="950" ht="22" customHeight="1">
      <x:c r="A950" s="1" t="n">
        <x:v>942</x:v>
      </x:c>
      <x:c r="B950" s="6" t="n">
        <x:f>RAND()</x:f>
        <x:v>0.8384905530732061</x:v>
      </x:c>
      <x:c r="C950" s="6" t="n">
        <x:f>RAND()</x:f>
        <x:v>0.5759494625969799</x:v>
      </x:c>
      <x:c r="D950" s="6" t="n">
        <x:f>B950^2+C950^2</x:f>
        <x:v>1.034784191058761</x:v>
      </x:c>
      <x:c r="E950" s="5" t="n">
        <x:f>IF(D950&lt;=1,1,0)</x:f>
        <x:v>0</x:v>
      </x:c>
      <x:c r="F950" s="6" t="n">
        <x:f>4*SUM($E$9:E950)/A950</x:f>
        <x:v>3.0488322717622083</x:v>
      </x:c>
      <x:c r="G950" s="1"/>
      <x:c r="H950" s="1"/>
    </x:row>
    <x:row r="951" ht="22" customHeight="1">
      <x:c r="A951" s="1" t="n">
        <x:v>943</x:v>
      </x:c>
      <x:c r="B951" s="6" t="n">
        <x:f>RAND()</x:f>
        <x:v>0.9597601519868151</x:v>
      </x:c>
      <x:c r="C951" s="6" t="n">
        <x:f>RAND()</x:f>
        <x:v>0.41929507888088347</x:v>
      </x:c>
      <x:c r="D951" s="6" t="n">
        <x:f>B951^2+C951^2</x:f>
        <x:v>1.0969479125154806</x:v>
      </x:c>
      <x:c r="E951" s="5" t="n">
        <x:f>IF(D951&lt;=1,1,0)</x:f>
        <x:v>0</x:v>
      </x:c>
      <x:c r="F951" s="6" t="n">
        <x:f>4*SUM($E$9:E951)/A951</x:f>
        <x:v>3.04559915164369</x:v>
      </x:c>
      <x:c r="G951" s="1"/>
      <x:c r="H951" s="1"/>
    </x:row>
    <x:row r="952" ht="22" customHeight="1">
      <x:c r="A952" s="1" t="n">
        <x:v>944</x:v>
      </x:c>
      <x:c r="B952" s="6" t="n">
        <x:f>RAND()</x:f>
        <x:v>0.487777815308546</x:v>
      </x:c>
      <x:c r="C952" s="6" t="n">
        <x:f>RAND()</x:f>
        <x:v>0.15439357611410565</x:v>
      </x:c>
      <x:c r="D952" s="6" t="n">
        <x:f>B952^2+C952^2</x:f>
        <x:v>0.26176457345248016</x:v>
      </x:c>
      <x:c r="E952" s="5" t="n">
        <x:f>IF(D952&lt;=1,1,0)</x:f>
        <x:v>1</x:v>
      </x:c>
      <x:c r="F952" s="6" t="n">
        <x:f>4*SUM($E$9:E952)/A952</x:f>
        <x:v>3.0466101694915255</x:v>
      </x:c>
      <x:c r="G952" s="1"/>
      <x:c r="H952" s="1"/>
    </x:row>
    <x:row r="953" ht="22" customHeight="1">
      <x:c r="A953" s="1" t="n">
        <x:v>945</x:v>
      </x:c>
      <x:c r="B953" s="6" t="n">
        <x:f>RAND()</x:f>
        <x:v>0.7602418185093653</x:v>
      </x:c>
      <x:c r="C953" s="6" t="n">
        <x:f>RAND()</x:f>
        <x:v>0.11511540058042236</x:v>
      </x:c>
      <x:c r="D953" s="6" t="n">
        <x:f>B953^2+C953^2</x:f>
        <x:v>0.5912191780612179</x:v>
      </x:c>
      <x:c r="E953" s="5" t="n">
        <x:f>IF(D953&lt;=1,1,0)</x:f>
        <x:v>1</x:v>
      </x:c>
      <x:c r="F953" s="6" t="n">
        <x:f>4*SUM($E$9:E953)/A953</x:f>
        <x:v>3.0476190476190474</x:v>
      </x:c>
      <x:c r="G953" s="1"/>
      <x:c r="H953" s="1"/>
    </x:row>
    <x:row r="954" ht="22" customHeight="1">
      <x:c r="A954" s="1" t="n">
        <x:v>946</x:v>
      </x:c>
      <x:c r="B954" s="6" t="n">
        <x:f>RAND()</x:f>
        <x:v>0.09892747118310807</x:v>
      </x:c>
      <x:c r="C954" s="6" t="n">
        <x:f>RAND()</x:f>
        <x:v>0.31728796152076744</x:v>
      </x:c>
      <x:c r="D954" s="6" t="n">
        <x:f>B954^2+C954^2</x:f>
        <x:v>0.11045829508068868</x:v>
      </x:c>
      <x:c r="E954" s="5" t="n">
        <x:f>IF(D954&lt;=1,1,0)</x:f>
        <x:v>1</x:v>
      </x:c>
      <x:c r="F954" s="6" t="n">
        <x:f>4*SUM($E$9:E954)/A954</x:f>
        <x:v>3.048625792811839</x:v>
      </x:c>
      <x:c r="G954" s="1"/>
      <x:c r="H954" s="1"/>
    </x:row>
    <x:row r="955" ht="22" customHeight="1">
      <x:c r="A955" s="1" t="n">
        <x:v>947</x:v>
      </x:c>
      <x:c r="B955" s="6" t="n">
        <x:f>RAND()</x:f>
        <x:v>0.7067840083134981</x:v>
      </x:c>
      <x:c r="C955" s="6" t="n">
        <x:f>RAND()</x:f>
        <x:v>0.15964434157650975</x:v>
      </x:c>
      <x:c r="D955" s="6" t="n">
        <x:f>B955^2+C955^2</x:f>
        <x:v>0.5250299502050922</x:v>
      </x:c>
      <x:c r="E955" s="5" t="n">
        <x:f>IF(D955&lt;=1,1,0)</x:f>
        <x:v>1</x:v>
      </x:c>
      <x:c r="F955" s="6" t="n">
        <x:f>4*SUM($E$9:E955)/A955</x:f>
        <x:v>3.0496304118268216</x:v>
      </x:c>
      <x:c r="G955" s="1"/>
      <x:c r="H955" s="1"/>
    </x:row>
    <x:row r="956" ht="22" customHeight="1">
      <x:c r="A956" s="1" t="n">
        <x:v>948</x:v>
      </x:c>
      <x:c r="B956" s="6" t="n">
        <x:f>RAND()</x:f>
        <x:v>0.8731621819142174</x:v>
      </x:c>
      <x:c r="C956" s="6" t="n">
        <x:f>RAND()</x:f>
        <x:v>0.9181201589825231</x:v>
      </x:c>
      <x:c r="D956" s="6" t="n">
        <x:f>B956^2+C956^2</x:f>
        <x:v>1.6053568222552903</x:v>
      </x:c>
      <x:c r="E956" s="5" t="n">
        <x:f>IF(D956&lt;=1,1,0)</x:f>
        <x:v>0</x:v>
      </x:c>
      <x:c r="F956" s="6" t="n">
        <x:f>4*SUM($E$9:E956)/A956</x:f>
        <x:v>3.0464135021097047</x:v>
      </x:c>
      <x:c r="G956" s="1"/>
      <x:c r="H956" s="1"/>
    </x:row>
    <x:row r="957" ht="22" customHeight="1">
      <x:c r="A957" s="1" t="n">
        <x:v>949</x:v>
      </x:c>
      <x:c r="B957" s="6" t="n">
        <x:f>RAND()</x:f>
        <x:v>0.9549660389145576</x:v>
      </x:c>
      <x:c r="C957" s="6" t="n">
        <x:f>RAND()</x:f>
        <x:v>0.10028326831057788</x:v>
      </x:c>
      <x:c r="D957" s="6" t="n">
        <x:f>B957^2+C957^2</x:f>
        <x:v>0.9220168693832117</x:v>
      </x:c>
      <x:c r="E957" s="5" t="n">
        <x:f>IF(D957&lt;=1,1,0)</x:f>
        <x:v>1</x:v>
      </x:c>
      <x:c r="F957" s="6" t="n">
        <x:f>4*SUM($E$9:E957)/A957</x:f>
        <x:v>3.047418335089568</x:v>
      </x:c>
      <x:c r="G957" s="1"/>
      <x:c r="H957" s="1"/>
    </x:row>
    <x:row r="958" ht="22" customHeight="1">
      <x:c r="A958" s="1" t="n">
        <x:v>950</x:v>
      </x:c>
      <x:c r="B958" s="6" t="n">
        <x:f>RAND()</x:f>
        <x:v>0.2983183420918474</x:v>
      </x:c>
      <x:c r="C958" s="6" t="n">
        <x:f>RAND()</x:f>
        <x:v>0.3944691647947832</x:v>
      </x:c>
      <x:c r="D958" s="6" t="n">
        <x:f>B958^2+C958^2</x:f>
        <x:v>0.2445997552023223</x:v>
      </x:c>
      <x:c r="E958" s="5" t="n">
        <x:f>IF(D958&lt;=1,1,0)</x:f>
        <x:v>1</x:v>
      </x:c>
      <x:c r="F958" s="6" t="n">
        <x:f>4*SUM($E$9:E958)/A958</x:f>
        <x:v>3.048421052631579</x:v>
      </x:c>
      <x:c r="G958" s="1"/>
      <x:c r="H958" s="1"/>
    </x:row>
    <x:row r="959" ht="22" customHeight="1">
      <x:c r="A959" s="1" t="n">
        <x:v>951</x:v>
      </x:c>
      <x:c r="B959" s="6" t="n">
        <x:f>RAND()</x:f>
        <x:v>0.8470020221729053</x:v>
      </x:c>
      <x:c r="C959" s="6" t="n">
        <x:f>RAND()</x:f>
        <x:v>0.2802724817615877</x:v>
      </x:c>
      <x:c r="D959" s="6" t="n">
        <x:f>B959^2+C959^2</x:f>
        <x:v>0.7959650895977903</x:v>
      </x:c>
      <x:c r="E959" s="5" t="n">
        <x:f>IF(D959&lt;=1,1,0)</x:f>
        <x:v>1</x:v>
      </x:c>
      <x:c r="F959" s="6" t="n">
        <x:f>4*SUM($E$9:E959)/A959</x:f>
        <x:v>3.0494216614090432</x:v>
      </x:c>
      <x:c r="G959" s="1"/>
      <x:c r="H959" s="1"/>
    </x:row>
    <x:row r="960" ht="22" customHeight="1">
      <x:c r="A960" s="1" t="n">
        <x:v>952</x:v>
      </x:c>
      <x:c r="B960" s="6" t="n">
        <x:f>RAND()</x:f>
        <x:v>0.7208116240465471</x:v>
      </x:c>
      <x:c r="C960" s="6" t="n">
        <x:f>RAND()</x:f>
        <x:v>0.7237404913166935</x:v>
      </x:c>
      <x:c r="D960" s="6" t="n">
        <x:f>B960^2+C960^2</x:f>
        <x:v>1.0433696961319496</x:v>
      </x:c>
      <x:c r="E960" s="5" t="n">
        <x:f>IF(D960&lt;=1,1,0)</x:f>
        <x:v>0</x:v>
      </x:c>
      <x:c r="F960" s="6" t="n">
        <x:f>4*SUM($E$9:E960)/A960</x:f>
        <x:v>3.046218487394958</x:v>
      </x:c>
      <x:c r="G960" s="1"/>
      <x:c r="H960" s="1"/>
    </x:row>
    <x:row r="961" ht="22" customHeight="1">
      <x:c r="A961" s="1" t="n">
        <x:v>953</x:v>
      </x:c>
      <x:c r="B961" s="6" t="n">
        <x:f>RAND()</x:f>
        <x:v>0.9893389924059474</x:v>
      </x:c>
      <x:c r="C961" s="6" t="n">
        <x:f>RAND()</x:f>
        <x:v>0.20352201913278845</x:v>
      </x:c>
      <x:c r="D961" s="6" t="n">
        <x:f>B961^2+C961^2</x:f>
        <x:v>1.0202128541667022</x:v>
      </x:c>
      <x:c r="E961" s="5" t="n">
        <x:f>IF(D961&lt;=1,1,0)</x:f>
        <x:v>0</x:v>
      </x:c>
      <x:c r="F961" s="6" t="n">
        <x:f>4*SUM($E$9:E961)/A961</x:f>
        <x:v>3.04302203567681</x:v>
      </x:c>
      <x:c r="G961" s="1"/>
      <x:c r="H961" s="1"/>
    </x:row>
    <x:row r="962" ht="22" customHeight="1">
      <x:c r="A962" s="1" t="n">
        <x:v>954</x:v>
      </x:c>
      <x:c r="B962" s="6" t="n">
        <x:f>RAND()</x:f>
        <x:v>0.007406566630977496</x:v>
      </x:c>
      <x:c r="C962" s="6" t="n">
        <x:f>RAND()</x:f>
        <x:v>0.7306800554263373</x:v>
      </x:c>
      <x:c r="D962" s="6" t="n">
        <x:f>B962^2+C962^2</x:f>
        <x:v>0.5339482006270945</x:v>
      </x:c>
      <x:c r="E962" s="5" t="n">
        <x:f>IF(D962&lt;=1,1,0)</x:f>
        <x:v>1</x:v>
      </x:c>
      <x:c r="F962" s="6" t="n">
        <x:f>4*SUM($E$9:E962)/A962</x:f>
        <x:v>3.0440251572327046</x:v>
      </x:c>
      <x:c r="G962" s="1"/>
      <x:c r="H962" s="1"/>
    </x:row>
    <x:row r="963" ht="22" customHeight="1">
      <x:c r="A963" s="1" t="n">
        <x:v>955</x:v>
      </x:c>
      <x:c r="B963" s="6" t="n">
        <x:f>RAND()</x:f>
        <x:v>0.34648285916040367</x:v>
      </x:c>
      <x:c r="C963" s="6" t="n">
        <x:f>RAND()</x:f>
        <x:v>0.7021758931214044</x:v>
      </x:c>
      <x:c r="D963" s="6" t="n">
        <x:f>B963^2+C963^2</x:f>
        <x:v>0.6131013565728101</x:v>
      </x:c>
      <x:c r="E963" s="5" t="n">
        <x:f>IF(D963&lt;=1,1,0)</x:f>
        <x:v>1</x:v>
      </x:c>
      <x:c r="F963" s="6" t="n">
        <x:f>4*SUM($E$9:E963)/A963</x:f>
        <x:v>3.0450261780104713</x:v>
      </x:c>
      <x:c r="G963" s="1"/>
      <x:c r="H963" s="1"/>
    </x:row>
    <x:row r="964" ht="22" customHeight="1">
      <x:c r="A964" s="1" t="n">
        <x:v>956</x:v>
      </x:c>
      <x:c r="B964" s="6" t="n">
        <x:f>RAND()</x:f>
        <x:v>0.7092152084178472</x:v>
      </x:c>
      <x:c r="C964" s="6" t="n">
        <x:f>RAND()</x:f>
        <x:v>0.6027175914593682</x:v>
      </x:c>
      <x:c r="D964" s="6" t="n">
        <x:f>B964^2+C964^2</x:f>
        <x:v>0.8662547069057525</x:v>
      </x:c>
      <x:c r="E964" s="5" t="n">
        <x:f>IF(D964&lt;=1,1,0)</x:f>
        <x:v>1</x:v>
      </x:c>
      <x:c r="F964" s="6" t="n">
        <x:f>4*SUM($E$9:E964)/A964</x:f>
        <x:v>3.0460251046025104</x:v>
      </x:c>
      <x:c r="G964" s="1"/>
      <x:c r="H964" s="1"/>
    </x:row>
    <x:row r="965" ht="22" customHeight="1">
      <x:c r="A965" s="1" t="n">
        <x:v>957</x:v>
      </x:c>
      <x:c r="B965" s="6" t="n">
        <x:f>RAND()</x:f>
        <x:v>0.1620901854370963</x:v>
      </x:c>
      <x:c r="C965" s="6" t="n">
        <x:f>RAND()</x:f>
        <x:v>0.5074241398030548</x:v>
      </x:c>
      <x:c r="D965" s="6" t="n">
        <x:f>B965^2+C965^2</x:f>
        <x:v>0.2837524858699023</x:v>
      </x:c>
      <x:c r="E965" s="5" t="n">
        <x:f>IF(D965&lt;=1,1,0)</x:f>
        <x:v>1</x:v>
      </x:c>
      <x:c r="F965" s="6" t="n">
        <x:f>4*SUM($E$9:E965)/A965</x:f>
        <x:v>3.0470219435736676</x:v>
      </x:c>
      <x:c r="G965" s="1"/>
      <x:c r="H965" s="1"/>
    </x:row>
    <x:row r="966" ht="22" customHeight="1">
      <x:c r="A966" s="1" t="n">
        <x:v>958</x:v>
      </x:c>
      <x:c r="B966" s="6" t="n">
        <x:f>RAND()</x:f>
        <x:v>0.725079782784989</x:v>
      </x:c>
      <x:c r="C966" s="6" t="n">
        <x:f>RAND()</x:f>
        <x:v>0.6175862133430108</x:v>
      </x:c>
      <x:c r="D966" s="6" t="n">
        <x:f>B966^2+C966^2</x:f>
        <x:v>0.9071534223148856</x:v>
      </x:c>
      <x:c r="E966" s="5" t="n">
        <x:f>IF(D966&lt;=1,1,0)</x:f>
        <x:v>1</x:v>
      </x:c>
      <x:c r="F966" s="6" t="n">
        <x:f>4*SUM($E$9:E966)/A966</x:f>
        <x:v>3.048016701461378</x:v>
      </x:c>
      <x:c r="G966" s="1"/>
      <x:c r="H966" s="1"/>
    </x:row>
    <x:row r="967" ht="22" customHeight="1">
      <x:c r="A967" s="1" t="n">
        <x:v>959</x:v>
      </x:c>
      <x:c r="B967" s="6" t="n">
        <x:f>RAND()</x:f>
        <x:v>0.5567183089477925</x:v>
      </x:c>
      <x:c r="C967" s="6" t="n">
        <x:f>RAND()</x:f>
        <x:v>0.39018374098698827</x:v>
      </x:c>
      <x:c r="D967" s="6" t="n">
        <x:f>B967^2+C967^2</x:f>
        <x:v>0.4621786272482909</x:v>
      </x:c>
      <x:c r="E967" s="5" t="n">
        <x:f>IF(D967&lt;=1,1,0)</x:f>
        <x:v>1</x:v>
      </x:c>
      <x:c r="F967" s="6" t="n">
        <x:f>4*SUM($E$9:E967)/A967</x:f>
        <x:v>3.049009384775808</x:v>
      </x:c>
      <x:c r="G967" s="1"/>
      <x:c r="H967" s="1"/>
    </x:row>
    <x:row r="968" ht="22" customHeight="1">
      <x:c r="A968" s="1" t="n">
        <x:v>960</x:v>
      </x:c>
      <x:c r="B968" s="6" t="n">
        <x:f>RAND()</x:f>
        <x:v>0.42660206571552883</x:v>
      </x:c>
      <x:c r="C968" s="6" t="n">
        <x:f>RAND()</x:f>
        <x:v>0.49973016289101546</x:v>
      </x:c>
      <x:c r="D968" s="6" t="n">
        <x:f>B968^2+C968^2</x:f>
        <x:v>0.4317195581758372</x:v>
      </x:c>
      <x:c r="E968" s="5" t="n">
        <x:f>IF(D968&lt;=1,1,0)</x:f>
        <x:v>1</x:v>
      </x:c>
      <x:c r="F968" s="6" t="n">
        <x:f>4*SUM($E$9:E968)/A968</x:f>
        <x:v>3.05</x:v>
      </x:c>
      <x:c r="G968" s="1"/>
      <x:c r="H968" s="1"/>
    </x:row>
    <x:row r="969" ht="22" customHeight="1">
      <x:c r="A969" s="1" t="n">
        <x:v>961</x:v>
      </x:c>
      <x:c r="B969" s="6" t="n">
        <x:f>RAND()</x:f>
        <x:v>0.49145572588094166</x:v>
      </x:c>
      <x:c r="C969" s="6" t="n">
        <x:f>RAND()</x:f>
        <x:v>0.6690829589340298</x:v>
      </x:c>
      <x:c r="D969" s="6" t="n">
        <x:f>B969^2+C969^2</x:f>
        <x:v>0.6892007364370799</x:v>
      </x:c>
      <x:c r="E969" s="5" t="n">
        <x:f>IF(D969&lt;=1,1,0)</x:f>
        <x:v>1</x:v>
      </x:c>
      <x:c r="F969" s="6" t="n">
        <x:f>4*SUM($E$9:E969)/A969</x:f>
        <x:v>3.0509885535900105</x:v>
      </x:c>
      <x:c r="G969" s="1"/>
      <x:c r="H969" s="1"/>
    </x:row>
    <x:row r="970" ht="22" customHeight="1">
      <x:c r="A970" s="1" t="n">
        <x:v>962</x:v>
      </x:c>
      <x:c r="B970" s="6" t="n">
        <x:f>RAND()</x:f>
        <x:v>0.7104068264677336</x:v>
      </x:c>
      <x:c r="C970" s="6" t="n">
        <x:f>RAND()</x:f>
        <x:v>0.6684405456960121</x:v>
      </x:c>
      <x:c r="D970" s="6" t="n">
        <x:f>B970^2+C970^2</x:f>
        <x:v>0.9514906222223389</x:v>
      </x:c>
      <x:c r="E970" s="5" t="n">
        <x:f>IF(D970&lt;=1,1,0)</x:f>
        <x:v>1</x:v>
      </x:c>
      <x:c r="F970" s="6" t="n">
        <x:f>4*SUM($E$9:E970)/A970</x:f>
        <x:v>3.051975051975052</x:v>
      </x:c>
      <x:c r="G970" s="1"/>
      <x:c r="H970" s="1"/>
    </x:row>
    <x:row r="971" ht="22" customHeight="1">
      <x:c r="A971" s="1" t="n">
        <x:v>963</x:v>
      </x:c>
      <x:c r="B971" s="6" t="n">
        <x:f>RAND()</x:f>
        <x:v>0.8426359637908366</x:v>
      </x:c>
      <x:c r="C971" s="6" t="n">
        <x:f>RAND()</x:f>
        <x:v>0.6226259338659571</x:v>
      </x:c>
      <x:c r="D971" s="6" t="n">
        <x:f>B971^2+C971^2</x:f>
        <x:v>1.0976984209961673</x:v>
      </x:c>
      <x:c r="E971" s="5" t="n">
        <x:f>IF(D971&lt;=1,1,0)</x:f>
        <x:v>0</x:v>
      </x:c>
      <x:c r="F971" s="6" t="n">
        <x:f>4*SUM($E$9:E971)/A971</x:f>
        <x:v>3.0488058151609554</x:v>
      </x:c>
      <x:c r="G971" s="1"/>
      <x:c r="H971" s="1"/>
    </x:row>
    <x:row r="972" ht="22" customHeight="1">
      <x:c r="A972" s="1" t="n">
        <x:v>964</x:v>
      </x:c>
      <x:c r="B972" s="6" t="n">
        <x:f>RAND()</x:f>
        <x:v>0.6983659239971013</x:v>
      </x:c>
      <x:c r="C972" s="6" t="n">
        <x:f>RAND()</x:f>
        <x:v>0.5464362680492877</x:v>
      </x:c>
      <x:c r="D972" s="6" t="n">
        <x:f>B972^2+C972^2</x:f>
        <x:v>0.786307558839958</x:v>
      </x:c>
      <x:c r="E972" s="5" t="n">
        <x:f>IF(D972&lt;=1,1,0)</x:f>
        <x:v>1</x:v>
      </x:c>
      <x:c r="F972" s="6" t="n">
        <x:f>4*SUM($E$9:E972)/A972</x:f>
        <x:v>3.0497925311203318</x:v>
      </x:c>
      <x:c r="G972" s="1"/>
      <x:c r="H972" s="1"/>
    </x:row>
    <x:row r="973" ht="22" customHeight="1">
      <x:c r="A973" s="1" t="n">
        <x:v>965</x:v>
      </x:c>
      <x:c r="B973" s="6" t="n">
        <x:f>RAND()</x:f>
        <x:v>0.026774197790618626</x:v>
      </x:c>
      <x:c r="C973" s="6" t="n">
        <x:f>RAND()</x:f>
        <x:v>0.6372816777387835</x:v>
      </x:c>
      <x:c r="D973" s="6" t="n">
        <x:f>B973^2+C973^2</x:f>
        <x:v>0.4068447944488899</x:v>
      </x:c>
      <x:c r="E973" s="5" t="n">
        <x:f>IF(D973&lt;=1,1,0)</x:f>
        <x:v>1</x:v>
      </x:c>
      <x:c r="F973" s="6" t="n">
        <x:f>4*SUM($E$9:E973)/A973</x:f>
        <x:v>3.0507772020725388</x:v>
      </x:c>
      <x:c r="G973" s="1"/>
      <x:c r="H973" s="1"/>
    </x:row>
    <x:row r="974" ht="22" customHeight="1">
      <x:c r="A974" s="1" t="n">
        <x:v>966</x:v>
      </x:c>
      <x:c r="B974" s="6" t="n">
        <x:f>RAND()</x:f>
        <x:v>0.8458537447582163</x:v>
      </x:c>
      <x:c r="C974" s="6" t="n">
        <x:f>RAND()</x:f>
        <x:v>0.030435143227121375</x:v>
      </x:c>
      <x:c r="D974" s="6" t="n">
        <x:f>B974^2+C974^2</x:f>
        <x:v>0.7163948554647531</x:v>
      </x:c>
      <x:c r="E974" s="5" t="n">
        <x:f>IF(D974&lt;=1,1,0)</x:f>
        <x:v>1</x:v>
      </x:c>
      <x:c r="F974" s="6" t="n">
        <x:f>4*SUM($E$9:E974)/A974</x:f>
        <x:v>3.05175983436853</x:v>
      </x:c>
      <x:c r="G974" s="1"/>
      <x:c r="H974" s="1"/>
    </x:row>
    <x:row r="975" ht="22" customHeight="1">
      <x:c r="A975" s="1" t="n">
        <x:v>967</x:v>
      </x:c>
      <x:c r="B975" s="6" t="n">
        <x:f>RAND()</x:f>
        <x:v>0.06665477823730892</x:v>
      </x:c>
      <x:c r="C975" s="6" t="n">
        <x:f>RAND()</x:f>
        <x:v>0.8808622319974537</x:v>
      </x:c>
      <x:c r="D975" s="6" t="n">
        <x:f>B975^2+C975^2</x:f>
        <x:v>0.7803611312214008</x:v>
      </x:c>
      <x:c r="E975" s="5" t="n">
        <x:f>IF(D975&lt;=1,1,0)</x:f>
        <x:v>1</x:v>
      </x:c>
      <x:c r="F975" s="6" t="n">
        <x:f>4*SUM($E$9:E975)/A975</x:f>
        <x:v>3.0527404343329887</x:v>
      </x:c>
      <x:c r="G975" s="1"/>
      <x:c r="H975" s="1"/>
    </x:row>
    <x:row r="976" ht="22" customHeight="1">
      <x:c r="A976" s="1" t="n">
        <x:v>968</x:v>
      </x:c>
      <x:c r="B976" s="6" t="n">
        <x:f>RAND()</x:f>
        <x:v>0.6808442319085141</x:v>
      </x:c>
      <x:c r="C976" s="6" t="n">
        <x:f>RAND()</x:f>
        <x:v>0.9074425156641658</x:v>
      </x:c>
      <x:c r="D976" s="6" t="n">
        <x:f>B976^2+C976^2</x:f>
        <x:v>1.2870007873580043</x:v>
      </x:c>
      <x:c r="E976" s="5" t="n">
        <x:f>IF(D976&lt;=1,1,0)</x:f>
        <x:v>0</x:v>
      </x:c>
      <x:c r="F976" s="6" t="n">
        <x:f>4*SUM($E$9:E976)/A976</x:f>
        <x:v>3.049586776859504</x:v>
      </x:c>
      <x:c r="G976" s="1"/>
      <x:c r="H976" s="1"/>
    </x:row>
    <x:row r="977" ht="22" customHeight="1">
      <x:c r="A977" s="1" t="n">
        <x:v>969</x:v>
      </x:c>
      <x:c r="B977" s="6" t="n">
        <x:f>RAND()</x:f>
        <x:v>0.01013117443375533</x:v>
      </x:c>
      <x:c r="C977" s="6" t="n">
        <x:f>RAND()</x:f>
        <x:v>0.9552993915697714</x:v>
      </x:c>
      <x:c r="D977" s="6" t="n">
        <x:f>B977^2+C977^2</x:f>
        <x:v>0.9126995682289827</x:v>
      </x:c>
      <x:c r="E977" s="5" t="n">
        <x:f>IF(D977&lt;=1,1,0)</x:f>
        <x:v>1</x:v>
      </x:c>
      <x:c r="F977" s="6" t="n">
        <x:f>4*SUM($E$9:E977)/A977</x:f>
        <x:v>3.050567595459236</x:v>
      </x:c>
      <x:c r="G977" s="1"/>
      <x:c r="H977" s="1"/>
    </x:row>
    <x:row r="978" ht="22" customHeight="1">
      <x:c r="A978" s="1" t="n">
        <x:v>970</x:v>
      </x:c>
      <x:c r="B978" s="6" t="n">
        <x:f>RAND()</x:f>
        <x:v>0.07178853660607931</x:v>
      </x:c>
      <x:c r="C978" s="6" t="n">
        <x:f>RAND()</x:f>
        <x:v>0.6437328169811565</x:v>
      </x:c>
      <x:c r="D978" s="6" t="n">
        <x:f>B978^2+C978^2</x:f>
        <x:v>0.41954553364653746</x:v>
      </x:c>
      <x:c r="E978" s="5" t="n">
        <x:f>IF(D978&lt;=1,1,0)</x:f>
        <x:v>1</x:v>
      </x:c>
      <x:c r="F978" s="6" t="n">
        <x:f>4*SUM($E$9:E978)/A978</x:f>
        <x:v>3.051546391752577</x:v>
      </x:c>
      <x:c r="G978" s="1"/>
      <x:c r="H978" s="1"/>
    </x:row>
    <x:row r="979" ht="22" customHeight="1">
      <x:c r="A979" s="1" t="n">
        <x:v>971</x:v>
      </x:c>
      <x:c r="B979" s="6" t="n">
        <x:f>RAND()</x:f>
        <x:v>0.450014444823706</x:v>
      </x:c>
      <x:c r="C979" s="6" t="n">
        <x:f>RAND()</x:f>
        <x:v>0.6722422223100615</x:v>
      </x:c>
      <x:c r="D979" s="6" t="n">
        <x:f>B979^2+C979^2</x:f>
        <x:v>0.6544226060063585</x:v>
      </x:c>
      <x:c r="E979" s="5" t="n">
        <x:f>IF(D979&lt;=1,1,0)</x:f>
        <x:v>1</x:v>
      </x:c>
      <x:c r="F979" s="6" t="n">
        <x:f>4*SUM($E$9:E979)/A979</x:f>
        <x:v>3.052523171987642</x:v>
      </x:c>
      <x:c r="G979" s="1"/>
      <x:c r="H979" s="1"/>
    </x:row>
    <x:row r="980" ht="22" customHeight="1">
      <x:c r="A980" s="1" t="n">
        <x:v>972</x:v>
      </x:c>
      <x:c r="B980" s="6" t="n">
        <x:f>RAND()</x:f>
        <x:v>0.3583671471890979</x:v>
      </x:c>
      <x:c r="C980" s="6" t="n">
        <x:f>RAND()</x:f>
        <x:v>0.4143898029304509</x:v>
      </x:c>
      <x:c r="D980" s="6" t="n">
        <x:f>B980^2+C980^2</x:f>
        <x:v>0.3001459209571905</x:v>
      </x:c>
      <x:c r="E980" s="5" t="n">
        <x:f>IF(D980&lt;=1,1,0)</x:f>
        <x:v>1</x:v>
      </x:c>
      <x:c r="F980" s="6" t="n">
        <x:f>4*SUM($E$9:E980)/A980</x:f>
        <x:v>3.0534979423868314</x:v>
      </x:c>
      <x:c r="G980" s="1"/>
      <x:c r="H980" s="1"/>
    </x:row>
    <x:row r="981" ht="22" customHeight="1">
      <x:c r="A981" s="1" t="n">
        <x:v>973</x:v>
      </x:c>
      <x:c r="B981" s="6" t="n">
        <x:f>RAND()</x:f>
        <x:v>0.5371710919654585</x:v>
      </x:c>
      <x:c r="C981" s="6" t="n">
        <x:f>RAND()</x:f>
        <x:v>0.9741225368071694</x:v>
      </x:c>
      <x:c r="D981" s="6" t="n">
        <x:f>B981^2+C981^2</x:f>
        <x:v>1.2374674987589982</x:v>
      </x:c>
      <x:c r="E981" s="5" t="n">
        <x:f>IF(D981&lt;=1,1,0)</x:f>
        <x:v>0</x:v>
      </x:c>
      <x:c r="F981" s="6" t="n">
        <x:f>4*SUM($E$9:E981)/A981</x:f>
        <x:v>3.050359712230216</x:v>
      </x:c>
      <x:c r="G981" s="1"/>
      <x:c r="H981" s="1"/>
    </x:row>
    <x:row r="982" ht="22" customHeight="1">
      <x:c r="A982" s="1" t="n">
        <x:v>974</x:v>
      </x:c>
      <x:c r="B982" s="6" t="n">
        <x:f>RAND()</x:f>
        <x:v>0.27306225384247806</x:v>
      </x:c>
      <x:c r="C982" s="6" t="n">
        <x:f>RAND()</x:f>
        <x:v>0.8986026470338169</x:v>
      </x:c>
      <x:c r="D982" s="6" t="n">
        <x:f>B982^2+C982^2</x:f>
        <x:v>0.8820497117297164</x:v>
      </x:c>
      <x:c r="E982" s="5" t="n">
        <x:f>IF(D982&lt;=1,1,0)</x:f>
        <x:v>1</x:v>
      </x:c>
      <x:c r="F982" s="6" t="n">
        <x:f>4*SUM($E$9:E982)/A982</x:f>
        <x:v>3.051334702258727</x:v>
      </x:c>
      <x:c r="G982" s="1"/>
      <x:c r="H982" s="1"/>
    </x:row>
    <x:row r="983" ht="22" customHeight="1">
      <x:c r="A983" s="1" t="n">
        <x:v>975</x:v>
      </x:c>
      <x:c r="B983" s="6" t="n">
        <x:f>RAND()</x:f>
        <x:v>0.8757597524020296</x:v>
      </x:c>
      <x:c r="C983" s="6" t="n">
        <x:f>RAND()</x:f>
        <x:v>0.3377720491319117</x:v>
      </x:c>
      <x:c r="D983" s="6" t="n">
        <x:f>B983^2+C983^2</x:f>
        <x:v>0.8810451011020348</x:v>
      </x:c>
      <x:c r="E983" s="5" t="n">
        <x:f>IF(D983&lt;=1,1,0)</x:f>
        <x:v>1</x:v>
      </x:c>
      <x:c r="F983" s="6" t="n">
        <x:f>4*SUM($E$9:E983)/A983</x:f>
        <x:v>3.0523076923076924</x:v>
      </x:c>
      <x:c r="G983" s="1"/>
      <x:c r="H983" s="1"/>
    </x:row>
    <x:row r="984" ht="22" customHeight="1">
      <x:c r="A984" s="1" t="n">
        <x:v>976</x:v>
      </x:c>
      <x:c r="B984" s="6" t="n">
        <x:f>RAND()</x:f>
        <x:v>0.2888284920354842</x:v>
      </x:c>
      <x:c r="C984" s="6" t="n">
        <x:f>RAND()</x:f>
        <x:v>0.3243451474715191</x:v>
      </x:c>
      <x:c r="D984" s="6" t="n">
        <x:f>B984^2+C984^2</x:f>
        <x:v>0.18862167249981326</x:v>
      </x:c>
      <x:c r="E984" s="5" t="n">
        <x:f>IF(D984&lt;=1,1,0)</x:f>
        <x:v>1</x:v>
      </x:c>
      <x:c r="F984" s="6" t="n">
        <x:f>4*SUM($E$9:E984)/A984</x:f>
        <x:v>3.05327868852459</x:v>
      </x:c>
      <x:c r="G984" s="1"/>
      <x:c r="H984" s="1"/>
    </x:row>
    <x:row r="985" ht="22" customHeight="1">
      <x:c r="A985" s="1" t="n">
        <x:v>977</x:v>
      </x:c>
      <x:c r="B985" s="6" t="n">
        <x:f>RAND()</x:f>
        <x:v>0.1879301270907685</x:v>
      </x:c>
      <x:c r="C985" s="6" t="n">
        <x:f>RAND()</x:f>
        <x:v>0.7331365164038528</x:v>
      </x:c>
      <x:c r="D985" s="6" t="n">
        <x:f>B985^2+C985^2</x:f>
        <x:v>0.5728068843531291</x:v>
      </x:c>
      <x:c r="E985" s="5" t="n">
        <x:f>IF(D985&lt;=1,1,0)</x:f>
        <x:v>1</x:v>
      </x:c>
      <x:c r="F985" s="6" t="n">
        <x:f>4*SUM($E$9:E985)/A985</x:f>
        <x:v>3.05424769703173</x:v>
      </x:c>
      <x:c r="G985" s="1"/>
      <x:c r="H985" s="1"/>
    </x:row>
    <x:row r="986" ht="22" customHeight="1">
      <x:c r="A986" s="1" t="n">
        <x:v>978</x:v>
      </x:c>
      <x:c r="B986" s="6" t="n">
        <x:f>RAND()</x:f>
        <x:v>0.9122580747264154</x:v>
      </x:c>
      <x:c r="C986" s="6" t="n">
        <x:f>RAND()</x:f>
        <x:v>0.11913112380741187</x:v>
      </x:c>
      <x:c r="D986" s="6" t="n">
        <x:f>B986^2+C986^2</x:f>
        <x:v>0.846407019563163</x:v>
      </x:c>
      <x:c r="E986" s="5" t="n">
        <x:f>IF(D986&lt;=1,1,0)</x:f>
        <x:v>1</x:v>
      </x:c>
      <x:c r="F986" s="6" t="n">
        <x:f>4*SUM($E$9:E986)/A986</x:f>
        <x:v>3.0552147239263805</x:v>
      </x:c>
      <x:c r="G986" s="1"/>
      <x:c r="H986" s="1"/>
    </x:row>
    <x:row r="987" ht="22" customHeight="1">
      <x:c r="A987" s="1" t="n">
        <x:v>979</x:v>
      </x:c>
      <x:c r="B987" s="6" t="n">
        <x:f>RAND()</x:f>
        <x:v>0.1507357141821899</x:v>
      </x:c>
      <x:c r="C987" s="6" t="n">
        <x:f>RAND()</x:f>
        <x:v>0.7760769120743072</x:v>
      </x:c>
      <x:c r="D987" s="6" t="n">
        <x:f>B987^2+C987^2</x:f>
        <x:v>0.6250166289848067</x:v>
      </x:c>
      <x:c r="E987" s="5" t="n">
        <x:f>IF(D987&lt;=1,1,0)</x:f>
        <x:v>1</x:v>
      </x:c>
      <x:c r="F987" s="6" t="n">
        <x:f>4*SUM($E$9:E987)/A987</x:f>
        <x:v>3.056179775280899</x:v>
      </x:c>
      <x:c r="G987" s="1"/>
      <x:c r="H987" s="1"/>
    </x:row>
    <x:row r="988" ht="22" customHeight="1">
      <x:c r="A988" s="1" t="n">
        <x:v>980</x:v>
      </x:c>
      <x:c r="B988" s="6" t="n">
        <x:f>RAND()</x:f>
        <x:v>0.27877755807983273</x:v>
      </x:c>
      <x:c r="C988" s="6" t="n">
        <x:f>RAND()</x:f>
        <x:v>0.4920405130962111</x:v>
      </x:c>
      <x:c r="D988" s="6" t="n">
        <x:f>B988^2+C988^2</x:f>
        <x:v>0.3198207934169372</x:v>
      </x:c>
      <x:c r="E988" s="5" t="n">
        <x:f>IF(D988&lt;=1,1,0)</x:f>
        <x:v>1</x:v>
      </x:c>
      <x:c r="F988" s="6" t="n">
        <x:f>4*SUM($E$9:E988)/A988</x:f>
        <x:v>3.057142857142857</x:v>
      </x:c>
      <x:c r="G988" s="1"/>
      <x:c r="H988" s="1"/>
    </x:row>
    <x:row r="989" ht="22" customHeight="1">
      <x:c r="A989" s="1" t="n">
        <x:v>981</x:v>
      </x:c>
      <x:c r="B989" s="6" t="n">
        <x:f>RAND()</x:f>
        <x:v>0.845309482329897</x:v>
      </x:c>
      <x:c r="C989" s="6" t="n">
        <x:f>RAND()</x:f>
        <x:v>0.2782457930354739</x:v>
      </x:c>
      <x:c r="D989" s="6" t="n">
        <x:f>B989^2+C989^2</x:f>
        <x:v>0.7919688422587783</x:v>
      </x:c>
      <x:c r="E989" s="5" t="n">
        <x:f>IF(D989&lt;=1,1,0)</x:f>
        <x:v>1</x:v>
      </x:c>
      <x:c r="F989" s="6" t="n">
        <x:f>4*SUM($E$9:E989)/A989</x:f>
        <x:v>3.058103975535168</x:v>
      </x:c>
      <x:c r="G989" s="1"/>
      <x:c r="H989" s="1"/>
    </x:row>
    <x:row r="990" ht="22" customHeight="1">
      <x:c r="A990" s="1" t="n">
        <x:v>982</x:v>
      </x:c>
      <x:c r="B990" s="6" t="n">
        <x:f>RAND()</x:f>
        <x:v>0.9576383132856094</x:v>
      </x:c>
      <x:c r="C990" s="6" t="n">
        <x:f>RAND()</x:f>
        <x:v>0.3021653887230532</x:v>
      </x:c>
      <x:c r="D990" s="6" t="n">
        <x:f>B990^2+C990^2</x:f>
        <x:v>1.008375061214661</x:v>
      </x:c>
      <x:c r="E990" s="5" t="n">
        <x:f>IF(D990&lt;=1,1,0)</x:f>
        <x:v>0</x:v>
      </x:c>
      <x:c r="F990" s="6" t="n">
        <x:f>4*SUM($E$9:E990)/A990</x:f>
        <x:v>3.054989816700611</x:v>
      </x:c>
      <x:c r="G990" s="1"/>
      <x:c r="H990" s="1"/>
    </x:row>
    <x:row r="991" ht="22" customHeight="1">
      <x:c r="A991" s="1" t="n">
        <x:v>983</x:v>
      </x:c>
      <x:c r="B991" s="6" t="n">
        <x:f>RAND()</x:f>
        <x:v>0.7816299723450008</x:v>
      </x:c>
      <x:c r="C991" s="6" t="n">
        <x:f>RAND()</x:f>
        <x:v>0.5991258752224106</x:v>
      </x:c>
      <x:c r="D991" s="6" t="n">
        <x:f>B991^2+C991^2</x:f>
        <x:v>0.9698972280290661</x:v>
      </x:c>
      <x:c r="E991" s="5" t="n">
        <x:f>IF(D991&lt;=1,1,0)</x:f>
        <x:v>1</x:v>
      </x:c>
      <x:c r="F991" s="6" t="n">
        <x:f>4*SUM($E$9:E991)/A991</x:f>
        <x:v>3.0559511698880977</x:v>
      </x:c>
      <x:c r="G991" s="1"/>
      <x:c r="H991" s="1"/>
    </x:row>
    <x:row r="992" ht="22" customHeight="1">
      <x:c r="A992" s="1" t="n">
        <x:v>984</x:v>
      </x:c>
      <x:c r="B992" s="6" t="n">
        <x:f>RAND()</x:f>
        <x:v>0.03728119700802024</x:v>
      </x:c>
      <x:c r="C992" s="6" t="n">
        <x:f>RAND()</x:f>
        <x:v>0.6656618390762399</x:v>
      </x:c>
      <x:c r="D992" s="6" t="n">
        <x:f>B992^2+C992^2</x:f>
        <x:v>0.4444955716527127</x:v>
      </x:c>
      <x:c r="E992" s="5" t="n">
        <x:f>IF(D992&lt;=1,1,0)</x:f>
        <x:v>1</x:v>
      </x:c>
      <x:c r="F992" s="6" t="n">
        <x:f>4*SUM($E$9:E992)/A992</x:f>
        <x:v>3.0569105691056913</x:v>
      </x:c>
      <x:c r="G992" s="1"/>
      <x:c r="H992" s="1"/>
    </x:row>
    <x:row r="993" ht="22" customHeight="1">
      <x:c r="A993" s="1" t="n">
        <x:v>985</x:v>
      </x:c>
      <x:c r="B993" s="6" t="n">
        <x:f>RAND()</x:f>
        <x:v>0.890972647796016</x:v>
      </x:c>
      <x:c r="C993" s="6" t="n">
        <x:f>RAND()</x:f>
        <x:v>0.17040400480919404</x:v>
      </x:c>
      <x:c r="D993" s="6" t="n">
        <x:f>B993^2+C993^2</x:f>
        <x:v>0.8228697839756555</x:v>
      </x:c>
      <x:c r="E993" s="5" t="n">
        <x:f>IF(D993&lt;=1,1,0)</x:f>
        <x:v>1</x:v>
      </x:c>
      <x:c r="F993" s="6" t="n">
        <x:f>4*SUM($E$9:E993)/A993</x:f>
        <x:v>3.0578680203045687</x:v>
      </x:c>
      <x:c r="G993" s="1"/>
      <x:c r="H993" s="1"/>
    </x:row>
    <x:row r="994" ht="22" customHeight="1">
      <x:c r="A994" s="1" t="n">
        <x:v>986</x:v>
      </x:c>
      <x:c r="B994" s="6" t="n">
        <x:f>RAND()</x:f>
        <x:v>0.621372856482574</x:v>
      </x:c>
      <x:c r="C994" s="6" t="n">
        <x:f>RAND()</x:f>
        <x:v>0.4215675440615435</x:v>
      </x:c>
      <x:c r="D994" s="6" t="n">
        <x:f>B994^2+C994^2</x:f>
        <x:v>0.563823420979395</x:v>
      </x:c>
      <x:c r="E994" s="5" t="n">
        <x:f>IF(D994&lt;=1,1,0)</x:f>
        <x:v>1</x:v>
      </x:c>
      <x:c r="F994" s="6" t="n">
        <x:f>4*SUM($E$9:E994)/A994</x:f>
        <x:v>3.0588235294117645</x:v>
      </x:c>
      <x:c r="G994" s="1"/>
      <x:c r="H994" s="1"/>
    </x:row>
    <x:row r="995" ht="22" customHeight="1">
      <x:c r="A995" s="1" t="n">
        <x:v>987</x:v>
      </x:c>
      <x:c r="B995" s="6" t="n">
        <x:f>RAND()</x:f>
        <x:v>0.6337948249302615</x:v>
      </x:c>
      <x:c r="C995" s="6" t="n">
        <x:f>RAND()</x:f>
        <x:v>0.8629294732876344</x:v>
      </x:c>
      <x:c r="D995" s="6" t="n">
        <x:f>B995^2+C995^2</x:f>
        <x:v>1.1463431559768549</x:v>
      </x:c>
      <x:c r="E995" s="5" t="n">
        <x:f>IF(D995&lt;=1,1,0)</x:f>
        <x:v>0</x:v>
      </x:c>
      <x:c r="F995" s="6" t="n">
        <x:f>4*SUM($E$9:E995)/A995</x:f>
        <x:v>3.055724417426545</x:v>
      </x:c>
      <x:c r="G995" s="1"/>
      <x:c r="H995" s="1"/>
    </x:row>
    <x:row r="996" ht="22" customHeight="1">
      <x:c r="A996" s="1" t="n">
        <x:v>988</x:v>
      </x:c>
      <x:c r="B996" s="6" t="n">
        <x:f>RAND()</x:f>
        <x:v>0.20746496864877484</x:v>
      </x:c>
      <x:c r="C996" s="6" t="n">
        <x:f>RAND()</x:f>
        <x:v>0.0216576962260544</x:v>
      </x:c>
      <x:c r="D996" s="6" t="n">
        <x:f>B996^2+C996^2</x:f>
        <x:v>0.04351076902225718</x:v>
      </x:c>
      <x:c r="E996" s="5" t="n">
        <x:f>IF(D996&lt;=1,1,0)</x:f>
        <x:v>1</x:v>
      </x:c>
      <x:c r="F996" s="6" t="n">
        <x:f>4*SUM($E$9:E996)/A996</x:f>
        <x:v>3.0566801619433197</x:v>
      </x:c>
      <x:c r="G996" s="1"/>
      <x:c r="H996" s="1"/>
    </x:row>
    <x:row r="997" ht="22" customHeight="1">
      <x:c r="A997" s="1" t="n">
        <x:v>989</x:v>
      </x:c>
      <x:c r="B997" s="6" t="n">
        <x:f>RAND()</x:f>
        <x:v>0.825057374142224</x:v>
      </x:c>
      <x:c r="C997" s="6" t="n">
        <x:f>RAND()</x:f>
        <x:v>0.16594588606432514</x:v>
      </x:c>
      <x:c r="D997" s="6" t="n">
        <x:f>B997^2+C997^2</x:f>
        <x:v>0.7082577077281359</x:v>
      </x:c>
      <x:c r="E997" s="5" t="n">
        <x:f>IF(D997&lt;=1,1,0)</x:f>
        <x:v>1</x:v>
      </x:c>
      <x:c r="F997" s="6" t="n">
        <x:f>4*SUM($E$9:E997)/A997</x:f>
        <x:v>3.057633973710819</x:v>
      </x:c>
      <x:c r="G997" s="1"/>
      <x:c r="H997" s="1"/>
    </x:row>
    <x:row r="998" ht="22" customHeight="1">
      <x:c r="A998" s="1" t="n">
        <x:v>990</x:v>
      </x:c>
      <x:c r="B998" s="6" t="n">
        <x:f>RAND()</x:f>
        <x:v>0.1126346465179846</x:v>
      </x:c>
      <x:c r="C998" s="6" t="n">
        <x:f>RAND()</x:f>
        <x:v>0.8053561414221275</x:v>
      </x:c>
      <x:c r="D998" s="6" t="n">
        <x:f>B998^2+C998^2</x:f>
        <x:v>0.6612850781225692</x:v>
      </x:c>
      <x:c r="E998" s="5" t="n">
        <x:f>IF(D998&lt;=1,1,0)</x:f>
        <x:v>1</x:v>
      </x:c>
      <x:c r="F998" s="6" t="n">
        <x:f>4*SUM($E$9:E998)/A998</x:f>
        <x:v>3.0585858585858587</x:v>
      </x:c>
      <x:c r="G998" s="1"/>
      <x:c r="H998" s="1"/>
    </x:row>
    <x:row r="999" ht="22" customHeight="1">
      <x:c r="A999" s="1" t="n">
        <x:v>991</x:v>
      </x:c>
      <x:c r="B999" s="6" t="n">
        <x:f>RAND()</x:f>
        <x:v>0.2810670831425196</x:v>
      </x:c>
      <x:c r="C999" s="6" t="n">
        <x:f>RAND()</x:f>
        <x:v>0.41917823374539775</x:v>
      </x:c>
      <x:c r="D999" s="6" t="n">
        <x:f>B999^2+C999^2</x:f>
        <x:v>0.25470909687215537</x:v>
      </x:c>
      <x:c r="E999" s="5" t="n">
        <x:f>IF(D999&lt;=1,1,0)</x:f>
        <x:v>1</x:v>
      </x:c>
      <x:c r="F999" s="6" t="n">
        <x:f>4*SUM($E$9:E999)/A999</x:f>
        <x:v>3.0595358224016147</x:v>
      </x:c>
      <x:c r="G999" s="1"/>
      <x:c r="H999" s="1"/>
    </x:row>
    <x:row r="1000" ht="22" customHeight="1">
      <x:c r="A1000" s="1" t="n">
        <x:v>992</x:v>
      </x:c>
      <x:c r="B1000" s="6" t="n">
        <x:f>RAND()</x:f>
        <x:v>0.5751365122986544</x:v>
      </x:c>
      <x:c r="C1000" s="6" t="n">
        <x:f>RAND()</x:f>
        <x:v>0.03983413533122793</x:v>
      </x:c>
      <x:c r="D1000" s="6" t="n">
        <x:f>B1000^2+C1000^2</x:f>
        <x:v>0.3323687661166468</x:v>
      </x:c>
      <x:c r="E1000" s="5" t="n">
        <x:f>IF(D1000&lt;=1,1,0)</x:f>
        <x:v>1</x:v>
      </x:c>
      <x:c r="F1000" s="6" t="n">
        <x:f>4*SUM($E$9:E1000)/A1000</x:f>
        <x:v>3.060483870967742</x:v>
      </x:c>
      <x:c r="G1000" s="1"/>
      <x:c r="H1000" s="1"/>
    </x:row>
    <x:row r="1001" ht="22" customHeight="1">
      <x:c r="A1001" s="1" t="n">
        <x:v>993</x:v>
      </x:c>
      <x:c r="B1001" s="6" t="n">
        <x:f>RAND()</x:f>
        <x:v>0.05282337430103612</x:v>
      </x:c>
      <x:c r="C1001" s="6" t="n">
        <x:f>RAND()</x:f>
        <x:v>0.309465322902451</x:v>
      </x:c>
      <x:c r="D1001" s="6" t="n">
        <x:f>B1001^2+C1001^2</x:f>
        <x:v>0.09855909495166562</x:v>
      </x:c>
      <x:c r="E1001" s="5" t="n">
        <x:f>IF(D1001&lt;=1,1,0)</x:f>
        <x:v>1</x:v>
      </x:c>
      <x:c r="F1001" s="6" t="n">
        <x:f>4*SUM($E$9:E1001)/A1001</x:f>
        <x:v>3.0614300100704934</x:v>
      </x:c>
      <x:c r="G1001" s="1"/>
      <x:c r="H1001" s="1"/>
    </x:row>
    <x:row r="1002" ht="22" customHeight="1">
      <x:c r="A1002" s="1" t="n">
        <x:v>994</x:v>
      </x:c>
      <x:c r="B1002" s="6" t="n">
        <x:f>RAND()</x:f>
        <x:v>0.24559408258149096</x:v>
      </x:c>
      <x:c r="C1002" s="6" t="n">
        <x:f>RAND()</x:f>
        <x:v>0.35822822634280804</x:v>
      </x:c>
      <x:c r="D1002" s="6" t="n">
        <x:f>B1002^2+C1002^2</x:f>
        <x:v>0.1886439155477583</x:v>
      </x:c>
      <x:c r="E1002" s="5" t="n">
        <x:f>IF(D1002&lt;=1,1,0)</x:f>
        <x:v>1</x:v>
      </x:c>
      <x:c r="F1002" s="6" t="n">
        <x:f>4*SUM($E$9:E1002)/A1002</x:f>
        <x:v>3.062374245472837</x:v>
      </x:c>
      <x:c r="G1002" s="1"/>
      <x:c r="H1002" s="1"/>
    </x:row>
    <x:row r="1003" ht="22" customHeight="1">
      <x:c r="A1003" s="1" t="n">
        <x:v>995</x:v>
      </x:c>
      <x:c r="B1003" s="6" t="n">
        <x:f>RAND()</x:f>
        <x:v>0.41616285586869184</x:v>
      </x:c>
      <x:c r="C1003" s="6" t="n">
        <x:f>RAND()</x:f>
        <x:v>0.69443243787684</x:v>
      </x:c>
      <x:c r="D1003" s="6" t="n">
        <x:f>B1003^2+C1003^2</x:f>
        <x:v>0.6554279333803568</x:v>
      </x:c>
      <x:c r="E1003" s="5" t="n">
        <x:f>IF(D1003&lt;=1,1,0)</x:f>
        <x:v>1</x:v>
      </x:c>
      <x:c r="F1003" s="6" t="n">
        <x:f>4*SUM($E$9:E1003)/A1003</x:f>
        <x:v>3.063316582914573</x:v>
      </x:c>
      <x:c r="G1003" s="1"/>
      <x:c r="H1003" s="1"/>
    </x:row>
    <x:row r="1004" ht="22" customHeight="1">
      <x:c r="A1004" s="1" t="n">
        <x:v>996</x:v>
      </x:c>
      <x:c r="B1004" s="6" t="n">
        <x:f>RAND()</x:f>
        <x:v>0.9977806974804285</x:v>
      </x:c>
      <x:c r="C1004" s="6" t="n">
        <x:f>RAND()</x:f>
        <x:v>0.4408989243497271</x:v>
      </x:c>
      <x:c r="D1004" s="6" t="n">
        <x:f>B1004^2+C1004^2</x:f>
        <x:v>1.1899581817572769</x:v>
      </x:c>
      <x:c r="E1004" s="5" t="n">
        <x:f>IF(D1004&lt;=1,1,0)</x:f>
        <x:v>0</x:v>
      </x:c>
      <x:c r="F1004" s="6" t="n">
        <x:f>4*SUM($E$9:E1004)/A1004</x:f>
        <x:v>3.0602409638554215</x:v>
      </x:c>
      <x:c r="G1004" s="1"/>
      <x:c r="H1004" s="1"/>
    </x:row>
    <x:row r="1005" ht="22" customHeight="1">
      <x:c r="A1005" s="1" t="n">
        <x:v>997</x:v>
      </x:c>
      <x:c r="B1005" s="6" t="n">
        <x:f>RAND()</x:f>
        <x:v>0.13299187167246385</x:v>
      </x:c>
      <x:c r="C1005" s="6" t="n">
        <x:f>RAND()</x:f>
        <x:v>0.6817657930607463</x:v>
      </x:c>
      <x:c r="D1005" s="6" t="n">
        <x:f>B1005^2+C1005^2</x:f>
        <x:v>0.48249143451869336</x:v>
      </x:c>
      <x:c r="E1005" s="5" t="n">
        <x:f>IF(D1005&lt;=1,1,0)</x:f>
        <x:v>1</x:v>
      </x:c>
      <x:c r="F1005" s="6" t="n">
        <x:f>4*SUM($E$9:E1005)/A1005</x:f>
        <x:v>3.061183550651956</x:v>
      </x:c>
      <x:c r="G1005" s="1"/>
      <x:c r="H1005" s="1"/>
    </x:row>
    <x:row r="1006" ht="22" customHeight="1">
      <x:c r="A1006" s="1" t="n">
        <x:v>998</x:v>
      </x:c>
      <x:c r="B1006" s="6" t="n">
        <x:f>RAND()</x:f>
        <x:v>0.41415141826728796</x:v>
      </x:c>
      <x:c r="C1006" s="6" t="n">
        <x:f>RAND()</x:f>
        <x:v>0.6824664372172488</x:v>
      </x:c>
      <x:c r="D1006" s="6" t="n">
        <x:f>B1006^2+C1006^2</x:f>
        <x:v>0.637281835180811</x:v>
      </x:c>
      <x:c r="E1006" s="5" t="n">
        <x:f>IF(D1006&lt;=1,1,0)</x:f>
        <x:v>1</x:v>
      </x:c>
      <x:c r="F1006" s="6" t="n">
        <x:f>4*SUM($E$9:E1006)/A1006</x:f>
        <x:v>3.062124248496994</x:v>
      </x:c>
      <x:c r="G1006" s="1"/>
      <x:c r="H1006" s="1"/>
    </x:row>
    <x:row r="1007" ht="22" customHeight="1">
      <x:c r="A1007" s="1" t="n">
        <x:v>999</x:v>
      </x:c>
      <x:c r="B1007" s="6" t="n">
        <x:f>RAND()</x:f>
        <x:v>0.1281860938240884</x:v>
      </x:c>
      <x:c r="C1007" s="6" t="n">
        <x:f>RAND()</x:f>
        <x:v>0.7181088001005828</x:v>
      </x:c>
      <x:c r="D1007" s="6" t="n">
        <x:f>B1007^2+C1007^2</x:f>
        <x:v>0.5321119234317768</x:v>
      </x:c>
      <x:c r="E1007" s="5" t="n">
        <x:f>IF(D1007&lt;=1,1,0)</x:f>
        <x:v>1</x:v>
      </x:c>
      <x:c r="F1007" s="6" t="n">
        <x:f>4*SUM($E$9:E1007)/A1007</x:f>
        <x:v>3.063063063063063</x:v>
      </x:c>
      <x:c r="G1007" s="1"/>
      <x:c r="H1007" s="1"/>
    </x:row>
    <x:row r="1008" ht="22" customHeight="1">
      <x:c r="A1008" s="1" t="n">
        <x:v>1000</x:v>
      </x:c>
      <x:c r="B1008" s="6" t="n">
        <x:f>RAND()</x:f>
        <x:v>0.8617560023439417</x:v>
      </x:c>
      <x:c r="C1008" s="6" t="n">
        <x:f>RAND()</x:f>
        <x:v>0.16808606814029992</x:v>
      </x:c>
      <x:c r="D1008" s="6" t="n">
        <x:f>B1008^2+C1008^2</x:f>
        <x:v>0.7708763338786772</x:v>
      </x:c>
      <x:c r="E1008" s="5" t="n">
        <x:f>IF(D1008&lt;=1,1,0)</x:f>
        <x:v>1</x:v>
      </x:c>
      <x:c r="F1008" s="6" t="n">
        <x:f>4*SUM($E$9:E1008)/A1008</x:f>
        <x:v>3.064</x:v>
      </x:c>
      <x:c r="G1008" s="1"/>
      <x:c r="H1008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7478D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</x:row>
    <x:row r="2" ht="22" customHeight="1">
      <x:c r="A2" s="2" t="str">
        <x:v>02 · 정규난수에서 GBM까지</x:v>
      </x:c>
      <x:c r="B2" s="1"/>
      <x:c r="C2" s="1"/>
      <x:c r="D2" s="1"/>
      <x:c r="E2" s="1"/>
      <x:c r="F2" s="1"/>
      <x:c r="G2" s="1"/>
      <x:c r="H2" s="1"/>
    </x:row>
    <x:row r="3" ht="22" customHeight="1">
      <x:c r="A3" s="1"/>
      <x:c r="B3" s="1"/>
      <x:c r="C3" s="1"/>
      <x:c r="D3" s="1"/>
      <x:c r="E3" s="1"/>
      <x:c r="F3" s="1"/>
      <x:c r="G3" s="1"/>
      <x:c r="H3" s="1"/>
    </x:row>
    <x:row r="4" ht="22" customHeight="1">
      <x:c r="A4" s="1" t="str">
        <x:v>S0</x:v>
      </x:c>
      <x:c r="B4" s="7" t="n">
        <x:v>100</x:v>
      </x:c>
      <x:c r="C4" s="1" t="str">
        <x:v>연 μ</x:v>
      </x:c>
      <x:c r="D4" s="8" t="n">
        <x:v>0.08</x:v>
      </x:c>
      <x:c r="E4" s="9" t="str">
        <x:v>연 σ</x:v>
      </x:c>
      <x:c r="F4" s="8" t="n">
        <x:v>0.2</x:v>
      </x:c>
      <x:c r="G4" s="1" t="str">
        <x:v>Δt</x:v>
      </x:c>
      <x:c r="H4" s="10" t="n">
        <x:v>0.003968253968253968</x:v>
      </x:c>
    </x:row>
    <x:row r="5" ht="22" customHeight="1">
      <x:c r="A5" s="1"/>
      <x:c r="B5" s="1"/>
      <x:c r="C5" s="1"/>
      <x:c r="D5" s="1"/>
      <x:c r="E5" s="1"/>
      <x:c r="F5" s="1"/>
      <x:c r="G5" s="1"/>
      <x:c r="H5" s="1"/>
    </x:row>
    <x:row r="6" ht="22" customHeight="1">
      <x:c r="A6" s="1" t="str">
        <x:v>μ는 가격 드리프트. 평균 로그수익률에는 −σ²/2 보정이 있습니다. σ=0으로 결정론적 경로를 확인하세요.</x:v>
      </x:c>
      <x:c r="B6" s="1"/>
      <x:c r="C6" s="1"/>
      <x:c r="D6" s="1"/>
      <x:c r="E6" s="1"/>
      <x:c r="F6" s="1"/>
      <x:c r="G6" s="1"/>
      <x:c r="H6" s="1"/>
    </x:row>
    <x:row r="7" ht="22" customHeight="1">
      <x:c r="A7" s="1"/>
      <x:c r="B7" s="1"/>
      <x:c r="C7" s="1"/>
      <x:c r="D7" s="1"/>
      <x:c r="E7" s="1"/>
      <x:c r="F7" s="1"/>
      <x:c r="G7" s="1"/>
      <x:c r="H7" s="1"/>
    </x:row>
    <x:row r="8" ht="30" customHeight="1">
      <x:c r="A8" s="4" t="str">
        <x:v>거래일</x:v>
      </x:c>
      <x:c r="B8" s="4" t="str">
        <x:v>시간(년)</x:v>
      </x:c>
      <x:c r="C8" s="4" t="str">
        <x:v>U</x:v>
      </x:c>
      <x:c r="D8" s="4" t="str">
        <x:v>Z ~ N(0,1)</x:v>
      </x:c>
      <x:c r="E8" s="4" t="str">
        <x:v>로그수익률</x:v>
      </x:c>
      <x:c r="F8" s="4" t="str">
        <x:v>S(t)</x:v>
      </x:c>
      <x:c r="G8" s="1"/>
      <x:c r="H8" s="1"/>
    </x:row>
    <x:row r="9" ht="22" customHeight="1">
      <x:c r="A9" s="1" t="n">
        <x:v>0</x:v>
      </x:c>
      <x:c r="B9" s="1" t="n">
        <x:v>0</x:v>
      </x:c>
      <x:c r="C9" s="1"/>
      <x:c r="D9" s="1"/>
      <x:c r="E9" s="1"/>
      <x:c r="F9" s="12" t="n">
        <x:f>B4</x:f>
        <x:v>100</x:v>
      </x:c>
      <x:c r="G9" s="1"/>
      <x:c r="H9" s="1"/>
    </x:row>
    <x:row r="10" ht="22" customHeight="1">
      <x:c r="A10" s="1" t="n">
        <x:v>1</x:v>
      </x:c>
      <x:c r="B10" s="11" t="n">
        <x:f>A10*$H$4</x:f>
        <x:v>0.003968253968253968</x:v>
      </x:c>
      <x:c r="C10" s="11" t="n">
        <x:f>MAX(0.0000000001,MIN(0.9999999999,RAND()))</x:f>
        <x:v>0.5984504656615477</x:v>
      </x:c>
      <x:c r="D10" s="11" t="n">
        <x:f>NORM.S.INV(C10)</x:f>
        <x:v>0.2493383502070812</x:v>
      </x:c>
      <x:c r="E10" s="11" t="n">
        <x:f>($D$4-0.5*$F$4^2)*$H$4+$F$4*SQRT($H$4)*D10</x:f>
        <x:v>0.003379463175995558</x:v>
      </x:c>
      <x:c r="F10" s="13" t="n">
        <x:f>F9*EXP(E10)</x:f>
        <x:v>100.33851799997923</x:v>
      </x:c>
      <x:c r="G10" s="1"/>
      <x:c r="H10" s="1"/>
    </x:row>
    <x:row r="11" ht="22" customHeight="1">
      <x:c r="A11" s="1" t="n">
        <x:v>2</x:v>
      </x:c>
      <x:c r="B11" s="11" t="n">
        <x:f>A11*$H$4</x:f>
        <x:v>0.007936507936507936</x:v>
      </x:c>
      <x:c r="C11" s="11" t="n">
        <x:f>MAX(0.0000000001,MIN(0.9999999999,RAND()))</x:f>
        <x:v>0.8991133366356465</x:v>
      </x:c>
      <x:c r="D11" s="11" t="n">
        <x:f>NORM.S.INV(C11)</x:f>
        <x:v>1.2765155691306267</x:v>
      </x:c>
      <x:c r="E11" s="11" t="n">
        <x:f>($D$4-0.5*$F$4^2)*$H$4+$F$4*SQRT($H$4)*D11</x:f>
        <x:v>0.016320679717246277</x:v>
      </x:c>
      <x:c r="F11" s="13" t="n">
        <x:f>F10*EXP(E11)</x:f>
        <x:v>101.98954712653773</x:v>
      </x:c>
      <x:c r="G11" s="1"/>
      <x:c r="H11" s="1"/>
    </x:row>
    <x:row r="12" ht="22" customHeight="1">
      <x:c r="A12" s="1" t="n">
        <x:v>3</x:v>
      </x:c>
      <x:c r="B12" s="11" t="n">
        <x:f>A12*$H$4</x:f>
        <x:v>0.011904761904761904</x:v>
      </x:c>
      <x:c r="C12" s="11" t="n">
        <x:f>MAX(0.0000000001,MIN(0.9999999999,RAND()))</x:f>
        <x:v>0.07469349169586426</x:v>
      </x:c>
      <x:c r="D12" s="11" t="n">
        <x:f>NORM.S.INV(C12)</x:f>
        <x:v>-1.44170014260152</x:v>
      </x:c>
      <x:c r="E12" s="11" t="n">
        <x:f>($D$4-0.5*$F$4^2)*$H$4+$F$4*SQRT($H$4)*D12</x:f>
        <x:v>-0.017925619249761805</x:v>
      </x:c>
      <x:c r="F12" s="13" t="n">
        <x:f>F11*EXP(E12)</x:f>
        <x:v>100.17760990422836</x:v>
      </x:c>
      <x:c r="G12" s="1"/>
      <x:c r="H12" s="1"/>
    </x:row>
    <x:row r="13" ht="22" customHeight="1">
      <x:c r="A13" s="1" t="n">
        <x:v>4</x:v>
      </x:c>
      <x:c r="B13" s="11" t="n">
        <x:f>A13*$H$4</x:f>
        <x:v>0.015873015873015872</x:v>
      </x:c>
      <x:c r="C13" s="11" t="n">
        <x:f>MAX(0.0000000001,MIN(0.9999999999,RAND()))</x:f>
        <x:v>0.9132956401419025</x:v>
      </x:c>
      <x:c r="D13" s="11" t="n">
        <x:f>NORM.S.INV(C13)</x:f>
        <x:v>1.361332237491943</x:v>
      </x:c>
      <x:c r="E13" s="11" t="n">
        <x:f>($D$4-0.5*$F$4^2)*$H$4+$F$4*SQRT($H$4)*D13</x:f>
        <x:v>0.017389269295899054</x:v>
      </x:c>
      <x:c r="F13" s="13" t="n">
        <x:f>F12*EXP(E13)</x:f>
        <x:v>101.93485970475102</x:v>
      </x:c>
      <x:c r="G13" s="1"/>
      <x:c r="H13" s="1"/>
    </x:row>
    <x:row r="14" ht="22" customHeight="1">
      <x:c r="A14" s="1" t="n">
        <x:v>5</x:v>
      </x:c>
      <x:c r="B14" s="11" t="n">
        <x:f>A14*$H$4</x:f>
        <x:v>0.01984126984126984</x:v>
      </x:c>
      <x:c r="C14" s="11" t="n">
        <x:f>MAX(0.0000000001,MIN(0.9999999999,RAND()))</x:f>
        <x:v>0.28310319160605124</x:v>
      </x:c>
      <x:c r="D14" s="11" t="n">
        <x:f>NORM.S.INV(C14)</x:f>
        <x:v>-0.57364746813933</x:v>
      </x:c>
      <x:c r="E14" s="11" t="n">
        <x:f>($D$4-0.5*$F$4^2)*$H$4+$F$4*SQRT($H$4)*D14</x:f>
        <x:v>-0.006989183528183407</x:v>
      </x:c>
      <x:c r="F14" s="13" t="n">
        <x:f>F13*EXP(E14)</x:f>
        <x:v>101.22490216416782</x:v>
      </x:c>
      <x:c r="G14" s="1"/>
      <x:c r="H14" s="1"/>
    </x:row>
    <x:row r="15" ht="22" customHeight="1">
      <x:c r="A15" s="1" t="n">
        <x:v>6</x:v>
      </x:c>
      <x:c r="B15" s="11" t="n">
        <x:f>A15*$H$4</x:f>
        <x:v>0.023809523809523808</x:v>
      </x:c>
      <x:c r="C15" s="11" t="n">
        <x:f>MAX(0.0000000001,MIN(0.9999999999,RAND()))</x:f>
        <x:v>0.7629914744319799</x:v>
      </x:c>
      <x:c r="D15" s="11" t="n">
        <x:f>NORM.S.INV(C15)</x:f>
        <x:v>0.7159583757930974</x:v>
      </x:c>
      <x:c r="E15" s="11" t="n">
        <x:f>($D$4-0.5*$F$4^2)*$H$4+$F$4*SQRT($H$4)*D15</x:f>
        <x:v>0.009258322911534583</x:v>
      </x:c>
      <x:c r="F15" s="13" t="n">
        <x:f>F14*EXP(E15)</x:f>
        <x:v>102.16642673902071</x:v>
      </x:c>
      <x:c r="G15" s="1"/>
      <x:c r="H15" s="1"/>
    </x:row>
    <x:row r="16" ht="22" customHeight="1">
      <x:c r="A16" s="1" t="n">
        <x:v>7</x:v>
      </x:c>
      <x:c r="B16" s="11" t="n">
        <x:f>A16*$H$4</x:f>
        <x:v>0.027777777777777776</x:v>
      </x:c>
      <x:c r="C16" s="11" t="n">
        <x:f>MAX(0.0000000001,MIN(0.9999999999,RAND()))</x:f>
        <x:v>0.4176776268408685</x:v>
      </x:c>
      <x:c r="D16" s="11" t="n">
        <x:f>NORM.S.INV(C16)</x:f>
        <x:v>-0.20783826514259413</x:v>
      </x:c>
      <x:c r="E16" s="11" t="n">
        <x:f>($D$4-0.5*$F$4^2)*$H$4+$F$4*SQRT($H$4)*D16</x:f>
        <x:v>-0.0023804207737638497</x:v>
      </x:c>
      <x:c r="F16" s="13" t="n">
        <x:f>F15*EXP(E16)</x:f>
        <x:v>101.92351688296576</x:v>
      </x:c>
      <x:c r="G16" s="1"/>
      <x:c r="H16" s="1"/>
    </x:row>
    <x:row r="17" ht="22" customHeight="1">
      <x:c r="A17" s="1" t="n">
        <x:v>8</x:v>
      </x:c>
      <x:c r="B17" s="11" t="n">
        <x:f>A17*$H$4</x:f>
        <x:v>0.031746031746031744</x:v>
      </x:c>
      <x:c r="C17" s="11" t="n">
        <x:f>MAX(0.0000000001,MIN(0.9999999999,RAND()))</x:f>
        <x:v>0.8658596817825608</x:v>
      </x:c>
      <x:c r="D17" s="11" t="n">
        <x:f>NORM.S.INV(C17)</x:f>
        <x:v>1.1070307437695381</x:v>
      </x:c>
      <x:c r="E17" s="11" t="n">
        <x:f>($D$4-0.5*$F$4^2)*$H$4+$F$4*SQRT($H$4)*D17</x:f>
        <x:v>0.014185371627224119</x:v>
      </x:c>
      <x:c r="F17" s="13" t="n">
        <x:f>F16*EXP(E17)</x:f>
        <x:v>103.37964327721413</x:v>
      </x:c>
      <x:c r="G17" s="1"/>
      <x:c r="H17" s="1"/>
    </x:row>
    <x:row r="18" ht="22" customHeight="1">
      <x:c r="A18" s="1" t="n">
        <x:v>9</x:v>
      </x:c>
      <x:c r="B18" s="11" t="n">
        <x:f>A18*$H$4</x:f>
        <x:v>0.03571428571428571</x:v>
      </x:c>
      <x:c r="C18" s="11" t="n">
        <x:f>MAX(0.0000000001,MIN(0.9999999999,RAND()))</x:f>
        <x:v>0.929010552630473</x:v>
      </x:c>
      <x:c r="D18" s="11" t="n">
        <x:f>NORM.S.INV(C18)</x:f>
        <x:v>1.4684615441806312</x:v>
      </x:c>
      <x:c r="E18" s="11" t="n">
        <x:f>($D$4-0.5*$F$4^2)*$H$4+$F$4*SQRT($H$4)*D18</x:f>
        <x:v>0.018738971694113517</x:v>
      </x:c>
      <x:c r="F18" s="13" t="n">
        <x:f>F17*EXP(E18)</x:f>
        <x:v>105.33513622773287</x:v>
      </x:c>
      <x:c r="G18" s="1"/>
      <x:c r="H18" s="1"/>
    </x:row>
    <x:row r="19" ht="22" customHeight="1">
      <x:c r="A19" s="1" t="n">
        <x:v>10</x:v>
      </x:c>
      <x:c r="B19" s="11" t="n">
        <x:f>A19*$H$4</x:f>
        <x:v>0.03968253968253968</x:v>
      </x:c>
      <x:c r="C19" s="11" t="n">
        <x:f>MAX(0.0000000001,MIN(0.9999999999,RAND()))</x:f>
        <x:v>0.859697809643702</x:v>
      </x:c>
      <x:c r="D19" s="11" t="n">
        <x:f>NORM.S.INV(C19)</x:f>
        <x:v>1.0789626442947673</x:v>
      </x:c>
      <x:c r="E19" s="11" t="n">
        <x:f>($D$4-0.5*$F$4^2)*$H$4+$F$4*SQRT($H$4)*D19</x:f>
        <x:v>0.013831746813012373</x:v>
      </x:c>
      <x:c r="F19" s="13" t="n">
        <x:f>F18*EXP(E19)</x:f>
        <x:v>106.80222799355863</x:v>
      </x:c>
      <x:c r="G19" s="1"/>
      <x:c r="H19" s="1"/>
    </x:row>
    <x:row r="20" ht="22" customHeight="1">
      <x:c r="A20" s="1" t="n">
        <x:v>11</x:v>
      </x:c>
      <x:c r="B20" s="11" t="n">
        <x:f>A20*$H$4</x:f>
        <x:v>0.04365079365079365</x:v>
      </x:c>
      <x:c r="C20" s="11" t="n">
        <x:f>MAX(0.0000000001,MIN(0.9999999999,RAND()))</x:f>
        <x:v>0.39018777857885645</x:v>
      </x:c>
      <x:c r="D20" s="11" t="n">
        <x:f>NORM.S.INV(C20)</x:f>
        <x:v>-0.2788296524899973</x:v>
      </x:c>
      <x:c r="E20" s="11" t="n">
        <x:f>($D$4-0.5*$F$4^2)*$H$4+$F$4*SQRT($H$4)*D20</x:f>
        <x:v>-0.0032748281839956885</x:v>
      </x:c>
      <x:c r="F20" s="13" t="n">
        <x:f>F19*EXP(E20)</x:f>
        <x:v>106.45304112278588</x:v>
      </x:c>
      <x:c r="G20" s="1"/>
      <x:c r="H20" s="1"/>
    </x:row>
    <x:row r="21" ht="22" customHeight="1">
      <x:c r="A21" s="1" t="n">
        <x:v>12</x:v>
      </x:c>
      <x:c r="B21" s="11" t="n">
        <x:f>A21*$H$4</x:f>
        <x:v>0.047619047619047616</x:v>
      </x:c>
      <x:c r="C21" s="11" t="n">
        <x:f>MAX(0.0000000001,MIN(0.9999999999,RAND()))</x:f>
        <x:v>0.853691982799648</x:v>
      </x:c>
      <x:c r="D21" s="11" t="n">
        <x:f>NORM.S.INV(C21)</x:f>
        <x:v>1.0524000747769593</x:v>
      </x:c>
      <x:c r="E21" s="11" t="n">
        <x:f>($D$4-0.5*$F$4^2)*$H$4+$F$4*SQRT($H$4)*D21</x:f>
        <x:v>0.013497089893360065</x:v>
      </x:c>
      <x:c r="F21" s="13" t="n">
        <x:f>F20*EXP(E21)</x:f>
        <x:v>107.89958751167856</x:v>
      </x:c>
      <x:c r="G21" s="1"/>
      <x:c r="H21" s="1"/>
    </x:row>
    <x:row r="22" ht="22" customHeight="1">
      <x:c r="A22" s="1" t="n">
        <x:v>13</x:v>
      </x:c>
      <x:c r="B22" s="11" t="n">
        <x:f>A22*$H$4</x:f>
        <x:v>0.051587301587301584</x:v>
      </x:c>
      <x:c r="C22" s="11" t="n">
        <x:f>MAX(0.0000000001,MIN(0.9999999999,RAND()))</x:f>
        <x:v>0.0517451410844495</x:v>
      </x:c>
      <x:c r="D22" s="11" t="n">
        <x:f>NORM.S.INV(C22)</x:f>
        <x:v>-1.6281632159181474</x:v>
      </x:c>
      <x:c r="E22" s="11" t="n">
        <x:f>($D$4-0.5*$F$4^2)*$H$4+$F$4*SQRT($H$4)*D22</x:f>
        <x:v>-0.020274833157821803</x:v>
      </x:c>
      <x:c r="F22" s="13" t="n">
        <x:f>F21*EXP(E22)</x:f>
        <x:v>105.7339693350303</x:v>
      </x:c>
      <x:c r="G22" s="1"/>
      <x:c r="H22" s="1"/>
    </x:row>
    <x:row r="23" ht="22" customHeight="1">
      <x:c r="A23" s="1" t="n">
        <x:v>14</x:v>
      </x:c>
      <x:c r="B23" s="11" t="n">
        <x:f>A23*$H$4</x:f>
        <x:v>0.05555555555555555</x:v>
      </x:c>
      <x:c r="C23" s="11" t="n">
        <x:f>MAX(0.0000000001,MIN(0.9999999999,RAND()))</x:f>
        <x:v>0.8579593953180931</x:v>
      </x:c>
      <x:c r="D23" s="11" t="n">
        <x:f>NORM.S.INV(C23)</x:f>
        <x:v>1.071196223401072</x:v>
      </x:c>
      <x:c r="E23" s="11" t="n">
        <x:f>($D$4-0.5*$F$4^2)*$H$4+$F$4*SQRT($H$4)*D23</x:f>
        <x:v>0.013733899107003926</x:v>
      </x:c>
      <x:c r="F23" s="13" t="n">
        <x:f>F22*EXP(E23)</x:f>
        <x:v>107.19612657949685</x:v>
      </x:c>
      <x:c r="G23" s="1"/>
      <x:c r="H23" s="1"/>
    </x:row>
    <x:row r="24" ht="22" customHeight="1">
      <x:c r="A24" s="1" t="n">
        <x:v>15</x:v>
      </x:c>
      <x:c r="B24" s="11" t="n">
        <x:f>A24*$H$4</x:f>
        <x:v>0.05952380952380952</x:v>
      </x:c>
      <x:c r="C24" s="11" t="n">
        <x:f>MAX(0.0000000001,MIN(0.9999999999,RAND()))</x:f>
        <x:v>0.5402456954215089</x:v>
      </x:c>
      <x:c r="D24" s="11" t="n">
        <x:f>NORM.S.INV(C24)</x:f>
        <x:v>0.10105272083301216</x:v>
      </x:c>
      <x:c r="E24" s="11" t="n">
        <x:f>($D$4-0.5*$F$4^2)*$H$4+$F$4*SQRT($H$4)*D24</x:f>
        <x:v>0.001511239850621838</x:v>
      </x:c>
      <x:c r="F24" s="13" t="n">
        <x:f>F23*EXP(E24)</x:f>
        <x:v>107.35824810921923</x:v>
      </x:c>
      <x:c r="G24" s="1"/>
      <x:c r="H24" s="1"/>
    </x:row>
    <x:row r="25" ht="22" customHeight="1">
      <x:c r="A25" s="1" t="n">
        <x:v>16</x:v>
      </x:c>
      <x:c r="B25" s="11" t="n">
        <x:f>A25*$H$4</x:f>
        <x:v>0.06349206349206349</x:v>
      </x:c>
      <x:c r="C25" s="11" t="n">
        <x:f>MAX(0.0000000001,MIN(0.9999999999,RAND()))</x:f>
        <x:v>0.13827424614902784</x:v>
      </x:c>
      <x:c r="D25" s="11" t="n">
        <x:f>NORM.S.INV(C25)</x:f>
        <x:v>-1.0881055989301422</x:v>
      </x:c>
      <x:c r="E25" s="11" t="n">
        <x:f>($D$4-0.5*$F$4^2)*$H$4+$F$4*SQRT($H$4)*D25</x:f>
        <x:v>-0.013470746737838789</x:v>
      </x:c>
      <x:c r="F25" s="13" t="n">
        <x:f>F24*EXP(E25)</x:f>
        <x:v>105.9217494160747</x:v>
      </x:c>
      <x:c r="G25" s="1"/>
      <x:c r="H25" s="1"/>
    </x:row>
    <x:row r="26" ht="22" customHeight="1">
      <x:c r="A26" s="1" t="n">
        <x:v>17</x:v>
      </x:c>
      <x:c r="B26" s="11" t="n">
        <x:f>A26*$H$4</x:f>
        <x:v>0.06746031746031746</x:v>
      </x:c>
      <x:c r="C26" s="11" t="n">
        <x:f>MAX(0.0000000001,MIN(0.9999999999,RAND()))</x:f>
        <x:v>0.8455958894061704</x:v>
      </x:c>
      <x:c r="D26" s="11" t="n">
        <x:f>NORM.S.INV(C26)</x:f>
        <x:v>1.0177259294519203</x:v>
      </x:c>
      <x:c r="E26" s="11" t="n">
        <x:f>($D$4-0.5*$F$4^2)*$H$4+$F$4*SQRT($H$4)*D26</x:f>
        <x:v>0.013060236724532607</x:v>
      </x:c>
      <x:c r="F26" s="13" t="n">
        <x:f>F25*EXP(E26)</x:f>
        <x:v>107.3141855180456</x:v>
      </x:c>
      <x:c r="G26" s="1"/>
      <x:c r="H26" s="1"/>
    </x:row>
    <x:row r="27" ht="22" customHeight="1">
      <x:c r="A27" s="1" t="n">
        <x:v>18</x:v>
      </x:c>
      <x:c r="B27" s="11" t="n">
        <x:f>A27*$H$4</x:f>
        <x:v>0.07142857142857142</x:v>
      </x:c>
      <x:c r="C27" s="11" t="n">
        <x:f>MAX(0.0000000001,MIN(0.9999999999,RAND()))</x:f>
        <x:v>0.06644796306464973</x:v>
      </x:c>
      <x:c r="D27" s="11" t="n">
        <x:f>NORM.S.INV(C27)</x:f>
        <x:v>-1.5027794528610494</x:v>
      </x:c>
      <x:c r="E27" s="11" t="n">
        <x:f>($D$4-0.5*$F$4^2)*$H$4+$F$4*SQRT($H$4)*D27</x:f>
        <x:v>-0.018695146226895474</x:v>
      </x:c>
      <x:c r="F27" s="13" t="n">
        <x:f>F26*EXP(E27)</x:f>
        <x:v>105.32656841418301</x:v>
      </x:c>
      <x:c r="G27" s="1"/>
      <x:c r="H27" s="1"/>
    </x:row>
    <x:row r="28" ht="22" customHeight="1">
      <x:c r="A28" s="1" t="n">
        <x:v>19</x:v>
      </x:c>
      <x:c r="B28" s="11" t="n">
        <x:f>A28*$H$4</x:f>
        <x:v>0.07539682539682539</x:v>
      </x:c>
      <x:c r="C28" s="11" t="n">
        <x:f>MAX(0.0000000001,MIN(0.9999999999,RAND()))</x:f>
        <x:v>0.4318701810937906</x:v>
      </x:c>
      <x:c r="D28" s="11" t="n">
        <x:f>NORM.S.INV(C28)</x:f>
        <x:v>-0.17161481167353773</x:v>
      </x:c>
      <x:c r="E28" s="11" t="n">
        <x:f>($D$4-0.5*$F$4^2)*$H$4+$F$4*SQRT($H$4)*D28</x:f>
        <x:v>-0.0019240481570636442</x:v>
      </x:c>
      <x:c r="F28" s="13" t="n">
        <x:f>F27*EXP(E28)</x:f>
        <x:v>105.12410985680079</x:v>
      </x:c>
      <x:c r="G28" s="1"/>
      <x:c r="H28" s="1"/>
    </x:row>
    <x:row r="29" ht="22" customHeight="1">
      <x:c r="A29" s="1" t="n">
        <x:v>20</x:v>
      </x:c>
      <x:c r="B29" s="11" t="n">
        <x:f>A29*$H$4</x:f>
        <x:v>0.07936507936507936</x:v>
      </x:c>
      <x:c r="C29" s="11" t="n">
        <x:f>MAX(0.0000000001,MIN(0.9999999999,RAND()))</x:f>
        <x:v>0.9203317854977685</x:v>
      </x:c>
      <x:c r="D29" s="11" t="n">
        <x:f>NORM.S.INV(C29)</x:f>
        <x:v>1.4073068162504603</x:v>
      </x:c>
      <x:c r="E29" s="11" t="n">
        <x:f>($D$4-0.5*$F$4^2)*$H$4+$F$4*SQRT($H$4)*D29</x:f>
        <x:v>0.01796849454364186</x:v>
      </x:c>
      <x:c r="F29" s="13" t="n">
        <x:f>F28*EXP(E29)</x:f>
        <x:v>107.03010449672246</x:v>
      </x:c>
      <x:c r="G29" s="1"/>
      <x:c r="H29" s="1"/>
    </x:row>
    <x:row r="30" ht="22" customHeight="1">
      <x:c r="A30" s="1" t="n">
        <x:v>21</x:v>
      </x:c>
      <x:c r="B30" s="11" t="n">
        <x:f>A30*$H$4</x:f>
        <x:v>0.08333333333333333</x:v>
      </x:c>
      <x:c r="C30" s="11" t="n">
        <x:f>MAX(0.0000000001,MIN(0.9999999999,RAND()))</x:f>
        <x:v>0.5868418306032548</x:v>
      </x:c>
      <x:c r="D30" s="11" t="n">
        <x:f>NORM.S.INV(C30)</x:f>
        <x:v>0.2194284131651298</x:v>
      </x:c>
      <x:c r="E30" s="11" t="n">
        <x:f>($D$4-0.5*$F$4^2)*$H$4+$F$4*SQRT($H$4)*D30</x:f>
        <x:v>0.0030026333896022135</x:v>
      </x:c>
      <x:c r="F30" s="13" t="n">
        <x:f>F29*EXP(E30)</x:f>
        <x:v>107.3519596268418</x:v>
      </x:c>
      <x:c r="G30" s="1"/>
      <x:c r="H30" s="1"/>
    </x:row>
    <x:row r="31" ht="22" customHeight="1">
      <x:c r="A31" s="1" t="n">
        <x:v>22</x:v>
      </x:c>
      <x:c r="B31" s="11" t="n">
        <x:f>A31*$H$4</x:f>
        <x:v>0.0873015873015873</x:v>
      </x:c>
      <x:c r="C31" s="11" t="n">
        <x:f>MAX(0.0000000001,MIN(0.9999999999,RAND()))</x:f>
        <x:v>0.9062988262786917</x:v>
      </x:c>
      <x:c r="D31" s="11" t="n">
        <x:f>NORM.S.INV(C31)</x:f>
        <x:v>1.3183026702296914</x:v>
      </x:c>
      <x:c r="E31" s="11" t="n">
        <x:f>($D$4-0.5*$F$4^2)*$H$4+$F$4*SQRT($H$4)*D31</x:f>
        <x:v>0.01684714770542932</x:v>
      </x:c>
      <x:c r="F31" s="13" t="n">
        <x:f>F30*EXP(E31)</x:f>
        <x:v>109.17585452156719</x:v>
      </x:c>
      <x:c r="G31" s="1"/>
      <x:c r="H31" s="1"/>
    </x:row>
    <x:row r="32" ht="22" customHeight="1">
      <x:c r="A32" s="1" t="n">
        <x:v>23</x:v>
      </x:c>
      <x:c r="B32" s="11" t="n">
        <x:f>A32*$H$4</x:f>
        <x:v>0.09126984126984126</x:v>
      </x:c>
      <x:c r="C32" s="11" t="n">
        <x:f>MAX(0.0000000001,MIN(0.9999999999,RAND()))</x:f>
        <x:v>0.18150905534122708</x:v>
      </x:c>
      <x:c r="D32" s="11" t="n">
        <x:f>NORM.S.INV(C32)</x:f>
        <x:v>-0.90962916804991</x:v>
      </x:c>
      <x:c r="E32" s="11" t="n">
        <x:f>($D$4-0.5*$F$4^2)*$H$4+$F$4*SQRT($H$4)*D32</x:f>
        <x:v>-0.01122215506643163</x:v>
      </x:c>
      <x:c r="F32" s="13" t="n">
        <x:f>F31*EXP(E32)</x:f>
        <x:v>107.95751513548954</x:v>
      </x:c>
      <x:c r="G32" s="1"/>
      <x:c r="H32" s="1"/>
    </x:row>
    <x:row r="33" ht="22" customHeight="1">
      <x:c r="A33" s="1" t="n">
        <x:v>24</x:v>
      </x:c>
      <x:c r="B33" s="11" t="n">
        <x:f>A33*$H$4</x:f>
        <x:v>0.09523809523809523</x:v>
      </x:c>
      <x:c r="C33" s="11" t="n">
        <x:f>MAX(0.0000000001,MIN(0.9999999999,RAND()))</x:f>
        <x:v>0.9664544095826304</x:v>
      </x:c>
      <x:c r="D33" s="11" t="n">
        <x:f>NORM.S.INV(C33)</x:f>
        <x:v>1.831062728395676</x:v>
      </x:c>
      <x:c r="E33" s="11" t="n">
        <x:f>($D$4-0.5*$F$4^2)*$H$4+$F$4*SQRT($H$4)*D33</x:f>
        <x:v>0.023307317210925556</x:v>
      </x:c>
      <x:c r="F33" s="13" t="n">
        <x:f>F32*EXP(E33)</x:f>
        <x:v>110.50326726906053</x:v>
      </x:c>
      <x:c r="G33" s="1"/>
      <x:c r="H33" s="1"/>
    </x:row>
    <x:row r="34" ht="22" customHeight="1">
      <x:c r="A34" s="1" t="n">
        <x:v>25</x:v>
      </x:c>
      <x:c r="B34" s="11" t="n">
        <x:f>A34*$H$4</x:f>
        <x:v>0.0992063492063492</x:v>
      </x:c>
      <x:c r="C34" s="11" t="n">
        <x:f>MAX(0.0000000001,MIN(0.9999999999,RAND()))</x:f>
        <x:v>0.1603885814870094</x:v>
      </x:c>
      <x:c r="D34" s="11" t="n">
        <x:f>NORM.S.INV(C34)</x:f>
        <x:v>-0.9928620974738109</x:v>
      </x:c>
      <x:c r="E34" s="11" t="n">
        <x:f>($D$4-0.5*$F$4^2)*$H$4+$F$4*SQRT($H$4)*D34</x:f>
        <x:v>-0.012270791409988928</x:v>
      </x:c>
      <x:c r="F34" s="13" t="n">
        <x:f>F33*EXP(E34)</x:f>
        <x:v>109.15559016876921</x:v>
      </x:c>
      <x:c r="G34" s="1"/>
      <x:c r="H34" s="1"/>
    </x:row>
    <x:row r="35" ht="22" customHeight="1">
      <x:c r="A35" s="1" t="n">
        <x:v>26</x:v>
      </x:c>
      <x:c r="B35" s="11" t="n">
        <x:f>A35*$H$4</x:f>
        <x:v>0.10317460317460317</x:v>
      </x:c>
      <x:c r="C35" s="11" t="n">
        <x:f>MAX(0.0000000001,MIN(0.9999999999,RAND()))</x:f>
        <x:v>0.8718311792882554</x:v>
      </x:c>
      <x:c r="D35" s="11" t="n">
        <x:f>NORM.S.INV(C35)</x:f>
        <x:v>1.1350899274732515</x:v>
      </x:c>
      <x:c r="E35" s="11" t="n">
        <x:f>($D$4-0.5*$F$4^2)*$H$4+$F$4*SQRT($H$4)*D35</x:f>
        <x:v>0.01453888411327889</x:v>
      </x:c>
      <x:c r="F35" s="13" t="n">
        <x:f>F34*EXP(E35)</x:f>
        <x:v>110.75418336616319</x:v>
      </x:c>
      <x:c r="G35" s="1"/>
      <x:c r="H35" s="1"/>
    </x:row>
    <x:row r="36" ht="22" customHeight="1">
      <x:c r="A36" s="1" t="n">
        <x:v>27</x:v>
      </x:c>
      <x:c r="B36" s="11" t="n">
        <x:f>A36*$H$4</x:f>
        <x:v>0.10714285714285714</x:v>
      </x:c>
      <x:c r="C36" s="11" t="n">
        <x:f>MAX(0.0000000001,MIN(0.9999999999,RAND()))</x:f>
        <x:v>0.11940537797328754</x:v>
      </x:c>
      <x:c r="D36" s="11" t="n">
        <x:f>NORM.S.INV(C36)</x:f>
        <x:v>-1.1779645080084837</x:v>
      </x:c>
      <x:c r="E36" s="11" t="n">
        <x:f>($D$4-0.5*$F$4^2)*$H$4+$F$4*SQRT($H$4)*D36</x:f>
        <x:v>-0.014602862578338103</x:v>
      </x:c>
      <x:c r="F36" s="13" t="n">
        <x:f>F35*EXP(E36)</x:f>
        <x:v>109.14860678505303</x:v>
      </x:c>
      <x:c r="G36" s="1"/>
      <x:c r="H36" s="1"/>
    </x:row>
    <x:row r="37" ht="22" customHeight="1">
      <x:c r="A37" s="1" t="n">
        <x:v>28</x:v>
      </x:c>
      <x:c r="B37" s="11" t="n">
        <x:f>A37*$H$4</x:f>
        <x:v>0.1111111111111111</x:v>
      </x:c>
      <x:c r="C37" s="11" t="n">
        <x:f>MAX(0.0000000001,MIN(0.9999999999,RAND()))</x:f>
        <x:v>0.5767939472746777</x:v>
      </x:c>
      <x:c r="D37" s="11" t="n">
        <x:f>NORM.S.INV(C37)</x:f>
        <x:v>0.19369832246056146</x:v>
      </x:c>
      <x:c r="E37" s="11" t="n">
        <x:f>($D$4-0.5*$F$4^2)*$H$4+$F$4*SQRT($H$4)*D37</x:f>
        <x:v>0.002678464717147821</x:v>
      </x:c>
      <x:c r="F37" s="13" t="n">
        <x:f>F36*EXP(E37)</x:f>
        <x:v>109.44134935255629</x:v>
      </x:c>
      <x:c r="G37" s="1"/>
      <x:c r="H37" s="1"/>
    </x:row>
    <x:row r="38" ht="22" customHeight="1">
      <x:c r="A38" s="1" t="n">
        <x:v>29</x:v>
      </x:c>
      <x:c r="B38" s="11" t="n">
        <x:f>A38*$H$4</x:f>
        <x:v>0.11507936507936507</x:v>
      </x:c>
      <x:c r="C38" s="11" t="n">
        <x:f>MAX(0.0000000001,MIN(0.9999999999,RAND()))</x:f>
        <x:v>0.8336996251392569</x:v>
      </x:c>
      <x:c r="D38" s="11" t="n">
        <x:f>NORM.S.INV(C38)</x:f>
        <x:v>0.9688886485733279</x:v>
      </x:c>
      <x:c r="E38" s="11" t="n">
        <x:f>($D$4-0.5*$F$4^2)*$H$4+$F$4*SQRT($H$4)*D38</x:f>
        <x:v>0.012444944820183247</x:v>
      </x:c>
      <x:c r="F38" s="13" t="n">
        <x:f>F37*EXP(E38)</x:f>
        <x:v>110.81185112759692</x:v>
      </x:c>
      <x:c r="G38" s="1"/>
      <x:c r="H38" s="1"/>
    </x:row>
    <x:row r="39" ht="22" customHeight="1">
      <x:c r="A39" s="1" t="n">
        <x:v>30</x:v>
      </x:c>
      <x:c r="B39" s="11" t="n">
        <x:f>A39*$H$4</x:f>
        <x:v>0.11904761904761904</x:v>
      </x:c>
      <x:c r="C39" s="11" t="n">
        <x:f>MAX(0.0000000001,MIN(0.9999999999,RAND()))</x:f>
        <x:v>0.5231466010034095</x:v>
      </x:c>
      <x:c r="D39" s="11" t="n">
        <x:f>NORM.S.INV(C39)</x:f>
        <x:v>0.05805251513714812</x:v>
      </x:c>
      <x:c r="E39" s="11" t="n">
        <x:f>($D$4-0.5*$F$4^2)*$H$4+$F$4*SQRT($H$4)*D39</x:f>
        <x:v>0.0009694881811176506</x:v>
      </x:c>
      <x:c r="F39" s="13" t="n">
        <x:f>F38*EXP(E39)</x:f>
        <x:v>110.9193340008619</x:v>
      </x:c>
      <x:c r="G39" s="1"/>
      <x:c r="H39" s="1"/>
    </x:row>
    <x:row r="40" ht="22" customHeight="1">
      <x:c r="A40" s="1" t="n">
        <x:v>31</x:v>
      </x:c>
      <x:c r="B40" s="11" t="n">
        <x:f>A40*$H$4</x:f>
        <x:v>0.12301587301587301</x:v>
      </x:c>
      <x:c r="C40" s="11" t="n">
        <x:f>MAX(0.0000000001,MIN(0.9999999999,RAND()))</x:f>
        <x:v>0.21098773484638111</x:v>
      </x:c>
      <x:c r="D40" s="11" t="n">
        <x:f>NORM.S.INV(C40)</x:f>
        <x:v>-0.8029987281337541</x:v>
      </x:c>
      <x:c r="E40" s="11" t="n">
        <x:f>($D$4-0.5*$F$4^2)*$H$4+$F$4*SQRT($H$4)*D40</x:f>
        <x:v>-0.009878737798776564</x:v>
      </x:c>
      <x:c r="F40" s="13" t="n">
        <x:f>F39*EXP(E40)</x:f>
        <x:v>109.82898548420101</x:v>
      </x:c>
      <x:c r="G40" s="1"/>
      <x:c r="H40" s="1"/>
    </x:row>
    <x:row r="41" ht="22" customHeight="1">
      <x:c r="A41" s="1" t="n">
        <x:v>32</x:v>
      </x:c>
      <x:c r="B41" s="11" t="n">
        <x:f>A41*$H$4</x:f>
        <x:v>0.12698412698412698</x:v>
      </x:c>
      <x:c r="C41" s="11" t="n">
        <x:f>MAX(0.0000000001,MIN(0.9999999999,RAND()))</x:f>
        <x:v>0.8009069556860616</x:v>
      </x:c>
      <x:c r="D41" s="11" t="n">
        <x:f>NORM.S.INV(C41)</x:f>
        <x:v>0.8448652316607648</x:v>
      </x:c>
      <x:c r="E41" s="11" t="n">
        <x:f>($D$4-0.5*$F$4^2)*$H$4+$F$4*SQRT($H$4)*D41</x:f>
        <x:v>0.010882396639711227</x:v>
      </x:c>
      <x:c r="F41" s="13" t="n">
        <x:f>F40*EXP(E41)</x:f>
        <x:v>111.03071505600299</x:v>
      </x:c>
      <x:c r="G41" s="1"/>
      <x:c r="H41" s="1"/>
    </x:row>
    <x:row r="42" ht="22" customHeight="1">
      <x:c r="A42" s="1" t="n">
        <x:v>33</x:v>
      </x:c>
      <x:c r="B42" s="11" t="n">
        <x:f>A42*$H$4</x:f>
        <x:v>0.13095238095238093</x:v>
      </x:c>
      <x:c r="C42" s="11" t="n">
        <x:f>MAX(0.0000000001,MIN(0.9999999999,RAND()))</x:f>
        <x:v>0.8641923843838255</x:v>
      </x:c>
      <x:c r="D42" s="11" t="n">
        <x:f>NORM.S.INV(C42)</x:f>
        <x:v>1.0993504581062044</x:v>
      </x:c>
      <x:c r="E42" s="11" t="n">
        <x:f>($D$4-0.5*$F$4^2)*$H$4+$F$4*SQRT($H$4)*D42</x:f>
        <x:v>0.014088609123114042</x:v>
      </x:c>
      <x:c r="F42" s="13" t="n">
        <x:f>F41*EXP(E42)</x:f>
        <x:v>112.60605451482489</x:v>
      </x:c>
      <x:c r="G42" s="1"/>
      <x:c r="H42" s="1"/>
    </x:row>
    <x:row r="43" ht="22" customHeight="1">
      <x:c r="A43" s="1" t="n">
        <x:v>34</x:v>
      </x:c>
      <x:c r="B43" s="11" t="n">
        <x:f>A43*$H$4</x:f>
        <x:v>0.1349206349206349</x:v>
      </x:c>
      <x:c r="C43" s="11" t="n">
        <x:f>MAX(0.0000000001,MIN(0.9999999999,RAND()))</x:f>
        <x:v>0.10954940888209219</x:v>
      </x:c>
      <x:c r="D43" s="11" t="n">
        <x:f>NORM.S.INV(C43)</x:f>
        <x:v>-1.2289279587153945</x:v>
      </x:c>
      <x:c r="E43" s="11" t="n">
        <x:f>($D$4-0.5*$F$4^2)*$H$4+$F$4*SQRT($H$4)*D43</x:f>
        <x:v>-0.015244941704643744</x:v>
      </x:c>
      <x:c r="F43" s="13" t="n">
        <x:f>F42*EXP(E43)</x:f>
        <x:v>110.90240082389428</x:v>
      </x:c>
      <x:c r="G43" s="1"/>
      <x:c r="H43" s="1"/>
    </x:row>
    <x:row r="44" ht="22" customHeight="1">
      <x:c r="A44" s="1" t="n">
        <x:v>35</x:v>
      </x:c>
      <x:c r="B44" s="11" t="n">
        <x:f>A44*$H$4</x:f>
        <x:v>0.1388888888888889</x:v>
      </x:c>
      <x:c r="C44" s="11" t="n">
        <x:f>MAX(0.0000000001,MIN(0.9999999999,RAND()))</x:f>
        <x:v>0.5402406805616121</x:v>
      </x:c>
      <x:c r="D44" s="11" t="n">
        <x:f>NORM.S.INV(C44)</x:f>
        <x:v>0.10104008610511188</x:v>
      </x:c>
      <x:c r="E44" s="11" t="n">
        <x:f>($D$4-0.5*$F$4^2)*$H$4+$F$4*SQRT($H$4)*D44</x:f>
        <x:v>0.0015110806680127566</x:v>
      </x:c>
      <x:c r="F44" s="13" t="n">
        <x:f>F43*EXP(E44)</x:f>
        <x:v>111.07010997693321</x:v>
      </x:c>
      <x:c r="G44" s="1"/>
      <x:c r="H44" s="1"/>
    </x:row>
    <x:row r="45" ht="22" customHeight="1">
      <x:c r="A45" s="1" t="n">
        <x:v>36</x:v>
      </x:c>
      <x:c r="B45" s="11" t="n">
        <x:f>A45*$H$4</x:f>
        <x:v>0.14285714285714285</x:v>
      </x:c>
      <x:c r="C45" s="11" t="n">
        <x:f>MAX(0.0000000001,MIN(0.9999999999,RAND()))</x:f>
        <x:v>0.7181809105034617</x:v>
      </x:c>
      <x:c r="D45" s="11" t="n">
        <x:f>NORM.S.INV(C45)</x:f>
        <x:v>0.5774460419965128</x:v>
      </x:c>
      <x:c r="E45" s="11" t="n">
        <x:f>($D$4-0.5*$F$4^2)*$H$4+$F$4*SQRT($H$4)*D45</x:f>
        <x:v>0.007513231536577774</x:v>
      </x:c>
      <x:c r="F45" s="13" t="n">
        <x:f>F44*EXP(E45)</x:f>
        <x:v>111.90774817455274</x:v>
      </x:c>
      <x:c r="G45" s="1"/>
      <x:c r="H45" s="1"/>
    </x:row>
    <x:row r="46" ht="22" customHeight="1">
      <x:c r="A46" s="1" t="n">
        <x:v>37</x:v>
      </x:c>
      <x:c r="B46" s="11" t="n">
        <x:f>A46*$H$4</x:f>
        <x:v>0.1468253968253968</x:v>
      </x:c>
      <x:c r="C46" s="11" t="n">
        <x:f>MAX(0.0000000001,MIN(0.9999999999,RAND()))</x:f>
        <x:v>0.8429517645203354</x:v>
      </x:c>
      <x:c r="D46" s="11" t="n">
        <x:f>NORM.S.INV(C46)</x:f>
        <x:v>1.0066635770075594</x:v>
      </x:c>
      <x:c r="E46" s="11" t="n">
        <x:f>($D$4-0.5*$F$4^2)*$H$4+$F$4*SQRT($H$4)*D46</x:f>
        <x:v>0.012920864184136767</x:v>
      </x:c>
      <x:c r="F46" s="13" t="n">
        <x:f>F45*EXP(E46)</x:f>
        <x:v>113.36307478156388</x:v>
      </x:c>
      <x:c r="G46" s="1"/>
      <x:c r="H46" s="1"/>
    </x:row>
    <x:row r="47" ht="22" customHeight="1">
      <x:c r="A47" s="1" t="n">
        <x:v>38</x:v>
      </x:c>
      <x:c r="B47" s="11" t="n">
        <x:f>A47*$H$4</x:f>
        <x:v>0.15079365079365079</x:v>
      </x:c>
      <x:c r="C47" s="11" t="n">
        <x:f>MAX(0.0000000001,MIN(0.9999999999,RAND()))</x:f>
        <x:v>0.005350158228874635</x:v>
      </x:c>
      <x:c r="D47" s="11" t="n">
        <x:f>NORM.S.INV(C47)</x:f>
        <x:v>-2.5523363489709707</x:v>
      </x:c>
      <x:c r="E47" s="11" t="n">
        <x:f>($D$4-0.5*$F$4^2)*$H$4+$F$4*SQRT($H$4)*D47</x:f>
        <x:v>-0.0319183201979417</x:v>
      </x:c>
      <x:c r="F47" s="13" t="n">
        <x:f>F46*EXP(E47)</x:f>
        <x:v>109.80185231797738</x:v>
      </x:c>
      <x:c r="G47" s="1"/>
      <x:c r="H47" s="1"/>
    </x:row>
    <x:row r="48" ht="22" customHeight="1">
      <x:c r="A48" s="1" t="n">
        <x:v>39</x:v>
      </x:c>
      <x:c r="B48" s="11" t="n">
        <x:f>A48*$H$4</x:f>
        <x:v>0.15476190476190477</x:v>
      </x:c>
      <x:c r="C48" s="11" t="n">
        <x:f>MAX(0.0000000001,MIN(0.9999999999,RAND()))</x:f>
        <x:v>0.16843986396949362</x:v>
      </x:c>
      <x:c r="D48" s="11" t="n">
        <x:f>NORM.S.INV(C48)</x:f>
        <x:v>-0.9603487389676884</x:v>
      </x:c>
      <x:c r="E48" s="11" t="n">
        <x:f>($D$4-0.5*$F$4^2)*$H$4+$F$4*SQRT($H$4)*D48</x:f>
        <x:v>-0.011861161596204704</x:v>
      </x:c>
      <x:c r="F48" s="13" t="n">
        <x:f>F47*EXP(E48)</x:f>
        <x:v>108.50716821152224</x:v>
      </x:c>
      <x:c r="G48" s="1"/>
      <x:c r="H48" s="1"/>
    </x:row>
    <x:row r="49" ht="22" customHeight="1">
      <x:c r="A49" s="1" t="n">
        <x:v>40</x:v>
      </x:c>
      <x:c r="B49" s="11" t="n">
        <x:f>A49*$H$4</x:f>
        <x:v>0.15873015873015872</x:v>
      </x:c>
      <x:c r="C49" s="11" t="n">
        <x:f>MAX(0.0000000001,MIN(0.9999999999,RAND()))</x:f>
        <x:v>0.8310817473133051</x:v>
      </x:c>
      <x:c r="D49" s="11" t="n">
        <x:f>NORM.S.INV(C49)</x:f>
        <x:v>0.9584487845861823</x:v>
      </x:c>
      <x:c r="E49" s="11" t="n">
        <x:f>($D$4-0.5*$F$4^2)*$H$4+$F$4*SQRT($H$4)*D49</x:f>
        <x:v>0.012313414897176932</x:v>
      </x:c>
      <x:c r="F49" s="13" t="n">
        <x:f>F48*EXP(E49)</x:f>
        <x:v>109.85152179888783</x:v>
      </x:c>
      <x:c r="G49" s="1"/>
      <x:c r="H49" s="1"/>
    </x:row>
    <x:row r="50" ht="22" customHeight="1">
      <x:c r="A50" s="1" t="n">
        <x:v>41</x:v>
      </x:c>
      <x:c r="B50" s="11" t="n">
        <x:f>A50*$H$4</x:f>
        <x:v>0.16269841269841268</x:v>
      </x:c>
      <x:c r="C50" s="11" t="n">
        <x:f>MAX(0.0000000001,MIN(0.9999999999,RAND()))</x:f>
        <x:v>0.9698027407787024</x:v>
      </x:c>
      <x:c r="D50" s="11" t="n">
        <x:f>NORM.S.INV(C50)</x:f>
        <x:v>1.8779023968850665</x:v>
      </x:c>
      <x:c r="E50" s="11" t="n">
        <x:f>($D$4-0.5*$F$4^2)*$H$4+$F$4*SQRT($H$4)*D50</x:f>
        <x:v>0.023897441564809534</x:v>
      </x:c>
      <x:c r="F50" s="13" t="n">
        <x:f>F49*EXP(E50)</x:f>
        <x:v>112.50831091612336</x:v>
      </x:c>
      <x:c r="G50" s="1"/>
      <x:c r="H50" s="1"/>
    </x:row>
    <x:row r="51" ht="22" customHeight="1">
      <x:c r="A51" s="1" t="n">
        <x:v>42</x:v>
      </x:c>
      <x:c r="B51" s="11" t="n">
        <x:f>A51*$H$4</x:f>
        <x:v>0.16666666666666666</x:v>
      </x:c>
      <x:c r="C51" s="11" t="n">
        <x:f>MAX(0.0000000001,MIN(0.9999999999,RAND()))</x:f>
        <x:v>0.7644294422144093</x:v>
      </x:c>
      <x:c r="D51" s="11" t="n">
        <x:f>NORM.S.INV(C51)</x:f>
        <x:v>0.7206236229157515</x:v>
      </x:c>
      <x:c r="E51" s="11" t="n">
        <x:f>($D$4-0.5*$F$4^2)*$H$4+$F$4*SQRT($H$4)*D51</x:f>
        <x:v>0.00931709950054031</x:v>
      </x:c>
      <x:c r="F51" s="13" t="n">
        <x:f>F50*EXP(E51)</x:f>
        <x:v>113.56146057514391</x:v>
      </x:c>
      <x:c r="G51" s="1"/>
      <x:c r="H51" s="1"/>
    </x:row>
    <x:row r="52" ht="22" customHeight="1">
      <x:c r="A52" s="1" t="n">
        <x:v>43</x:v>
      </x:c>
      <x:c r="B52" s="11" t="n">
        <x:f>A52*$H$4</x:f>
        <x:v>0.17063492063492064</x:v>
      </x:c>
      <x:c r="C52" s="11" t="n">
        <x:f>MAX(0.0000000001,MIN(0.9999999999,RAND()))</x:f>
        <x:v>0.7814736310317726</x:v>
      </x:c>
      <x:c r="D52" s="11" t="n">
        <x:f>NORM.S.INV(C52)</x:f>
        <x:v>0.7771797326259966</x:v>
      </x:c>
      <x:c r="E52" s="11" t="n">
        <x:f>($D$4-0.5*$F$4^2)*$H$4+$F$4*SQRT($H$4)*D52</x:f>
        <x:v>0.01002963950727647</x:v>
      </x:c>
      <x:c r="F52" s="13" t="n">
        <x:f>F51*EXP(E52)</x:f>
        <x:v>114.70617201228207</x:v>
      </x:c>
      <x:c r="G52" s="1"/>
      <x:c r="H52" s="1"/>
    </x:row>
    <x:row r="53" ht="22" customHeight="1">
      <x:c r="A53" s="1" t="n">
        <x:v>44</x:v>
      </x:c>
      <x:c r="B53" s="11" t="n">
        <x:f>A53*$H$4</x:f>
        <x:v>0.1746031746031746</x:v>
      </x:c>
      <x:c r="C53" s="11" t="n">
        <x:f>MAX(0.0000000001,MIN(0.9999999999,RAND()))</x:f>
        <x:v>0.789109201046872</x:v>
      </x:c>
      <x:c r="D53" s="11" t="n">
        <x:f>NORM.S.INV(C53)</x:f>
        <x:v>0.8033341961376802</x:v>
      </x:c>
      <x:c r="E53" s="11" t="n">
        <x:f>($D$4-0.5*$F$4^2)*$H$4+$F$4*SQRT($H$4)*D53</x:f>
        <x:v>0.010359154774544223</x:v>
      </x:c>
      <x:c r="F53" s="13" t="n">
        <x:f>F52*EXP(E53)</x:f>
        <x:v>115.90060698872387</x:v>
      </x:c>
      <x:c r="G53" s="1"/>
      <x:c r="H53" s="1"/>
    </x:row>
    <x:row r="54" ht="22" customHeight="1">
      <x:c r="A54" s="1" t="n">
        <x:v>45</x:v>
      </x:c>
      <x:c r="B54" s="11" t="n">
        <x:f>A54*$H$4</x:f>
        <x:v>0.17857142857142855</x:v>
      </x:c>
      <x:c r="C54" s="11" t="n">
        <x:f>MAX(0.0000000001,MIN(0.9999999999,RAND()))</x:f>
        <x:v>0.6128075862895658</x:v>
      </x:c>
      <x:c r="D54" s="11" t="n">
        <x:f>NORM.S.INV(C54)</x:f>
        <x:v>0.28664412135338696</x:v>
      </x:c>
      <x:c r="E54" s="11" t="n">
        <x:f>($D$4-0.5*$F$4^2)*$H$4+$F$4*SQRT($H$4)*D54</x:f>
        <x:v>0.003849471713712768</x:v>
      </x:c>
      <x:c r="F54" s="13" t="n">
        <x:f>F53*EXP(E54)</x:f>
        <x:v>116.3476229325386</x:v>
      </x:c>
      <x:c r="G54" s="1"/>
      <x:c r="H54" s="1"/>
    </x:row>
    <x:row r="55" ht="22" customHeight="1">
      <x:c r="A55" s="1" t="n">
        <x:v>46</x:v>
      </x:c>
      <x:c r="B55" s="11" t="n">
        <x:f>A55*$H$4</x:f>
        <x:v>0.18253968253968253</x:v>
      </x:c>
      <x:c r="C55" s="11" t="n">
        <x:f>MAX(0.0000000001,MIN(0.9999999999,RAND()))</x:f>
        <x:v>0.8846531755324385</x:v>
      </x:c>
      <x:c r="D55" s="11" t="n">
        <x:f>NORM.S.INV(C55)</x:f>
        <x:v>1.1985739590444617</x:v>
      </x:c>
      <x:c r="E55" s="11" t="n">
        <x:f>($D$4-0.5*$F$4^2)*$H$4+$F$4*SQRT($H$4)*D55</x:f>
        <x:v>0.015338707731189343</x:v>
      </x:c>
      <x:c r="F55" s="13" t="n">
        <x:f>F54*EXP(E55)</x:f>
        <x:v>118.14600226391673</x:v>
      </x:c>
      <x:c r="G55" s="1"/>
      <x:c r="H55" s="1"/>
    </x:row>
    <x:row r="56" ht="22" customHeight="1">
      <x:c r="A56" s="1" t="n">
        <x:v>47</x:v>
      </x:c>
      <x:c r="B56" s="11" t="n">
        <x:f>A56*$H$4</x:f>
        <x:v>0.1865079365079365</x:v>
      </x:c>
      <x:c r="C56" s="11" t="n">
        <x:f>MAX(0.0000000001,MIN(0.9999999999,RAND()))</x:f>
        <x:v>0.5271928275150288</x:v>
      </x:c>
      <x:c r="D56" s="11" t="n">
        <x:f>NORM.S.INV(C56)</x:f>
        <x:v>0.06821517781003344</x:v>
      </x:c>
      <x:c r="E56" s="11" t="n">
        <x:f>($D$4-0.5*$F$4^2)*$H$4+$F$4*SQRT($H$4)*D56</x:f>
        <x:v>0.0010975256958352388</x:v>
      </x:c>
      <x:c r="F56" s="13" t="n">
        <x:f>F55*EXP(E56)</x:f>
        <x:v>118.27574172043195</x:v>
      </x:c>
      <x:c r="G56" s="1"/>
      <x:c r="H56" s="1"/>
    </x:row>
    <x:row r="57" ht="22" customHeight="1">
      <x:c r="A57" s="1" t="n">
        <x:v>48</x:v>
      </x:c>
      <x:c r="B57" s="11" t="n">
        <x:f>A57*$H$4</x:f>
        <x:v>0.19047619047619047</x:v>
      </x:c>
      <x:c r="C57" s="11" t="n">
        <x:f>MAX(0.0000000001,MIN(0.9999999999,RAND()))</x:f>
        <x:v>0.4320442723492086</x:v>
      </x:c>
      <x:c r="D57" s="11" t="n">
        <x:f>NORM.S.INV(C57)</x:f>
        <x:v>-0.17117197279137272</x:v>
      </x:c>
      <x:c r="E57" s="11" t="n">
        <x:f>($D$4-0.5*$F$4^2)*$H$4+$F$4*SQRT($H$4)*D57</x:f>
        <x:v>-0.0019184689115727945</x:v>
      </x:c>
      <x:c r="F57" s="13" t="n">
        <x:f>F56*EXP(E57)</x:f>
        <x:v>118.04905090611638</x:v>
      </x:c>
      <x:c r="G57" s="1"/>
      <x:c r="H57" s="1"/>
    </x:row>
    <x:row r="58" ht="22" customHeight="1">
      <x:c r="A58" s="1" t="n">
        <x:v>49</x:v>
      </x:c>
      <x:c r="B58" s="11" t="n">
        <x:f>A58*$H$4</x:f>
        <x:v>0.19444444444444442</x:v>
      </x:c>
      <x:c r="C58" s="11" t="n">
        <x:f>MAX(0.0000000001,MIN(0.9999999999,RAND()))</x:f>
        <x:v>0.48286695216882636</x:v>
      </x:c>
      <x:c r="D58" s="11" t="n">
        <x:f>NORM.S.INV(C58)</x:f>
        <x:v>-0.042959392127269624</x:v>
      </x:c>
      <x:c r="E58" s="11" t="n">
        <x:f>($D$4-0.5*$F$4^2)*$H$4+$F$4*SQRT($H$4)*D58</x:f>
        <x:v>-0.00030314222877743553</x:v>
      </x:c>
      <x:c r="F58" s="13" t="n">
        <x:f>F57*EXP(E58)</x:f>
        <x:v>118.01327067724282</x:v>
      </x:c>
      <x:c r="G58" s="1"/>
      <x:c r="H58" s="1"/>
    </x:row>
    <x:row r="59" ht="22" customHeight="1">
      <x:c r="A59" s="1" t="n">
        <x:v>50</x:v>
      </x:c>
      <x:c r="B59" s="11" t="n">
        <x:f>A59*$H$4</x:f>
        <x:v>0.1984126984126984</x:v>
      </x:c>
      <x:c r="C59" s="11" t="n">
        <x:f>MAX(0.0000000001,MIN(0.9999999999,RAND()))</x:f>
        <x:v>0.6336950917002664</x:v>
      </x:c>
      <x:c r="D59" s="11" t="n">
        <x:f>NORM.S.INV(C59)</x:f>
        <x:v>0.3416559625767773</x:v>
      </x:c>
      <x:c r="E59" s="11" t="n">
        <x:f>($D$4-0.5*$F$4^2)*$H$4+$F$4*SQRT($H$4)*D59</x:f>
        <x:v>0.004542555766288301</x:v>
      </x:c>
      <x:c r="F59" s="13" t="n">
        <x:f>F58*EXP(E59)</x:f>
        <x:v>118.55057197708953</x:v>
      </x:c>
      <x:c r="G59" s="1"/>
      <x:c r="H59" s="1"/>
    </x:row>
    <x:row r="60" ht="22" customHeight="1">
      <x:c r="A60" s="1" t="n">
        <x:v>51</x:v>
      </x:c>
      <x:c r="B60" s="11" t="n">
        <x:f>A60*$H$4</x:f>
        <x:v>0.20238095238095238</x:v>
      </x:c>
      <x:c r="C60" s="11" t="n">
        <x:f>MAX(0.0000000001,MIN(0.9999999999,RAND()))</x:f>
        <x:v>0.5425637156038482</x:v>
      </x:c>
      <x:c r="D60" s="11" t="n">
        <x:f>NORM.S.INV(C60)</x:f>
        <x:v>0.1068946358350276</x:v>
      </x:c>
      <x:c r="E60" s="11" t="n">
        <x:f>($D$4-0.5*$F$4^2)*$H$4+$F$4*SQRT($H$4)*D60</x:f>
        <x:v>0.0015848410614585536</x:v>
      </x:c>
      <x:c r="F60" s="13" t="n">
        <x:f>F59*EXP(E60)</x:f>
        <x:v>118.73860475309323</x:v>
      </x:c>
      <x:c r="G60" s="1"/>
      <x:c r="H60" s="1"/>
    </x:row>
    <x:row r="61" ht="22" customHeight="1">
      <x:c r="A61" s="1" t="n">
        <x:v>52</x:v>
      </x:c>
      <x:c r="B61" s="11" t="n">
        <x:f>A61*$H$4</x:f>
        <x:v>0.20634920634920634</x:v>
      </x:c>
      <x:c r="C61" s="11" t="n">
        <x:f>MAX(0.0000000001,MIN(0.9999999999,RAND()))</x:f>
        <x:v>0.2875994897852455</x:v>
      </x:c>
      <x:c r="D61" s="11" t="n">
        <x:f>NORM.S.INV(C61)</x:f>
        <x:v>-0.5604112210713925</x:v>
      </x:c>
      <x:c r="E61" s="11" t="n">
        <x:f>($D$4-0.5*$F$4^2)*$H$4+$F$4*SQRT($H$4)*D61</x:f>
        <x:v>-0.00682242248992831</x:v>
      </x:c>
      <x:c r="F61" s="13" t="n">
        <x:f>F60*EXP(E61)</x:f>
        <x:v>117.93127692282657</x:v>
      </x:c>
      <x:c r="G61" s="1"/>
      <x:c r="H61" s="1"/>
    </x:row>
    <x:row r="62" ht="22" customHeight="1">
      <x:c r="A62" s="1" t="n">
        <x:v>53</x:v>
      </x:c>
      <x:c r="B62" s="11" t="n">
        <x:f>A62*$H$4</x:f>
        <x:v>0.2103174603174603</x:v>
      </x:c>
      <x:c r="C62" s="11" t="n">
        <x:f>MAX(0.0000000001,MIN(0.9999999999,RAND()))</x:f>
        <x:v>0.9934110925919105</x:v>
      </x:c>
      <x:c r="D62" s="11" t="n">
        <x:f>NORM.S.INV(C62)</x:f>
        <x:v>2.47892733895617</x:v>
      </x:c>
      <x:c r="E62" s="11" t="n">
        <x:f>($D$4-0.5*$F$4^2)*$H$4+$F$4*SQRT($H$4)*D62</x:f>
        <x:v>0.031469644081319734</x:v>
      </x:c>
      <x:c r="F62" s="13" t="n">
        <x:f>F61*EXP(E62)</x:f>
        <x:v>121.70154559181337</x:v>
      </x:c>
      <x:c r="G62" s="1"/>
      <x:c r="H62" s="1"/>
    </x:row>
    <x:row r="63" ht="22" customHeight="1">
      <x:c r="A63" s="1" t="n">
        <x:v>54</x:v>
      </x:c>
      <x:c r="B63" s="11" t="n">
        <x:f>A63*$H$4</x:f>
        <x:v>0.21428571428571427</x:v>
      </x:c>
      <x:c r="C63" s="11" t="n">
        <x:f>MAX(0.0000000001,MIN(0.9999999999,RAND()))</x:f>
        <x:v>0.5798796580685008</x:v>
      </x:c>
      <x:c r="D63" s="11" t="n">
        <x:f>NORM.S.INV(C63)</x:f>
        <x:v>0.20158562531552346</x:v>
      </x:c>
      <x:c r="E63" s="11" t="n">
        <x:f>($D$4-0.5*$F$4^2)*$H$4+$F$4*SQRT($H$4)*D63</x:f>
        <x:v>0.002777835392715817</x:v>
      </x:c>
      <x:c r="F63" s="13" t="n">
        <x:f>F62*EXP(E63)</x:f>
        <x:v>122.04008243462879</x:v>
      </x:c>
      <x:c r="G63" s="1"/>
      <x:c r="H63" s="1"/>
    </x:row>
    <x:row r="64" ht="22" customHeight="1">
      <x:c r="A64" s="1" t="n">
        <x:v>55</x:v>
      </x:c>
      <x:c r="B64" s="11" t="n">
        <x:f>A64*$H$4</x:f>
        <x:v>0.21825396825396826</x:v>
      </x:c>
      <x:c r="C64" s="11" t="n">
        <x:f>MAX(0.0000000001,MIN(0.9999999999,RAND()))</x:f>
        <x:v>0.4076551210581346</x:v>
      </x:c>
      <x:c r="D64" s="11" t="n">
        <x:f>NORM.S.INV(C64)</x:f>
        <x:v>-0.23358104821444065</x:v>
      </x:c>
      <x:c r="E64" s="11" t="n">
        <x:f>($D$4-0.5*$F$4^2)*$H$4+$F$4*SQRT($H$4)*D64</x:f>
        <x:v>-0.002704749355015227</x:v>
      </x:c>
      <x:c r="F64" s="13" t="n">
        <x:f>F63*EXP(E64)</x:f>
        <x:v>121.71044060060922</x:v>
      </x:c>
      <x:c r="G64" s="1"/>
      <x:c r="H64" s="1"/>
    </x:row>
    <x:row r="65" ht="22" customHeight="1">
      <x:c r="A65" s="1" t="n">
        <x:v>56</x:v>
      </x:c>
      <x:c r="B65" s="11" t="n">
        <x:f>A65*$H$4</x:f>
        <x:v>0.2222222222222222</x:v>
      </x:c>
      <x:c r="C65" s="11" t="n">
        <x:f>MAX(0.0000000001,MIN(0.9999999999,RAND()))</x:f>
        <x:v>0.4581814452066578</x:v>
      </x:c>
      <x:c r="D65" s="11" t="n">
        <x:f>NORM.S.INV(C65)</x:f>
        <x:v>-0.10501628020872301</x:v>
      </x:c>
      <x:c r="E65" s="11" t="n">
        <x:f>($D$4-0.5*$F$4^2)*$H$4+$F$4*SQRT($H$4)*D65</x:f>
        <x:v>-0.0010849855287874066</x:v>
      </x:c>
      <x:c r="F65" s="13" t="n">
        <x:f>F64*EXP(E65)</x:f>
        <x:v>121.57845814632911</x:v>
      </x:c>
      <x:c r="G65" s="1"/>
      <x:c r="H65" s="1"/>
    </x:row>
    <x:row r="66" ht="22" customHeight="1">
      <x:c r="A66" s="1" t="n">
        <x:v>57</x:v>
      </x:c>
      <x:c r="B66" s="11" t="n">
        <x:f>A66*$H$4</x:f>
        <x:v>0.22619047619047616</x:v>
      </x:c>
      <x:c r="C66" s="11" t="n">
        <x:f>MAX(0.0000000001,MIN(0.9999999999,RAND()))</x:f>
        <x:v>0.9989652497085207</x:v>
      </x:c>
      <x:c r="D66" s="11" t="n">
        <x:f>NORM.S.INV(C66)</x:f>
        <x:v>3.080072721149934</x:v>
      </x:c>
      <x:c r="E66" s="11" t="n">
        <x:f>($D$4-0.5*$F$4^2)*$H$4+$F$4*SQRT($H$4)*D66</x:f>
        <x:v>0.03904336400074628</x:v>
      </x:c>
      <x:c r="F66" s="13" t="n">
        <x:f>F65*EXP(E66)</x:f>
        <x:v>126.4191741505514</x:v>
      </x:c>
      <x:c r="G66" s="1"/>
      <x:c r="H66" s="1"/>
    </x:row>
    <x:row r="67" ht="22" customHeight="1">
      <x:c r="A67" s="1" t="n">
        <x:v>58</x:v>
      </x:c>
      <x:c r="B67" s="11" t="n">
        <x:f>A67*$H$4</x:f>
        <x:v>0.23015873015873015</x:v>
      </x:c>
      <x:c r="C67" s="11" t="n">
        <x:f>MAX(0.0000000001,MIN(0.9999999999,RAND()))</x:f>
        <x:v>0.30214378595383173</x:v>
      </x:c>
      <x:c r="D67" s="11" t="n">
        <x:f>NORM.S.INV(C67)</x:f>
        <x:v>-0.5182446697310761</x:v>
      </x:c>
      <x:c r="E67" s="11" t="n">
        <x:f>($D$4-0.5*$F$4^2)*$H$4+$F$4*SQRT($H$4)*D67</x:f>
        <x:v>-0.006291173878063002</x:v>
      </x:c>
      <x:c r="F67" s="13" t="n">
        <x:f>F66*EXP(E67)</x:f>
        <x:v>125.62634567029767</x:v>
      </x:c>
      <x:c r="G67" s="1"/>
      <x:c r="H67" s="1"/>
    </x:row>
    <x:row r="68" ht="22" customHeight="1">
      <x:c r="A68" s="1" t="n">
        <x:v>59</x:v>
      </x:c>
      <x:c r="B68" s="11" t="n">
        <x:f>A68*$H$4</x:f>
        <x:v>0.23412698412698413</x:v>
      </x:c>
      <x:c r="C68" s="11" t="n">
        <x:f>MAX(0.0000000001,MIN(0.9999999999,RAND()))</x:f>
        <x:v>0.7939153285027902</x:v>
      </x:c>
      <x:c r="D68" s="11" t="n">
        <x:f>NORM.S.INV(C68)</x:f>
        <x:v>0.8200820347102413</x:v>
      </x:c>
      <x:c r="E68" s="11" t="n">
        <x:f>($D$4-0.5*$F$4^2)*$H$4+$F$4*SQRT($H$4)*D68</x:f>
        <x:v>0.010570157707214945</x:v>
      </x:c>
      <x:c r="F68" s="13" t="n">
        <x:f>F67*EXP(E68)</x:f>
        <x:v>126.96127875370406</x:v>
      </x:c>
      <x:c r="G68" s="1"/>
      <x:c r="H68" s="1"/>
    </x:row>
    <x:row r="69" ht="22" customHeight="1">
      <x:c r="A69" s="1" t="n">
        <x:v>60</x:v>
      </x:c>
      <x:c r="B69" s="11" t="n">
        <x:f>A69*$H$4</x:f>
        <x:v>0.23809523809523808</x:v>
      </x:c>
      <x:c r="C69" s="11" t="n">
        <x:f>MAX(0.0000000001,MIN(0.9999999999,RAND()))</x:f>
        <x:v>0.3800647143160325</x:v>
      </x:c>
      <x:c r="D69" s="11" t="n">
        <x:f>NORM.S.INV(C69)</x:f>
        <x:v>-0.305310829601157</x:v>
      </x:c>
      <x:c r="E69" s="11" t="n">
        <x:f>($D$4-0.5*$F$4^2)*$H$4+$F$4*SQRT($H$4)*D69</x:f>
        <x:v>-0.003608459655711805</x:v>
      </x:c>
      <x:c r="F69" s="13" t="n">
        <x:f>F68*EXP(E69)</x:f>
        <x:v>126.50396968835761</x:v>
      </x:c>
      <x:c r="G69" s="1"/>
      <x:c r="H69" s="1"/>
    </x:row>
    <x:row r="70" ht="22" customHeight="1">
      <x:c r="A70" s="1" t="n">
        <x:v>61</x:v>
      </x:c>
      <x:c r="B70" s="11" t="n">
        <x:f>A70*$H$4</x:f>
        <x:v>0.24206349206349204</x:v>
      </x:c>
      <x:c r="C70" s="11" t="n">
        <x:f>MAX(0.0000000001,MIN(0.9999999999,RAND()))</x:f>
        <x:v>0.7507030267072763</x:v>
      </x:c>
      <x:c r="D70" s="11" t="n">
        <x:f>NORM.S.INV(C70)</x:f>
        <x:v>0.6767037344581404</x:v>
      </x:c>
      <x:c r="E70" s="11" t="n">
        <x:f>($D$4-0.5*$F$4^2)*$H$4+$F$4*SQRT($H$4)*D70</x:f>
        <x:v>0.008763760917356807</x:v>
      </x:c>
      <x:c r="F70" s="13" t="n">
        <x:f>F69*EXP(E70)</x:f>
        <x:v>127.61749243048524</x:v>
      </x:c>
      <x:c r="G70" s="1"/>
      <x:c r="H70" s="1"/>
    </x:row>
    <x:row r="71" ht="22" customHeight="1">
      <x:c r="A71" s="1" t="n">
        <x:v>62</x:v>
      </x:c>
      <x:c r="B71" s="11" t="n">
        <x:f>A71*$H$4</x:f>
        <x:v>0.24603174603174602</x:v>
      </x:c>
      <x:c r="C71" s="11" t="n">
        <x:f>MAX(0.0000000001,MIN(0.9999999999,RAND()))</x:f>
        <x:v>0.9769593903323196</x:v>
      </x:c>
      <x:c r="D71" s="11" t="n">
        <x:f>NORM.S.INV(C71)</x:f>
        <x:v>1.994648597155668</x:v>
      </x:c>
      <x:c r="E71" s="11" t="n">
        <x:f>($D$4-0.5*$F$4^2)*$H$4+$F$4*SQRT($H$4)*D71</x:f>
        <x:v>0.025368305433513122</x:v>
      </x:c>
      <x:c r="F71" s="13" t="n">
        <x:f>F70*EXP(E71)</x:f>
        <x:v>130.89634559081418</x:v>
      </x:c>
      <x:c r="G71" s="1"/>
      <x:c r="H71" s="1"/>
    </x:row>
    <x:row r="72" ht="22" customHeight="1">
      <x:c r="A72" s="1" t="n">
        <x:v>63</x:v>
      </x:c>
      <x:c r="B72" s="11" t="n">
        <x:f>A72*$H$4</x:f>
        <x:v>0.25</x:v>
      </x:c>
      <x:c r="C72" s="11" t="n">
        <x:f>MAX(0.0000000001,MIN(0.9999999999,RAND()))</x:f>
        <x:v>0.6004573868187748</x:v>
      </x:c>
      <x:c r="D72" s="11" t="n">
        <x:f>NORM.S.INV(C72)</x:f>
        <x:v>0.2545311703633944</x:v>
      </x:c>
      <x:c r="E72" s="11" t="n">
        <x:f>($D$4-0.5*$F$4^2)*$H$4+$F$4*SQRT($H$4)*D72</x:f>
        <x:v>0.0034448865604559784</x:v>
      </x:c>
      <x:c r="F72" s="13" t="n">
        <x:f>F71*EXP(E72)</x:f>
        <x:v>131.34804623458797</x:v>
      </x:c>
      <x:c r="G72" s="1"/>
      <x:c r="H72" s="1"/>
    </x:row>
    <x:row r="73" ht="22" customHeight="1">
      <x:c r="A73" s="1" t="n">
        <x:v>64</x:v>
      </x:c>
      <x:c r="B73" s="11" t="n">
        <x:f>A73*$H$4</x:f>
        <x:v>0.25396825396825395</x:v>
      </x:c>
      <x:c r="C73" s="11" t="n">
        <x:f>MAX(0.0000000001,MIN(0.9999999999,RAND()))</x:f>
        <x:v>0.8784491570474832</x:v>
      </x:c>
      <x:c r="D73" s="11" t="n">
        <x:f>NORM.S.INV(C73)</x:f>
        <x:v>1.167269167583729</x:v>
      </x:c>
      <x:c r="E73" s="11" t="n">
        <x:f>($D$4-0.5*$F$4^2)*$H$4+$F$4*SQRT($H$4)*D73</x:f>
        <x:v>0.014944304430952023</x:v>
      </x:c>
      <x:c r="F73" s="13" t="n">
        <x:f>F72*EXP(E73)</x:f>
        <x:v>133.32569188740962</x:v>
      </x:c>
      <x:c r="G73" s="1"/>
      <x:c r="H73" s="1"/>
    </x:row>
    <x:row r="74" ht="22" customHeight="1">
      <x:c r="A74" s="1" t="n">
        <x:v>65</x:v>
      </x:c>
      <x:c r="B74" s="11" t="n">
        <x:f>A74*$H$4</x:f>
        <x:v>0.2579365079365079</x:v>
      </x:c>
      <x:c r="C74" s="11" t="n">
        <x:f>MAX(0.0000000001,MIN(0.9999999999,RAND()))</x:f>
        <x:v>0.8136928953719467</x:v>
      </x:c>
      <x:c r="D74" s="11" t="n">
        <x:f>NORM.S.INV(C74)</x:f>
        <x:v>0.8915872450935118</x:v>
      </x:c>
      <x:c r="E74" s="11" t="n">
        <x:f>($D$4-0.5*$F$4^2)*$H$4+$F$4*SQRT($H$4)*D74</x:f>
        <x:v>0.011471038679212503</x:v>
      </x:c>
      <x:c r="F74" s="13" t="n">
        <x:f>F73*EXP(E74)</x:f>
        <x:v>134.86388150546694</x:v>
      </x:c>
      <x:c r="G74" s="1"/>
      <x:c r="H74" s="1"/>
    </x:row>
    <x:row r="75" ht="22" customHeight="1">
      <x:c r="A75" s="1" t="n">
        <x:v>66</x:v>
      </x:c>
      <x:c r="B75" s="11" t="n">
        <x:f>A75*$H$4</x:f>
        <x:v>0.26190476190476186</x:v>
      </x:c>
      <x:c r="C75" s="11" t="n">
        <x:f>MAX(0.0000000001,MIN(0.9999999999,RAND()))</x:f>
        <x:v>0.6056922281324759</x:v>
      </x:c>
      <x:c r="D75" s="11" t="n">
        <x:f>NORM.S.INV(C75)</x:f>
        <x:v>0.2681088371308799</x:v>
      </x:c>
      <x:c r="E75" s="11" t="n">
        <x:f>($D$4-0.5*$F$4^2)*$H$4+$F$4*SQRT($H$4)*D75</x:f>
        <x:v>0.003615949082604897</x:v>
      </x:c>
      <x:c r="F75" s="13" t="n">
        <x:f>F74*EXP(E75)</x:f>
        <x:v>135.35242517627984</x:v>
      </x:c>
      <x:c r="G75" s="1"/>
      <x:c r="H75" s="1"/>
    </x:row>
    <x:row r="76" ht="22" customHeight="1">
      <x:c r="A76" s="1" t="n">
        <x:v>67</x:v>
      </x:c>
      <x:c r="B76" s="11" t="n">
        <x:f>A76*$H$4</x:f>
        <x:v>0.26587301587301587</x:v>
      </x:c>
      <x:c r="C76" s="11" t="n">
        <x:f>MAX(0.0000000001,MIN(0.9999999999,RAND()))</x:f>
        <x:v>0.5940760166084829</x:v>
      </x:c>
      <x:c r="D76" s="11" t="n">
        <x:f>NORM.S.INV(C76)</x:f>
        <x:v>0.23804271199330312</x:v>
      </x:c>
      <x:c r="E76" s="11" t="n">
        <x:f>($D$4-0.5*$F$4^2)*$H$4+$F$4*SQRT($H$4)*D76</x:f>
        <x:v>0.0032371515111697742</x:v>
      </x:c>
      <x:c r="F76" s="13" t="n">
        <x:f>F75*EXP(E76)</x:f>
        <x:v>135.7912914390272</x:v>
      </x:c>
      <x:c r="G76" s="1"/>
      <x:c r="H76" s="1"/>
    </x:row>
    <x:row r="77" ht="22" customHeight="1">
      <x:c r="A77" s="1" t="n">
        <x:v>68</x:v>
      </x:c>
      <x:c r="B77" s="11" t="n">
        <x:f>A77*$H$4</x:f>
        <x:v>0.2698412698412698</x:v>
      </x:c>
      <x:c r="C77" s="11" t="n">
        <x:f>MAX(0.0000000001,MIN(0.9999999999,RAND()))</x:f>
        <x:v>0.7182263977708074</x:v>
      </x:c>
      <x:c r="D77" s="11" t="n">
        <x:f>NORM.S.INV(C77)</x:f>
        <x:v>0.5775807530101269</x:v>
      </x:c>
      <x:c r="E77" s="11" t="n">
        <x:f>($D$4-0.5*$F$4^2)*$H$4+$F$4*SQRT($H$4)*D77</x:f>
        <x:v>0.00751492873582008</x:v>
      </x:c>
      <x:c r="F77" s="13" t="n">
        <x:f>F76*EXP(E77)</x:f>
        <x:v>136.81559728930807</x:v>
      </x:c>
      <x:c r="G77" s="1"/>
      <x:c r="H77" s="1"/>
    </x:row>
    <x:row r="78" ht="22" customHeight="1">
      <x:c r="A78" s="1" t="n">
        <x:v>69</x:v>
      </x:c>
      <x:c r="B78" s="11" t="n">
        <x:f>A78*$H$4</x:f>
        <x:v>0.2738095238095238</x:v>
      </x:c>
      <x:c r="C78" s="11" t="n">
        <x:f>MAX(0.0000000001,MIN(0.9999999999,RAND()))</x:f>
        <x:v>0.5914911891506055</x:v>
      </x:c>
      <x:c r="D78" s="11" t="n">
        <x:f>NORM.S.INV(C78)</x:f>
        <x:v>0.23138254840333847</x:v>
      </x:c>
      <x:c r="E78" s="11" t="n">
        <x:f>($D$4-0.5*$F$4^2)*$H$4+$F$4*SQRT($H$4)*D78</x:f>
        <x:v>0.0031532413371218996</x:v>
      </x:c>
      <x:c r="F78" s="13" t="n">
        <x:f>F77*EXP(E78)</x:f>
        <x:v>137.2476907757423</x:v>
      </x:c>
      <x:c r="G78" s="1"/>
      <x:c r="H78" s="1"/>
    </x:row>
    <x:row r="79" ht="22" customHeight="1">
      <x:c r="A79" s="1" t="n">
        <x:v>70</x:v>
      </x:c>
      <x:c r="B79" s="11" t="n">
        <x:f>A79*$H$4</x:f>
        <x:v>0.2777777777777778</x:v>
      </x:c>
      <x:c r="C79" s="11" t="n">
        <x:f>MAX(0.0000000001,MIN(0.9999999999,RAND()))</x:f>
        <x:v>0.5002352747708524</x:v>
      </x:c>
      <x:c r="D79" s="11" t="n">
        <x:f>NORM.S.INV(C79)</x:f>
        <x:v>0.000589746427111505</x:v>
      </x:c>
      <x:c r="E79" s="11" t="n">
        <x:f>($D$4-0.5*$F$4^2)*$H$4+$F$4*SQRT($H$4)*D79</x:f>
        <x:v>0.0002455253446796472</x:v>
      </x:c>
      <x:c r="F79" s="13" t="n">
        <x:f>F78*EXP(E79)</x:f>
        <x:v>137.28139269949546</x:v>
      </x:c>
      <x:c r="G79" s="1"/>
      <x:c r="H79" s="1"/>
    </x:row>
    <x:row r="80" ht="22" customHeight="1">
      <x:c r="A80" s="1" t="n">
        <x:v>71</x:v>
      </x:c>
      <x:c r="B80" s="11" t="n">
        <x:f>A80*$H$4</x:f>
        <x:v>0.28174603174603174</x:v>
      </x:c>
      <x:c r="C80" s="11" t="n">
        <x:f>MAX(0.0000000001,MIN(0.9999999999,RAND()))</x:f>
        <x:v>0.5842573060462303</x:v>
      </x:c>
      <x:c r="D80" s="11" t="n">
        <x:f>NORM.S.INV(C80)</x:f>
        <x:v>0.21279689218545533</x:v>
      </x:c>
      <x:c r="E80" s="11" t="n">
        <x:f>($D$4-0.5*$F$4^2)*$H$4+$F$4*SQRT($H$4)*D80</x:f>
        <x:v>0.002919084078524471</x:v>
      </x:c>
      <x:c r="F80" s="13" t="n">
        <x:f>F79*EXP(E80)</x:f>
        <x:v>137.6827140876662</x:v>
      </x:c>
      <x:c r="G80" s="1"/>
      <x:c r="H80" s="1"/>
    </x:row>
    <x:row r="81" ht="22" customHeight="1">
      <x:c r="A81" s="1" t="n">
        <x:v>72</x:v>
      </x:c>
      <x:c r="B81" s="11" t="n">
        <x:f>A81*$H$4</x:f>
        <x:v>0.2857142857142857</x:v>
      </x:c>
      <x:c r="C81" s="11" t="n">
        <x:f>MAX(0.0000000001,MIN(0.9999999999,RAND()))</x:f>
        <x:v>0.3956071663851638</x:v>
      </x:c>
      <x:c r="D81" s="11" t="n">
        <x:f>NORM.S.INV(C81)</x:f>
        <x:v>-0.2647340657964279</x:v>
      </x:c>
      <x:c r="E81" s="11" t="n">
        <x:f>($D$4-0.5*$F$4^2)*$H$4+$F$4*SQRT($H$4)*D81</x:f>
        <x:v>-0.003097240484115994</x:v>
      </x:c>
      <x:c r="F81" s="13" t="n">
        <x:f>F80*EXP(E81)</x:f>
        <x:v>137.2569373185236</x:v>
      </x:c>
      <x:c r="G81" s="1"/>
      <x:c r="H81" s="1"/>
    </x:row>
    <x:row r="82" ht="22" customHeight="1">
      <x:c r="A82" s="1" t="n">
        <x:v>73</x:v>
      </x:c>
      <x:c r="B82" s="11" t="n">
        <x:f>A82*$H$4</x:f>
        <x:v>0.28968253968253965</x:v>
      </x:c>
      <x:c r="C82" s="11" t="n">
        <x:f>MAX(0.0000000001,MIN(0.9999999999,RAND()))</x:f>
        <x:v>0.6921706506491395</x:v>
      </x:c>
      <x:c r="D82" s="11" t="n">
        <x:f>NORM.S.INV(C82)</x:f>
        <x:v>0.5020125419188086</x:v>
      </x:c>
      <x:c r="E82" s="11" t="n">
        <x:f>($D$4-0.5*$F$4^2)*$H$4+$F$4*SQRT($H$4)*D82</x:f>
        <x:v>0.006562858766440741</x:v>
      </x:c>
      <x:c r="F82" s="13" t="n">
        <x:f>F81*EXP(E82)</x:f>
        <x:v>138.16069759455652</x:v>
      </x:c>
      <x:c r="G82" s="1"/>
      <x:c r="H82" s="1"/>
    </x:row>
    <x:row r="83" ht="22" customHeight="1">
      <x:c r="A83" s="1" t="n">
        <x:v>74</x:v>
      </x:c>
      <x:c r="B83" s="11" t="n">
        <x:f>A83*$H$4</x:f>
        <x:v>0.2936507936507936</x:v>
      </x:c>
      <x:c r="C83" s="11" t="n">
        <x:f>MAX(0.0000000001,MIN(0.9999999999,RAND()))</x:f>
        <x:v>0.26014609212165385</x:v>
      </x:c>
      <x:c r="D83" s="11" t="n">
        <x:f>NORM.S.INV(C83)</x:f>
        <x:v>-0.6428950766961692</x:v>
      </x:c>
      <x:c r="E83" s="11" t="n">
        <x:f>($D$4-0.5*$F$4^2)*$H$4+$F$4*SQRT($H$4)*D83</x:f>
        <x:v>-0.007861621390694573</x:v>
      </x:c>
      <x:c r="F83" s="13" t="n">
        <x:f>F82*EXP(E83)</x:f>
        <x:v>137.07878884974266</x:v>
      </x:c>
      <x:c r="G83" s="1"/>
      <x:c r="H83" s="1"/>
    </x:row>
    <x:row r="84" ht="22" customHeight="1">
      <x:c r="A84" s="1" t="n">
        <x:v>75</x:v>
      </x:c>
      <x:c r="B84" s="11" t="n">
        <x:f>A84*$H$4</x:f>
        <x:v>0.2976190476190476</x:v>
      </x:c>
      <x:c r="C84" s="11" t="n">
        <x:f>MAX(0.0000000001,MIN(0.9999999999,RAND()))</x:f>
        <x:v>0.4239096190719446</x:v>
      </x:c>
      <x:c r="D84" s="11" t="n">
        <x:f>NORM.S.INV(C84)</x:f>
        <x:v>-0.19190165869173065</x:v>
      </x:c>
      <x:c r="E84" s="11" t="n">
        <x:f>($D$4-0.5*$F$4^2)*$H$4+$F$4*SQRT($H$4)*D84</x:f>
        <x:v>-0.0021796384051386477</x:v>
      </x:c>
      <x:c r="F84" s="13" t="n">
        <x:f>F83*EXP(E84)</x:f>
        <x:v>136.78033203915882</x:v>
      </x:c>
      <x:c r="G84" s="1"/>
      <x:c r="H84" s="1"/>
    </x:row>
    <x:row r="85" ht="22" customHeight="1">
      <x:c r="A85" s="1" t="n">
        <x:v>76</x:v>
      </x:c>
      <x:c r="B85" s="11" t="n">
        <x:f>A85*$H$4</x:f>
        <x:v>0.30158730158730157</x:v>
      </x:c>
      <x:c r="C85" s="11" t="n">
        <x:f>MAX(0.0000000001,MIN(0.9999999999,RAND()))</x:f>
        <x:v>0.08969893721801336</x:v>
      </x:c>
      <x:c r="D85" s="11" t="n">
        <x:f>NORM.S.INV(C85)</x:f>
        <x:v>-1.3426112845934164</x:v>
      </x:c>
      <x:c r="E85" s="11" t="n">
        <x:f>($D$4-0.5*$F$4^2)*$H$4+$F$4*SQRT($H$4)*D85</x:f>
        <x:v>-0.016677216983157838</x:v>
      </x:c>
      <x:c r="F85" s="13" t="n">
        <x:f>F84*EXP(E85)</x:f>
        <x:v>134.51813278839379</x:v>
      </x:c>
      <x:c r="G85" s="1"/>
      <x:c r="H85" s="1"/>
    </x:row>
    <x:row r="86" ht="22" customHeight="1">
      <x:c r="A86" s="1" t="n">
        <x:v>77</x:v>
      </x:c>
      <x:c r="B86" s="11" t="n">
        <x:f>A86*$H$4</x:f>
        <x:v>0.3055555555555555</x:v>
      </x:c>
      <x:c r="C86" s="11" t="n">
        <x:f>MAX(0.0000000001,MIN(0.9999999999,RAND()))</x:f>
        <x:v>0.05281549317937084</x:v>
      </x:c>
      <x:c r="D86" s="11" t="n">
        <x:f>NORM.S.INV(C86)</x:f>
        <x:v>-1.618146699591272</x:v>
      </x:c>
      <x:c r="E86" s="11" t="n">
        <x:f>($D$4-0.5*$F$4^2)*$H$4+$F$4*SQRT($H$4)*D86</x:f>
        <x:v>-0.020148636913992612</x:v>
      </x:c>
      <x:c r="F86" s="13" t="n">
        <x:f>F85*EXP(E86)</x:f>
        <x:v>131.83489830606288</x:v>
      </x:c>
      <x:c r="G86" s="1"/>
      <x:c r="H86" s="1"/>
    </x:row>
    <x:row r="87" ht="22" customHeight="1">
      <x:c r="A87" s="1" t="n">
        <x:v>78</x:v>
      </x:c>
      <x:c r="B87" s="11" t="n">
        <x:f>A87*$H$4</x:f>
        <x:v>0.30952380952380953</x:v>
      </x:c>
      <x:c r="C87" s="11" t="n">
        <x:f>MAX(0.0000000001,MIN(0.9999999999,RAND()))</x:f>
        <x:v>0.8933016061140993</x:v>
      </x:c>
      <x:c r="D87" s="11" t="n">
        <x:f>NORM.S.INV(C87)</x:f>
        <x:v>1.244279297283154</x:v>
      </x:c>
      <x:c r="E87" s="11" t="n">
        <x:f>($D$4-0.5*$F$4^2)*$H$4+$F$4*SQRT($H$4)*D87</x:f>
        <x:v>0.01591454086722587</x:v>
      </x:c>
      <x:c r="F87" s="13" t="n">
        <x:f>F86*EXP(E87)</x:f>
        <x:v>133.9497741856995</x:v>
      </x:c>
      <x:c r="G87" s="1"/>
      <x:c r="H87" s="1"/>
    </x:row>
    <x:row r="88" ht="22" customHeight="1">
      <x:c r="A88" s="1" t="n">
        <x:v>79</x:v>
      </x:c>
      <x:c r="B88" s="11" t="n">
        <x:f>A88*$H$4</x:f>
        <x:v>0.3134920634920635</x:v>
      </x:c>
      <x:c r="C88" s="11" t="n">
        <x:f>MAX(0.0000000001,MIN(0.9999999999,RAND()))</x:f>
        <x:v>0.0011979236238376378</x:v>
      </x:c>
      <x:c r="D88" s="11" t="n">
        <x:f>NORM.S.INV(C88)</x:f>
        <x:v>-3.0361945446438314</x:v>
      </x:c>
      <x:c r="E88" s="11" t="n">
        <x:f>($D$4-0.5*$F$4^2)*$H$4+$F$4*SQRT($H$4)*D88</x:f>
        <x:v>-0.03801436046256464</x:v>
      </x:c>
      <x:c r="F88" s="13" t="n">
        <x:f>F87*EXP(E88)</x:f>
        <x:v>128.95332919527374</x:v>
      </x:c>
      <x:c r="G88" s="1"/>
      <x:c r="H88" s="1"/>
    </x:row>
    <x:row r="89" ht="22" customHeight="1">
      <x:c r="A89" s="1" t="n">
        <x:v>80</x:v>
      </x:c>
      <x:c r="B89" s="11" t="n">
        <x:f>A89*$H$4</x:f>
        <x:v>0.31746031746031744</x:v>
      </x:c>
      <x:c r="C89" s="11" t="n">
        <x:f>MAX(0.0000000001,MIN(0.9999999999,RAND()))</x:f>
        <x:v>0.21916816988048915</x:v>
      </x:c>
      <x:c r="D89" s="11" t="n">
        <x:f>NORM.S.INV(C89)</x:f>
        <x:v>-0.7750056182393634</x:v>
      </x:c>
      <x:c r="E89" s="11" t="n">
        <x:f>($D$4-0.5*$F$4^2)*$H$4+$F$4*SQRT($H$4)*D89</x:f>
        <x:v>-0.009526057764472474</x:v>
      </x:c>
      <x:c r="F89" s="13" t="n">
        <x:f>F88*EXP(E89)</x:f>
        <x:v>127.73074478265713</x:v>
      </x:c>
      <x:c r="G89" s="1"/>
      <x:c r="H89" s="1"/>
    </x:row>
    <x:row r="90" ht="22" customHeight="1">
      <x:c r="A90" s="1" t="n">
        <x:v>81</x:v>
      </x:c>
      <x:c r="B90" s="11" t="n">
        <x:f>A90*$H$4</x:f>
        <x:v>0.3214285714285714</x:v>
      </x:c>
      <x:c r="C90" s="11" t="n">
        <x:f>MAX(0.0000000001,MIN(0.9999999999,RAND()))</x:f>
        <x:v>0.3505776384455327</x:v>
      </x:c>
      <x:c r="D90" s="11" t="n">
        <x:f>NORM.S.INV(C90)</x:f>
        <x:v>-0.3837614309130471</x:v>
      </x:c>
      <x:c r="E90" s="11" t="n">
        <x:f>($D$4-0.5*$F$4^2)*$H$4+$F$4*SQRT($H$4)*D90</x:f>
        <x:v>-0.004596844328448656</x:v>
      </x:c>
      <x:c r="F90" s="13" t="n">
        <x:f>F89*EXP(E90)</x:f>
        <x:v>127.14493390520192</x:v>
      </x:c>
      <x:c r="G90" s="1"/>
      <x:c r="H90" s="1"/>
    </x:row>
    <x:row r="91" ht="22" customHeight="1">
      <x:c r="A91" s="1" t="n">
        <x:v>82</x:v>
      </x:c>
      <x:c r="B91" s="11" t="n">
        <x:f>A91*$H$4</x:f>
        <x:v>0.32539682539682535</x:v>
      </x:c>
      <x:c r="C91" s="11" t="n">
        <x:f>MAX(0.0000000001,MIN(0.9999999999,RAND()))</x:f>
        <x:v>0.5519724995432568</x:v>
      </x:c>
      <x:c r="D91" s="11" t="n">
        <x:f>NORM.S.INV(C91)</x:f>
        <x:v>0.13064644356931046</x:v>
      </x:c>
      <x:c r="E91" s="11" t="n">
        <x:f>($D$4-0.5*$F$4^2)*$H$4+$F$4*SQRT($H$4)*D91</x:f>
        <x:v>0.0018840857112353772</x:v>
      </x:c>
      <x:c r="F91" s="13" t="n">
        <x:f>F90*EXP(E91)</x:f>
        <x:v>127.38471166842764</x:v>
      </x:c>
      <x:c r="G91" s="1"/>
      <x:c r="H91" s="1"/>
    </x:row>
    <x:row r="92" ht="22" customHeight="1">
      <x:c r="A92" s="1" t="n">
        <x:v>83</x:v>
      </x:c>
      <x:c r="B92" s="11" t="n">
        <x:f>A92*$H$4</x:f>
        <x:v>0.32936507936507936</x:v>
      </x:c>
      <x:c r="C92" s="11" t="n">
        <x:f>MAX(0.0000000001,MIN(0.9999999999,RAND()))</x:f>
        <x:v>0.15187656230488245</x:v>
      </x:c>
      <x:c r="D92" s="11" t="n">
        <x:f>NORM.S.INV(C92)</x:f>
        <x:v>-1.028418256024964</x:v>
      </x:c>
      <x:c r="E92" s="11" t="n">
        <x:f>($D$4-0.5*$F$4^2)*$H$4+$F$4*SQRT($H$4)*D92</x:f>
        <x:v>-0.01271875690095623</x:v>
      </x:c>
      <x:c r="F92" s="13" t="n">
        <x:f>F91*EXP(E92)</x:f>
        <x:v>125.77479625173702</x:v>
      </x:c>
      <x:c r="G92" s="1"/>
      <x:c r="H92" s="1"/>
    </x:row>
    <x:row r="93" ht="22" customHeight="1">
      <x:c r="A93" s="1" t="n">
        <x:v>84</x:v>
      </x:c>
      <x:c r="B93" s="11" t="n">
        <x:f>A93*$H$4</x:f>
        <x:v>0.3333333333333333</x:v>
      </x:c>
      <x:c r="C93" s="11" t="n">
        <x:f>MAX(0.0000000001,MIN(0.9999999999,RAND()))</x:f>
        <x:v>0.37108885744333997</x:v>
      </x:c>
      <x:c r="D93" s="11" t="n">
        <x:f>NORM.S.INV(C93)</x:f>
        <x:v>-0.3289708583227713</x:v>
      </x:c>
      <x:c r="E93" s="11" t="n">
        <x:f>($D$4-0.5*$F$4^2)*$H$4+$F$4*SQRT($H$4)*D93</x:f>
        <x:v>-0.003906547998616743</x:v>
      </x:c>
      <x:c r="F93" s="13" t="n">
        <x:f>F92*EXP(E93)</x:f>
        <x:v>125.28440945659396</x:v>
      </x:c>
      <x:c r="G93" s="1"/>
      <x:c r="H93" s="1"/>
    </x:row>
    <x:row r="94" ht="22" customHeight="1">
      <x:c r="A94" s="1" t="n">
        <x:v>85</x:v>
      </x:c>
      <x:c r="B94" s="11" t="n">
        <x:f>A94*$H$4</x:f>
        <x:v>0.33730158730158727</x:v>
      </x:c>
      <x:c r="C94" s="11" t="n">
        <x:f>MAX(0.0000000001,MIN(0.9999999999,RAND()))</x:f>
        <x:v>0.19957200206743053</x:v>
      </x:c>
      <x:c r="D94" s="11" t="n">
        <x:f>NORM.S.INV(C94)</x:f>
        <x:v>-0.8431509904647023</x:v>
      </x:c>
      <x:c r="E94" s="11" t="n">
        <x:f>($D$4-0.5*$F$4^2)*$H$4+$F$4*SQRT($H$4)*D94</x:f>
        <x:v>-0.010384608754511401</x:v>
      </x:c>
      <x:c r="F94" s="13" t="n">
        <x:f>F93*EXP(E94)</x:f>
        <x:v>123.99011189962822</x:v>
      </x:c>
      <x:c r="G94" s="1"/>
      <x:c r="H94" s="1"/>
    </x:row>
    <x:row r="95" ht="22" customHeight="1">
      <x:c r="A95" s="1" t="n">
        <x:v>86</x:v>
      </x:c>
      <x:c r="B95" s="11" t="n">
        <x:f>A95*$H$4</x:f>
        <x:v>0.3412698412698413</x:v>
      </x:c>
      <x:c r="C95" s="11" t="n">
        <x:f>MAX(0.0000000001,MIN(0.9999999999,RAND()))</x:f>
        <x:v>0.02830355374018234</x:v>
      </x:c>
      <x:c r="D95" s="11" t="n">
        <x:f>NORM.S.INV(C95)</x:f>
        <x:v>-1.9063322895247774</x:v>
      </x:c>
      <x:c r="E95" s="11" t="n">
        <x:f>($D$4-0.5*$F$4^2)*$H$4+$F$4*SQRT($H$4)*D95</x:f>
        <x:v>-0.02377943406826163</x:v>
      </x:c>
      <x:c r="F95" s="13" t="n">
        <x:f>F94*EXP(E95)</x:f>
        <x:v>121.07647679987987</x:v>
      </x:c>
      <x:c r="G95" s="1"/>
      <x:c r="H95" s="1"/>
    </x:row>
    <x:row r="96" ht="22" customHeight="1">
      <x:c r="A96" s="1" t="n">
        <x:v>87</x:v>
      </x:c>
      <x:c r="B96" s="11" t="n">
        <x:f>A96*$H$4</x:f>
        <x:v>0.34523809523809523</x:v>
      </x:c>
      <x:c r="C96" s="11" t="n">
        <x:f>MAX(0.0000000001,MIN(0.9999999999,RAND()))</x:f>
        <x:v>0.28669160478833555</x:v>
      </x:c>
      <x:c r="D96" s="11" t="n">
        <x:f>NORM.S.INV(C96)</x:f>
        <x:v>-0.5630758880333858</x:v>
      </x:c>
      <x:c r="E96" s="11" t="n">
        <x:f>($D$4-0.5*$F$4^2)*$H$4+$F$4*SQRT($H$4)*D96</x:f>
        <x:v>-0.006855994138062807</x:v>
      </x:c>
      <x:c r="F96" s="13" t="n">
        <x:f>F95*EXP(E96)</x:f>
        <x:v>120.24921627177044</x:v>
      </x:c>
      <x:c r="G96" s="1"/>
      <x:c r="H96" s="1"/>
    </x:row>
    <x:row r="97" ht="22" customHeight="1">
      <x:c r="A97" s="1" t="n">
        <x:v>88</x:v>
      </x:c>
      <x:c r="B97" s="11" t="n">
        <x:f>A97*$H$4</x:f>
        <x:v>0.3492063492063492</x:v>
      </x:c>
      <x:c r="C97" s="11" t="n">
        <x:f>MAX(0.0000000001,MIN(0.9999999999,RAND()))</x:f>
        <x:v>0.8711027583827344</x:v>
      </x:c>
      <x:c r="D97" s="11" t="n">
        <x:f>NORM.S.INV(C97)</x:f>
        <x:v>1.1316193931958278</x:v>
      </x:c>
      <x:c r="E97" s="11" t="n">
        <x:f>($D$4-0.5*$F$4^2)*$H$4+$F$4*SQRT($H$4)*D97</x:f>
        <x:v>0.014495159491304659</x:v>
      </x:c>
      <x:c r="F97" s="13" t="n">
        <x:f>F96*EXP(E97)</x:f>
        <x:v>122.00494186041644</x:v>
      </x:c>
      <x:c r="G97" s="1"/>
      <x:c r="H97" s="1"/>
    </x:row>
    <x:row r="98" ht="22" customHeight="1">
      <x:c r="A98" s="1" t="n">
        <x:v>89</x:v>
      </x:c>
      <x:c r="B98" s="11" t="n">
        <x:f>A98*$H$4</x:f>
        <x:v>0.35317460317460314</x:v>
      </x:c>
      <x:c r="C98" s="11" t="n">
        <x:f>MAX(0.0000000001,MIN(0.9999999999,RAND()))</x:f>
        <x:v>0.4847934145930781</x:v>
      </x:c>
      <x:c r="D98" s="11" t="n">
        <x:f>NORM.S.INV(C98)</x:f>
        <x:v>-0.03812649189268211</x:v>
      </x:c>
      <x:c r="E98" s="11" t="n">
        <x:f>($D$4-0.5*$F$4^2)*$H$4+$F$4*SQRT($H$4)*D98</x:f>
        <x:v>-0.0002422534091017009</x:v>
      </x:c>
      <x:c r="F98" s="13" t="n">
        <x:f>F97*EXP(E98)</x:f>
        <x:v>121.97538932706901</x:v>
      </x:c>
      <x:c r="G98" s="1"/>
      <x:c r="H98" s="1"/>
    </x:row>
    <x:row r="99" ht="22" customHeight="1">
      <x:c r="A99" s="1" t="n">
        <x:v>90</x:v>
      </x:c>
      <x:c r="B99" s="11" t="n">
        <x:f>A99*$H$4</x:f>
        <x:v>0.3571428571428571</x:v>
      </x:c>
      <x:c r="C99" s="11" t="n">
        <x:f>MAX(0.0000000001,MIN(0.9999999999,RAND()))</x:f>
        <x:v>0.634986401342455</x:v>
      </x:c>
      <x:c r="D99" s="11" t="n">
        <x:f>NORM.S.INV(C99)</x:f>
        <x:v>0.34508935318157935</x:v>
      </x:c>
      <x:c r="E99" s="11" t="n">
        <x:f>($D$4-0.5*$F$4^2)*$H$4+$F$4*SQRT($H$4)*D99</x:f>
        <x:v>0.004585812421974263</x:v>
      </x:c>
      <x:c r="F99" s="13" t="n">
        <x:f>F98*EXP(E99)</x:f>
        <x:v>122.53603009681586</x:v>
      </x:c>
      <x:c r="G99" s="1"/>
      <x:c r="H99" s="1"/>
    </x:row>
    <x:row r="100" ht="22" customHeight="1">
      <x:c r="A100" s="1" t="n">
        <x:v>91</x:v>
      </x:c>
      <x:c r="B100" s="11" t="n">
        <x:f>A100*$H$4</x:f>
        <x:v>0.3611111111111111</x:v>
      </x:c>
      <x:c r="C100" s="11" t="n">
        <x:f>MAX(0.0000000001,MIN(0.9999999999,RAND()))</x:f>
        <x:v>0.5391294157909535</x:v>
      </x:c>
      <x:c r="D100" s="11" t="n">
        <x:f>NORM.S.INV(C100)</x:f>
        <x:v>0.0982406954791382</x:v>
      </x:c>
      <x:c r="E100" s="11" t="n">
        <x:f>($D$4-0.5*$F$4^2)*$H$4+$F$4*SQRT($H$4)*D100</x:f>
        <x:v>0.0014758116612563195</x:v>
      </x:c>
      <x:c r="F100" s="13" t="n">
        <x:f>F99*EXP(E100)</x:f>
        <x:v>122.71700370759238</x:v>
      </x:c>
      <x:c r="G100" s="1"/>
      <x:c r="H100" s="1"/>
    </x:row>
    <x:row r="101" ht="22" customHeight="1">
      <x:c r="A101" s="1" t="n">
        <x:v>92</x:v>
      </x:c>
      <x:c r="B101" s="11" t="n">
        <x:f>A101*$H$4</x:f>
        <x:v>0.36507936507936506</x:v>
      </x:c>
      <x:c r="C101" s="11" t="n">
        <x:f>MAX(0.0000000001,MIN(0.9999999999,RAND()))</x:f>
        <x:v>0.4084469378102845</x:v>
      </x:c>
      <x:c r="D101" s="11" t="n">
        <x:f>NORM.S.INV(C101)</x:f>
        <x:v>-0.23154185178396855</x:v>
      </x:c>
      <x:c r="E101" s="11" t="n">
        <x:f>($D$4-0.5*$F$4^2)*$H$4+$F$4*SQRT($H$4)*D101</x:f>
        <x:v>-0.0026790578948750377</x:v>
      </x:c>
      <x:c r="F101" s="13" t="n">
        <x:f>F100*EXP(E101)</x:f>
        <x:v>122.38867774847645</x:v>
      </x:c>
      <x:c r="G101" s="1"/>
      <x:c r="H101" s="1"/>
    </x:row>
    <x:row r="102" ht="22" customHeight="1">
      <x:c r="A102" s="1" t="n">
        <x:v>93</x:v>
      </x:c>
      <x:c r="B102" s="11" t="n">
        <x:f>A102*$H$4</x:f>
        <x:v>0.369047619047619</x:v>
      </x:c>
      <x:c r="C102" s="11" t="n">
        <x:f>MAX(0.0000000001,MIN(0.9999999999,RAND()))</x:f>
        <x:v>0.025652037982188847</x:v>
      </x:c>
      <x:c r="D102" s="11" t="n">
        <x:f>NORM.S.INV(C102)</x:f>
        <x:v>-1.948927562483962</x:v>
      </x:c>
      <x:c r="E102" s="11" t="n">
        <x:f>($D$4-0.5*$F$4^2)*$H$4+$F$4*SQRT($H$4)*D102</x:f>
        <x:v>-0.024316084064818378</x:v>
      </x:c>
      <x:c r="F102" s="13" t="n">
        <x:f>F101*EXP(E102)</x:f>
        <x:v>119.44855536945579</x:v>
      </x:c>
      <x:c r="G102" s="1"/>
      <x:c r="H102" s="1"/>
    </x:row>
    <x:row r="103" ht="22" customHeight="1">
      <x:c r="A103" s="1" t="n">
        <x:v>94</x:v>
      </x:c>
      <x:c r="B103" s="11" t="n">
        <x:f>A103*$H$4</x:f>
        <x:v>0.373015873015873</x:v>
      </x:c>
      <x:c r="C103" s="11" t="n">
        <x:f>MAX(0.0000000001,MIN(0.9999999999,RAND()))</x:f>
        <x:v>0.9601805935681784</x:v>
      </x:c>
      <x:c r="D103" s="11" t="n">
        <x:f>NORM.S.INV(C103)</x:f>
        <x:v>1.7527856172608836</x:v>
      </x:c>
      <x:c r="E103" s="11" t="n">
        <x:f>($D$4-0.5*$F$4^2)*$H$4+$F$4*SQRT($H$4)*D103</x:f>
        <x:v>0.02232111830896734</x:v>
      </x:c>
      <x:c r="F103" s="13" t="n">
        <x:f>F102*EXP(E103)</x:f>
        <x:v>122.14475991222679</x:v>
      </x:c>
      <x:c r="G103" s="1"/>
      <x:c r="H103" s="1"/>
    </x:row>
    <x:row r="104" ht="22" customHeight="1">
      <x:c r="A104" s="1" t="n">
        <x:v>95</x:v>
      </x:c>
      <x:c r="B104" s="11" t="n">
        <x:f>A104*$H$4</x:f>
        <x:v>0.376984126984127</x:v>
      </x:c>
      <x:c r="C104" s="11" t="n">
        <x:f>MAX(0.0000000001,MIN(0.9999999999,RAND()))</x:f>
        <x:v>0.3688876243256104</x:v>
      </x:c>
      <x:c r="D104" s="11" t="n">
        <x:f>NORM.S.INV(C104)</x:f>
        <x:v>-0.3348009436169878</x:v>
      </x:c>
      <x:c r="E104" s="11" t="n">
        <x:f>($D$4-0.5*$F$4^2)*$H$4+$F$4*SQRT($H$4)*D104</x:f>
        <x:v>-0.003980000169144323</x:v>
      </x:c>
      <x:c r="F104" s="13" t="n">
        <x:f>F103*EXP(E104)</x:f>
        <x:v>121.65958987596973</x:v>
      </x:c>
      <x:c r="G104" s="1"/>
      <x:c r="H104" s="1"/>
    </x:row>
    <x:row r="105" ht="22" customHeight="1">
      <x:c r="A105" s="1" t="n">
        <x:v>96</x:v>
      </x:c>
      <x:c r="B105" s="11" t="n">
        <x:f>A105*$H$4</x:f>
        <x:v>0.38095238095238093</x:v>
      </x:c>
      <x:c r="C105" s="11" t="n">
        <x:f>MAX(0.0000000001,MIN(0.9999999999,RAND()))</x:f>
        <x:v>0.21338672796600067</x:v>
      </x:c>
      <x:c r="D105" s="11" t="n">
        <x:f>NORM.S.INV(C105)</x:f>
        <x:v>-0.79472505269181</x:v>
      </x:c>
      <x:c r="E105" s="11" t="n">
        <x:f>($D$4-0.5*$F$4^2)*$H$4+$F$4*SQRT($H$4)*D105</x:f>
        <x:v>-0.009774499286167772</x:v>
      </x:c>
      <x:c r="F105" s="13" t="n">
        <x:f>F104*EXP(E105)</x:f>
        <x:v>120.47622114165091</x:v>
      </x:c>
      <x:c r="G105" s="1"/>
      <x:c r="H105" s="1"/>
    </x:row>
    <x:row r="106" ht="22" customHeight="1">
      <x:c r="A106" s="1" t="n">
        <x:v>97</x:v>
      </x:c>
      <x:c r="B106" s="11" t="n">
        <x:f>A106*$H$4</x:f>
        <x:v>0.3849206349206349</x:v>
      </x:c>
      <x:c r="C106" s="11" t="n">
        <x:f>MAX(0.0000000001,MIN(0.9999999999,RAND()))</x:f>
        <x:v>0.2858390965904809</x:v>
      </x:c>
      <x:c r="D106" s="11" t="n">
        <x:f>NORM.S.INV(C106)</x:f>
        <x:v>-0.5655816672295488</x:v>
      </x:c>
      <x:c r="E106" s="11" t="n">
        <x:f>($D$4-0.5*$F$4^2)*$H$4+$F$4*SQRT($H$4)*D106</x:f>
        <x:v>-0.006887563988507981</x:v>
      </x:c>
      <x:c r="F106" s="13" t="n">
        <x:f>F105*EXP(E106)</x:f>
        <x:v>119.649284517952</x:v>
      </x:c>
      <x:c r="G106" s="1"/>
      <x:c r="H106" s="1"/>
    </x:row>
    <x:row r="107" ht="22" customHeight="1">
      <x:c r="A107" s="1" t="n">
        <x:v>98</x:v>
      </x:c>
      <x:c r="B107" s="11" t="n">
        <x:f>A107*$H$4</x:f>
        <x:v>0.38888888888888884</x:v>
      </x:c>
      <x:c r="C107" s="11" t="n">
        <x:f>MAX(0.0000000001,MIN(0.9999999999,RAND()))</x:f>
        <x:v>0.9687201420064734</x:v>
      </x:c>
      <x:c r="D107" s="11" t="n">
        <x:f>NORM.S.INV(C107)</x:f>
        <x:v>1.8623078047823733</x:v>
      </x:c>
      <x:c r="E107" s="11" t="n">
        <x:f>($D$4-0.5*$F$4^2)*$H$4+$F$4*SQRT($H$4)*D107</x:f>
        <x:v>0.02370096817194659</x:v>
      </x:c>
      <x:c r="F107" s="13" t="n">
        <x:f>F106*EXP(E107)</x:f>
        <x:v>122.51896112699058</x:v>
      </x:c>
      <x:c r="G107" s="1"/>
      <x:c r="H107" s="1"/>
    </x:row>
    <x:row r="108" ht="22" customHeight="1">
      <x:c r="A108" s="1" t="n">
        <x:v>99</x:v>
      </x:c>
      <x:c r="B108" s="11" t="n">
        <x:f>A108*$H$4</x:f>
        <x:v>0.39285714285714285</x:v>
      </x:c>
      <x:c r="C108" s="11" t="n">
        <x:f>MAX(0.0000000001,MIN(0.9999999999,RAND()))</x:f>
        <x:v>0.01816174129757142</x:v>
      </x:c>
      <x:c r="D108" s="11" t="n">
        <x:f>NORM.S.INV(C108)</x:f>
        <x:v>-2.0932876706533627</x:v>
      </x:c>
      <x:c r="E108" s="11" t="n">
        <x:f>($D$4-0.5*$F$4^2)*$H$4+$F$4*SQRT($H$4)*D108</x:f>
        <x:v>-0.026134850471745134</x:v>
      </x:c>
      <x:c r="F108" s="13" t="n">
        <x:f>F107*EXP(E108)</x:f>
        <x:v>119.35842634304375</x:v>
      </x:c>
      <x:c r="G108" s="1"/>
      <x:c r="H108" s="1"/>
    </x:row>
    <x:row r="109" ht="22" customHeight="1">
      <x:c r="A109" s="1" t="n">
        <x:v>100</x:v>
      </x:c>
      <x:c r="B109" s="11" t="n">
        <x:f>A109*$H$4</x:f>
        <x:v>0.3968253968253968</x:v>
      </x:c>
      <x:c r="C109" s="11" t="n">
        <x:f>MAX(0.0000000001,MIN(0.9999999999,RAND()))</x:f>
        <x:v>0.655653277646091</x:v>
      </x:c>
      <x:c r="D109" s="11" t="n">
        <x:f>NORM.S.INV(C109)</x:f>
        <x:v>0.4006287915974885</x:v>
      </x:c>
      <x:c r="E109" s="11" t="n">
        <x:f>($D$4-0.5*$F$4^2)*$H$4+$F$4*SQRT($H$4)*D109</x:f>
        <x:v>0.005285543574377514</x:v>
      </x:c>
      <x:c r="F109" s="13" t="n">
        <x:f>F108*EXP(E109)</x:f>
        <x:v>119.99097070422715</x:v>
      </x:c>
      <x:c r="G109" s="1"/>
      <x:c r="H109" s="1"/>
    </x:row>
    <x:row r="110" ht="22" customHeight="1">
      <x:c r="A110" s="1" t="n">
        <x:v>101</x:v>
      </x:c>
      <x:c r="B110" s="11" t="n">
        <x:f>A110*$H$4</x:f>
        <x:v>0.40079365079365076</x:v>
      </x:c>
      <x:c r="C110" s="11" t="n">
        <x:f>MAX(0.0000000001,MIN(0.9999999999,RAND()))</x:f>
        <x:v>0.6821101968531331</x:v>
      </x:c>
      <x:c r="D110" s="11" t="n">
        <x:f>NORM.S.INV(C110)</x:f>
        <x:v>0.4736078083209157</x:v>
      </x:c>
      <x:c r="E110" s="11" t="n">
        <x:f>($D$4-0.5*$F$4^2)*$H$4+$F$4*SQRT($H$4)*D110</x:f>
        <x:v>0.006204992760930905</x:v>
      </x:c>
      <x:c r="F110" s="13" t="n">
        <x:f>F109*EXP(E110)</x:f>
        <x:v>120.73782853625676</x:v>
      </x:c>
      <x:c r="G110" s="1"/>
      <x:c r="H110" s="1"/>
    </x:row>
    <x:row r="111" ht="22" customHeight="1">
      <x:c r="A111" s="1" t="n">
        <x:v>102</x:v>
      </x:c>
      <x:c r="B111" s="11" t="n">
        <x:f>A111*$H$4</x:f>
        <x:v>0.40476190476190477</x:v>
      </x:c>
      <x:c r="C111" s="11" t="n">
        <x:f>MAX(0.0000000001,MIN(0.9999999999,RAND()))</x:f>
        <x:v>0.637212117388937</x:v>
      </x:c>
      <x:c r="D111" s="11" t="n">
        <x:f>NORM.S.INV(C111)</x:f>
        <x:v>0.35101677274976323</x:v>
      </x:c>
      <x:c r="E111" s="11" t="n">
        <x:f>($D$4-0.5*$F$4^2)*$H$4+$F$4*SQRT($H$4)*D111</x:f>
        <x:v>0.0046604908890873695</x:v>
      </x:c>
      <x:c r="F111" s="13" t="n">
        <x:f>F110*EXP(E111)</x:f>
        <x:v>121.30183934887751</x:v>
      </x:c>
      <x:c r="G111" s="1"/>
      <x:c r="H111" s="1"/>
    </x:row>
    <x:row r="112" ht="22" customHeight="1">
      <x:c r="A112" s="1" t="n">
        <x:v>103</x:v>
      </x:c>
      <x:c r="B112" s="11" t="n">
        <x:f>A112*$H$4</x:f>
        <x:v>0.4087301587301587</x:v>
      </x:c>
      <x:c r="C112" s="11" t="n">
        <x:f>MAX(0.0000000001,MIN(0.9999999999,RAND()))</x:f>
        <x:v>0.04081428414130317</x:v>
      </x:c>
      <x:c r="D112" s="11" t="n">
        <x:f>NORM.S.INV(C112)</x:f>
        <x:v>-1.7413139156950914</x:v>
      </x:c>
      <x:c r="E112" s="11" t="n">
        <x:f>($D$4-0.5*$F$4^2)*$H$4+$F$4*SQRT($H$4)*D112</x:f>
        <x:v>-0.021700397978215734</x:v>
      </x:c>
      <x:c r="F112" s="13" t="n">
        <x:f>F111*EXP(E112)</x:f>
        <x:v>118.69789663989388</x:v>
      </x:c>
      <x:c r="G112" s="1"/>
      <x:c r="H112" s="1"/>
    </x:row>
    <x:row r="113" ht="22" customHeight="1">
      <x:c r="A113" s="1" t="n">
        <x:v>104</x:v>
      </x:c>
      <x:c r="B113" s="11" t="n">
        <x:f>A113*$H$4</x:f>
        <x:v>0.4126984126984127</x:v>
      </x:c>
      <x:c r="C113" s="11" t="n">
        <x:f>MAX(0.0000000001,MIN(0.9999999999,RAND()))</x:f>
        <x:v>0.7843057371693276</x:v>
      </x:c>
      <x:c r="D113" s="11" t="n">
        <x:f>NORM.S.INV(C113)</x:f>
        <x:v>0.7868178108016936</x:v>
      </x:c>
      <x:c r="E113" s="11" t="n">
        <x:f>($D$4-0.5*$F$4^2)*$H$4+$F$4*SQRT($H$4)*D113</x:f>
        <x:v>0.010151067878559772</x:v>
      </x:c>
      <x:c r="F113" s="13" t="n">
        <x:f>F112*EXP(E113)</x:f>
        <x:v>119.90894335517481</x:v>
      </x:c>
      <x:c r="G113" s="1"/>
      <x:c r="H113" s="1"/>
    </x:row>
    <x:row r="114" ht="22" customHeight="1">
      <x:c r="A114" s="1" t="n">
        <x:v>105</x:v>
      </x:c>
      <x:c r="B114" s="11" t="n">
        <x:f>A114*$H$4</x:f>
        <x:v>0.41666666666666663</x:v>
      </x:c>
      <x:c r="C114" s="11" t="n">
        <x:f>MAX(0.0000000001,MIN(0.9999999999,RAND()))</x:f>
        <x:v>0.0003449631266657649</x:v>
      </x:c>
      <x:c r="D114" s="11" t="n">
        <x:f>NORM.S.INV(C114)</x:f>
        <x:v>-3.393551337789151</x:v>
      </x:c>
      <x:c r="E114" s="11" t="n">
        <x:f>($D$4-0.5*$F$4^2)*$H$4+$F$4*SQRT($H$4)*D114</x:f>
        <x:v>-0.042516632862479246</x:v>
      </x:c>
      <x:c r="F114" s="13" t="n">
        <x:f>F113*EXP(E114)</x:f>
        <x:v>114.91767661648305</x:v>
      </x:c>
      <x:c r="G114" s="1"/>
      <x:c r="H114" s="1"/>
    </x:row>
    <x:row r="115" ht="22" customHeight="1">
      <x:c r="A115" s="1" t="n">
        <x:v>106</x:v>
      </x:c>
      <x:c r="B115" s="11" t="n">
        <x:f>A115*$H$4</x:f>
        <x:v>0.4206349206349206</x:v>
      </x:c>
      <x:c r="C115" s="11" t="n">
        <x:f>MAX(0.0000000001,MIN(0.9999999999,RAND()))</x:f>
        <x:v>0.28267091536624034</x:v>
      </x:c>
      <x:c r="D115" s="11" t="n">
        <x:f>NORM.S.INV(C115)</x:f>
        <x:v>-0.5749252818102875</x:v>
      </x:c>
      <x:c r="E115" s="11" t="n">
        <x:f>($D$4-0.5*$F$4^2)*$H$4+$F$4*SQRT($H$4)*D115</x:f>
        <x:v>-0.007005282467208321</x:v>
      </x:c>
      <x:c r="F115" s="13" t="n">
        <x:f>F114*EXP(E115)</x:f>
        <x:v>114.11545899250248</x:v>
      </x:c>
      <x:c r="G115" s="1"/>
      <x:c r="H115" s="1"/>
    </x:row>
    <x:row r="116" ht="22" customHeight="1">
      <x:c r="A116" s="1" t="n">
        <x:v>107</x:v>
      </x:c>
      <x:c r="B116" s="11" t="n">
        <x:f>A116*$H$4</x:f>
        <x:v>0.4246031746031746</x:v>
      </x:c>
      <x:c r="C116" s="11" t="n">
        <x:f>MAX(0.0000000001,MIN(0.9999999999,RAND()))</x:f>
        <x:v>0.5849835712194464</x:v>
      </x:c>
      <x:c r="D116" s="11" t="n">
        <x:f>NORM.S.INV(C116)</x:f>
        <x:v>0.21465942717193692</x:v>
      </x:c>
      <x:c r="E116" s="11" t="n">
        <x:f>($D$4-0.5*$F$4^2)*$H$4+$F$4*SQRT($H$4)*D116</x:f>
        <x:v>0.002942549813678696</x:v>
      </x:c>
      <x:c r="F116" s="13" t="n">
        <x:f>F115*EXP(E116)</x:f>
        <x:v>114.45174394005727</x:v>
      </x:c>
      <x:c r="G116" s="1"/>
      <x:c r="H116" s="1"/>
    </x:row>
    <x:row r="117" ht="22" customHeight="1">
      <x:c r="A117" s="1" t="n">
        <x:v>108</x:v>
      </x:c>
      <x:c r="B117" s="11" t="n">
        <x:f>A117*$H$4</x:f>
        <x:v>0.42857142857142855</x:v>
      </x:c>
      <x:c r="C117" s="11" t="n">
        <x:f>MAX(0.0000000001,MIN(0.9999999999,RAND()))</x:f>
        <x:v>0.9460492356088398</x:v>
      </x:c>
      <x:c r="D117" s="11" t="n">
        <x:f>NORM.S.INV(C117)</x:f>
        <x:v>1.607697123950662</x:v>
      </x:c>
      <x:c r="E117" s="11" t="n">
        <x:f>($D$4-0.5*$F$4^2)*$H$4+$F$4*SQRT($H$4)*D117</x:f>
        <x:v>0.020493175111843984</x:v>
      </x:c>
      <x:c r="F117" s="13" t="n">
        <x:f>F116*EXP(E117)</x:f>
        <x:v>116.8214217493659</x:v>
      </x:c>
      <x:c r="G117" s="1"/>
      <x:c r="H117" s="1"/>
    </x:row>
    <x:row r="118" ht="22" customHeight="1">
      <x:c r="A118" s="1" t="n">
        <x:v>109</x:v>
      </x:c>
      <x:c r="B118" s="11" t="n">
        <x:f>A118*$H$4</x:f>
        <x:v>0.4325396825396825</x:v>
      </x:c>
      <x:c r="C118" s="11" t="n">
        <x:f>MAX(0.0000000001,MIN(0.9999999999,RAND()))</x:f>
        <x:v>0.47404624459540023</x:v>
      </x:c>
      <x:c r="D118" s="11" t="n">
        <x:f>NORM.S.INV(C118)</x:f>
        <x:v>-0.06510237535041621</x:v>
      </x:c>
      <x:c r="E118" s="11" t="n">
        <x:f>($D$4-0.5*$F$4^2)*$H$4+$F$4*SQRT($H$4)*D118</x:f>
        <x:v>-0.0005821175949370609</x:v>
      </x:c>
      <x:c r="F118" s="13" t="n">
        <x:f>F117*EXP(E118)</x:f>
        <x:v>116.75343773356568</x:v>
      </x:c>
      <x:c r="G118" s="1"/>
      <x:c r="H118" s="1"/>
    </x:row>
    <x:row r="119" ht="22" customHeight="1">
      <x:c r="A119" s="1" t="n">
        <x:v>110</x:v>
      </x:c>
      <x:c r="B119" s="11" t="n">
        <x:f>A119*$H$4</x:f>
        <x:v>0.4365079365079365</x:v>
      </x:c>
      <x:c r="C119" s="11" t="n">
        <x:f>MAX(0.0000000001,MIN(0.9999999999,RAND()))</x:f>
        <x:v>0.8742961086005279</x:v>
      </x:c>
      <x:c r="D119" s="11" t="n">
        <x:f>NORM.S.INV(C119)</x:f>
        <x:v>1.146936701424674</x:v>
      </x:c>
      <x:c r="E119" s="11" t="n">
        <x:f>($D$4-0.5*$F$4^2)*$H$4+$F$4*SQRT($H$4)*D119</x:f>
        <x:v>0.01468813943572585</x:v>
      </x:c>
      <x:c r="F119" s="13" t="n">
        <x:f>F118*EXP(E119)</x:f>
        <x:v>118.4809846732522</x:v>
      </x:c>
      <x:c r="G119" s="1"/>
      <x:c r="H119" s="1"/>
    </x:row>
    <x:row r="120" ht="22" customHeight="1">
      <x:c r="A120" s="1" t="n">
        <x:v>111</x:v>
      </x:c>
      <x:c r="B120" s="11" t="n">
        <x:f>A120*$H$4</x:f>
        <x:v>0.44047619047619047</x:v>
      </x:c>
      <x:c r="C120" s="11" t="n">
        <x:f>MAX(0.0000000001,MIN(0.9999999999,RAND()))</x:f>
        <x:v>0.8219912596479236</x:v>
      </x:c>
      <x:c r="D120" s="11" t="n">
        <x:f>NORM.S.INV(C120)</x:f>
        <x:v>0.9229802824972769</x:v>
      </x:c>
      <x:c r="E120" s="11" t="n">
        <x:f>($D$4-0.5*$F$4^2)*$H$4+$F$4*SQRT($H$4)*D120</x:f>
        <x:v>0.01186655377382827</x:v>
      </x:c>
      <x:c r="F120" s="13" t="n">
        <x:f>F119*EXP(E120)</x:f>
        <x:v>119.89532069969286</x:v>
      </x:c>
      <x:c r="G120" s="1"/>
      <x:c r="H120" s="1"/>
    </x:row>
    <x:row r="121" ht="22" customHeight="1">
      <x:c r="A121" s="1" t="n">
        <x:v>112</x:v>
      </x:c>
      <x:c r="B121" s="11" t="n">
        <x:f>A121*$H$4</x:f>
        <x:v>0.4444444444444444</x:v>
      </x:c>
      <x:c r="C121" s="11" t="n">
        <x:f>MAX(0.0000000001,MIN(0.9999999999,RAND()))</x:f>
        <x:v>0.3440311354019059</x:v>
      </x:c>
      <x:c r="D121" s="11" t="n">
        <x:f>NORM.S.INV(C121)</x:f>
        <x:v>-0.4014860988203154</x:v>
      </x:c>
      <x:c r="E121" s="11" t="n">
        <x:f>($D$4-0.5*$F$4^2)*$H$4+$F$4*SQRT($H$4)*D121</x:f>
        <x:v>-0.00482015415394313</x:v>
      </x:c>
      <x:c r="F121" s="13" t="n">
        <x:f>F120*EXP(E121)</x:f>
        <x:v>119.31879735352422</x:v>
      </x:c>
      <x:c r="G121" s="1"/>
      <x:c r="H121" s="1"/>
    </x:row>
    <x:row r="122" ht="22" customHeight="1">
      <x:c r="A122" s="1" t="n">
        <x:v>113</x:v>
      </x:c>
      <x:c r="B122" s="11" t="n">
        <x:f>A122*$H$4</x:f>
        <x:v>0.4484126984126984</x:v>
      </x:c>
      <x:c r="C122" s="11" t="n">
        <x:f>MAX(0.0000000001,MIN(0.9999999999,RAND()))</x:f>
        <x:v>0.1343705244839144</x:v>
      </x:c>
      <x:c r="D122" s="11" t="n">
        <x:f>NORM.S.INV(C122)</x:f>
        <x:v>-1.105966431830408</x:v>
      </x:c>
      <x:c r="E122" s="11" t="n">
        <x:f>($D$4-0.5*$F$4^2)*$H$4+$F$4*SQRT($H$4)*D122</x:f>
        <x:v>-0.01369577208099395</x:v>
      </x:c>
      <x:c r="F122" s="13" t="n">
        <x:f>F121*EXP(E122)</x:f>
        <x:v>117.6957739490007</x:v>
      </x:c>
      <x:c r="G122" s="1"/>
      <x:c r="H122" s="1"/>
    </x:row>
    <x:row r="123" ht="22" customHeight="1">
      <x:c r="A123" s="1" t="n">
        <x:v>114</x:v>
      </x:c>
      <x:c r="B123" s="11" t="n">
        <x:f>A123*$H$4</x:f>
        <x:v>0.45238095238095233</x:v>
      </x:c>
      <x:c r="C123" s="11" t="n">
        <x:f>MAX(0.0000000001,MIN(0.9999999999,RAND()))</x:f>
        <x:v>0.5505408004473163</x:v>
      </x:c>
      <x:c r="D123" s="11" t="n">
        <x:f>NORM.S.INV(C123)</x:f>
        <x:v>0.1270277955188123</x:v>
      </x:c>
      <x:c r="E123" s="11" t="n">
        <x:f>($D$4-0.5*$F$4^2)*$H$4+$F$4*SQRT($H$4)*D123</x:f>
        <x:v>0.0018384950311216303</x:v>
      </x:c>
      <x:c r="F123" s="13" t="n">
        <x:f>F122*EXP(E123)</x:f>
        <x:v>117.91235607616714</x:v>
      </x:c>
      <x:c r="G123" s="1"/>
      <x:c r="H123" s="1"/>
    </x:row>
    <x:row r="124" ht="22" customHeight="1">
      <x:c r="A124" s="1" t="n">
        <x:v>115</x:v>
      </x:c>
      <x:c r="B124" s="11" t="n">
        <x:f>A124*$H$4</x:f>
        <x:v>0.45634920634920634</x:v>
      </x:c>
      <x:c r="C124" s="11" t="n">
        <x:f>MAX(0.0000000001,MIN(0.9999999999,RAND()))</x:f>
        <x:v>0.6987534893995923</x:v>
      </x:c>
      <x:c r="D124" s="11" t="n">
        <x:f>NORM.S.INV(C124)</x:f>
        <x:v>0.5208187771692202</x:v>
      </x:c>
      <x:c r="E124" s="11" t="n">
        <x:f>($D$4-0.5*$F$4^2)*$H$4+$F$4*SQRT($H$4)*D124</x:f>
        <x:v>0.0067997950596310535</x:v>
      </x:c>
      <x:c r="F124" s="13" t="n">
        <x:f>F123*EXP(E124)</x:f>
        <x:v>118.71686809103164</x:v>
      </x:c>
      <x:c r="G124" s="1"/>
      <x:c r="H124" s="1"/>
    </x:row>
    <x:row r="125" ht="22" customHeight="1">
      <x:c r="A125" s="1" t="n">
        <x:v>116</x:v>
      </x:c>
      <x:c r="B125" s="11" t="n">
        <x:f>A125*$H$4</x:f>
        <x:v>0.4603174603174603</x:v>
      </x:c>
      <x:c r="C125" s="11" t="n">
        <x:f>MAX(0.0000000001,MIN(0.9999999999,RAND()))</x:f>
        <x:v>0.1884255475252482</x:v>
      </x:c>
      <x:c r="D125" s="11" t="n">
        <x:f>NORM.S.INV(C125)</x:f>
        <x:v>-0.8837131218719263</x:v>
      </x:c>
      <x:c r="E125" s="11" t="n">
        <x:f>($D$4-0.5*$F$4^2)*$H$4+$F$4*SQRT($H$4)*D125</x:f>
        <x:v>-0.010895643575226816</x:v>
      </x:c>
      <x:c r="F125" s="13" t="n">
        <x:f>F124*EXP(E125)</x:f>
        <x:v>117.43039262598687</x:v>
      </x:c>
      <x:c r="G125" s="1"/>
      <x:c r="H125" s="1"/>
    </x:row>
    <x:row r="126" ht="22" customHeight="1">
      <x:c r="A126" s="1" t="n">
        <x:v>117</x:v>
      </x:c>
      <x:c r="B126" s="11" t="n">
        <x:f>A126*$H$4</x:f>
        <x:v>0.46428571428571425</x:v>
      </x:c>
      <x:c r="C126" s="11" t="n">
        <x:f>MAX(0.0000000001,MIN(0.9999999999,RAND()))</x:f>
        <x:v>0.8825963005306185</x:v>
      </x:c>
      <x:c r="D126" s="11" t="n">
        <x:f>NORM.S.INV(C126)</x:f>
        <x:v>1.1880660236356921</x:v>
      </x:c>
      <x:c r="E126" s="11" t="n">
        <x:f>($D$4-0.5*$F$4^2)*$H$4+$F$4*SQRT($H$4)*D126</x:f>
        <x:v>0.01520632018888299</x:v>
      </x:c>
      <x:c r="F126" s="13" t="n">
        <x:f>F125*EXP(E126)</x:f>
        <x:v>119.22972269898827</x:v>
      </x:c>
      <x:c r="G126" s="1"/>
      <x:c r="H126" s="1"/>
    </x:row>
    <x:row r="127" ht="22" customHeight="1">
      <x:c r="A127" s="1" t="n">
        <x:v>118</x:v>
      </x:c>
      <x:c r="B127" s="11" t="n">
        <x:f>A127*$H$4</x:f>
        <x:v>0.46825396825396826</x:v>
      </x:c>
      <x:c r="C127" s="11" t="n">
        <x:f>MAX(0.0000000001,MIN(0.9999999999,RAND()))</x:f>
        <x:v>0.7175384045068312</x:v>
      </x:c>
      <x:c r="D127" s="11" t="n">
        <x:f>NORM.S.INV(C127)</x:f>
        <x:v>0.5755443711998066</x:v>
      </x:c>
      <x:c r="E127" s="11" t="n">
        <x:f>($D$4-0.5*$F$4^2)*$H$4+$F$4*SQRT($H$4)*D127</x:f>
        <x:v>0.007489272736560637</x:v>
      </x:c>
      <x:c r="F127" s="13" t="n">
        <x:f>F126*EXP(E127)</x:f>
        <x:v>120.12601872390333</x:v>
      </x:c>
      <x:c r="G127" s="1"/>
      <x:c r="H127" s="1"/>
    </x:row>
    <x:row r="128" ht="22" customHeight="1">
      <x:c r="A128" s="1" t="n">
        <x:v>119</x:v>
      </x:c>
      <x:c r="B128" s="11" t="n">
        <x:f>A128*$H$4</x:f>
        <x:v>0.4722222222222222</x:v>
      </x:c>
      <x:c r="C128" s="11" t="n">
        <x:f>MAX(0.0000000001,MIN(0.9999999999,RAND()))</x:f>
        <x:v>0.011295715647304916</x:v>
      </x:c>
      <x:c r="D128" s="11" t="n">
        <x:f>NORM.S.INV(C128)</x:f>
        <x:v>-2.280274194783305</x:v>
      </x:c>
      <x:c r="E128" s="11" t="n">
        <x:f>($D$4-0.5*$F$4^2)*$H$4+$F$4*SQRT($H$4)*D128</x:f>
        <x:v>-0.028490659240165157</x:v>
      </x:c>
      <x:c r="F128" s="13" t="n">
        <x:f>F127*EXP(E128)</x:f>
        <x:v>116.75184373024268</x:v>
      </x:c>
      <x:c r="G128" s="1"/>
      <x:c r="H128" s="1"/>
    </x:row>
    <x:row r="129" ht="22" customHeight="1">
      <x:c r="A129" s="1" t="n">
        <x:v>120</x:v>
      </x:c>
      <x:c r="B129" s="11" t="n">
        <x:f>A129*$H$4</x:f>
        <x:v>0.47619047619047616</x:v>
      </x:c>
      <x:c r="C129" s="11" t="n">
        <x:f>MAX(0.0000000001,MIN(0.9999999999,RAND()))</x:f>
        <x:v>0.8847095180114364</x:v>
      </x:c>
      <x:c r="D129" s="11" t="n">
        <x:f>NORM.S.INV(C129)</x:f>
        <x:v>1.198863660429655</x:v>
      </x:c>
      <x:c r="E129" s="11" t="n">
        <x:f>($D$4-0.5*$F$4^2)*$H$4+$F$4*SQRT($H$4)*D129</x:f>
        <x:v>0.01534235762556883</x:v>
      </x:c>
      <x:c r="F129" s="13" t="n">
        <x:f>F128*EXP(E129)</x:f>
        <x:v>118.55690380146237</x:v>
      </x:c>
      <x:c r="G129" s="1"/>
      <x:c r="H129" s="1"/>
    </x:row>
    <x:row r="130" ht="22" customHeight="1">
      <x:c r="A130" s="1" t="n">
        <x:v>121</x:v>
      </x:c>
      <x:c r="B130" s="11" t="n">
        <x:f>A130*$H$4</x:f>
        <x:v>0.4801587301587301</x:v>
      </x:c>
      <x:c r="C130" s="11" t="n">
        <x:f>MAX(0.0000000001,MIN(0.9999999999,RAND()))</x:f>
        <x:v>0.38538009030186127</x:v>
      </x:c>
      <x:c r="D130" s="11" t="n">
        <x:f>NORM.S.INV(C130)</x:f>
        <x:v>-0.2913806908965114</x:v>
      </x:c>
      <x:c r="E130" s="11" t="n">
        <x:f>($D$4-0.5*$F$4^2)*$H$4+$F$4*SQRT($H$4)*D130</x:f>
        <x:v>-0.003432956404563578</x:v>
      </x:c>
      <x:c r="F130" s="13" t="n">
        <x:f>F129*EXP(E130)</x:f>
        <x:v>118.15060092830683</x:v>
      </x:c>
      <x:c r="G130" s="1"/>
      <x:c r="H130" s="1"/>
    </x:row>
    <x:row r="131" ht="22" customHeight="1">
      <x:c r="A131" s="1" t="n">
        <x:v>122</x:v>
      </x:c>
      <x:c r="B131" s="11" t="n">
        <x:f>A131*$H$4</x:f>
        <x:v>0.4841269841269841</x:v>
      </x:c>
      <x:c r="C131" s="11" t="n">
        <x:f>MAX(0.0000000001,MIN(0.9999999999,RAND()))</x:f>
        <x:v>0.6315707124209211</x:v>
      </x:c>
      <x:c r="D131" s="11" t="n">
        <x:f>NORM.S.INV(C131)</x:f>
        <x:v>0.3360162995087548</x:v>
      </x:c>
      <x:c r="E131" s="11" t="n">
        <x:f>($D$4-0.5*$F$4^2)*$H$4+$F$4*SQRT($H$4)*D131</x:f>
        <x:v>0.0044715026903064765</x:v>
      </x:c>
      <x:c r="F131" s="13" t="n">
        <x:f>F130*EXP(E131)</x:f>
        <x:v>118.68009459215104</x:v>
      </x:c>
      <x:c r="G131" s="1"/>
      <x:c r="H131" s="1"/>
    </x:row>
    <x:row r="132" ht="22" customHeight="1">
      <x:c r="A132" s="1" t="n">
        <x:v>123</x:v>
      </x:c>
      <x:c r="B132" s="11" t="n">
        <x:f>A132*$H$4</x:f>
        <x:v>0.4880952380952381</x:v>
      </x:c>
      <x:c r="C132" s="11" t="n">
        <x:f>MAX(0.0000000001,MIN(0.9999999999,RAND()))</x:f>
        <x:v>0.5754696504868683</x:v>
      </x:c>
      <x:c r="D132" s="11" t="n">
        <x:f>NORM.S.INV(C132)</x:f>
        <x:v>0.19031704339544894</x:v>
      </x:c>
      <x:c r="E132" s="11" t="n">
        <x:f>($D$4-0.5*$F$4^2)*$H$4+$F$4*SQRT($H$4)*D132</x:f>
        <x:v>0.0026358646051497414</x:v>
      </x:c>
      <x:c r="F132" s="13" t="n">
        <x:f>F131*EXP(E132)</x:f>
        <x:v>118.99333189702608</x:v>
      </x:c>
      <x:c r="G132" s="1"/>
      <x:c r="H132" s="1"/>
    </x:row>
    <x:row r="133" ht="22" customHeight="1">
      <x:c r="A133" s="1" t="n">
        <x:v>124</x:v>
      </x:c>
      <x:c r="B133" s="11" t="n">
        <x:f>A133*$H$4</x:f>
        <x:v>0.49206349206349204</x:v>
      </x:c>
      <x:c r="C133" s="11" t="n">
        <x:f>MAX(0.0000000001,MIN(0.9999999999,RAND()))</x:f>
        <x:v>0.539053288754252</x:v>
      </x:c>
      <x:c r="D133" s="11" t="n">
        <x:f>NORM.S.INV(C133)</x:f>
        <x:v>0.09804895204108229</x:v>
      </x:c>
      <x:c r="E133" s="11" t="n">
        <x:f>($D$4-0.5*$F$4^2)*$H$4+$F$4*SQRT($H$4)*D133</x:f>
        <x:v>0.0014733959210057267</x:v>
      </x:c>
      <x:c r="F133" s="13" t="n">
        <x:f>F132*EXP(E133)</x:f>
        <x:v>119.16878541137528</x:v>
      </x:c>
      <x:c r="G133" s="1"/>
      <x:c r="H133" s="1"/>
    </x:row>
    <x:row r="134" ht="22" customHeight="1">
      <x:c r="A134" s="1" t="n">
        <x:v>125</x:v>
      </x:c>
      <x:c r="B134" s="11" t="n">
        <x:f>A134*$H$4</x:f>
        <x:v>0.496031746031746</x:v>
      </x:c>
      <x:c r="C134" s="11" t="n">
        <x:f>MAX(0.0000000001,MIN(0.9999999999,RAND()))</x:f>
        <x:v>0.18010797570807413</x:v>
      </x:c>
      <x:c r="D134" s="11" t="n">
        <x:f>NORM.S.INV(C134)</x:f>
        <x:v>-0.9149536725469669</x:v>
      </x:c>
      <x:c r="E134" s="11" t="n">
        <x:f>($D$4-0.5*$F$4^2)*$H$4+$F$4*SQRT($H$4)*D134</x:f>
        <x:v>-0.011289237517640476</x:v>
      </x:c>
      <x:c r="F134" s="13" t="n">
        <x:f>F133*EXP(E134)</x:f>
        <x:v>117.83102603757544</x:v>
      </x:c>
      <x:c r="G134" s="1"/>
      <x:c r="H134" s="1"/>
    </x:row>
    <x:row r="135" ht="22" customHeight="1">
      <x:c r="A135" s="1" t="n">
        <x:v>126</x:v>
      </x:c>
      <x:c r="B135" s="11" t="n">
        <x:f>A135*$H$4</x:f>
        <x:v>0.5</x:v>
      </x:c>
      <x:c r="C135" s="11" t="n">
        <x:f>MAX(0.0000000001,MIN(0.9999999999,RAND()))</x:f>
        <x:v>0.9017441576507707</x:v>
      </x:c>
      <x:c r="D135" s="11" t="n">
        <x:f>NORM.S.INV(C135)</x:f>
        <x:v>1.2915538796160326</x:v>
      </x:c>
      <x:c r="E135" s="11" t="n">
        <x:f>($D$4-0.5*$F$4^2)*$H$4+$F$4*SQRT($H$4)*D135</x:f>
        <x:v>0.016510144620498463</x:v>
      </x:c>
      <x:c r="F135" s="13" t="n">
        <x:f>F134*EXP(E135)</x:f>
        <x:v>119.79258154345128</x:v>
      </x:c>
      <x:c r="G135" s="1"/>
      <x:c r="H135" s="1"/>
    </x:row>
    <x:row r="136" ht="22" customHeight="1">
      <x:c r="A136" s="1" t="n">
        <x:v>127</x:v>
      </x:c>
      <x:c r="B136" s="11" t="n">
        <x:f>A136*$H$4</x:f>
        <x:v>0.503968253968254</x:v>
      </x:c>
      <x:c r="C136" s="11" t="n">
        <x:f>MAX(0.0000000001,MIN(0.9999999999,RAND()))</x:f>
        <x:v>0.9339401907453392</x:v>
      </x:c>
      <x:c r="D136" s="11" t="n">
        <x:f>NORM.S.INV(C136)</x:f>
        <x:v>1.5057957351315505</x:v>
      </x:c>
      <x:c r="E136" s="11" t="n">
        <x:f>($D$4-0.5*$F$4^2)*$H$4+$F$4*SQRT($H$4)*D136</x:f>
        <x:v>0.019209338287713186</x:v>
      </x:c>
      <x:c r="F136" s="13" t="n">
        <x:f>F135*EXP(E136)</x:f>
        <x:v>122.1159616203702</x:v>
      </x:c>
      <x:c r="G136" s="1"/>
      <x:c r="H136" s="1"/>
    </x:row>
    <x:row r="137" ht="22" customHeight="1">
      <x:c r="A137" s="1" t="n">
        <x:v>128</x:v>
      </x:c>
      <x:c r="B137" s="11" t="n">
        <x:f>A137*$H$4</x:f>
        <x:v>0.5079365079365079</x:v>
      </x:c>
      <x:c r="C137" s="11" t="n">
        <x:f>MAX(0.0000000001,MIN(0.9999999999,RAND()))</x:f>
        <x:v>0.2601883137457792</x:v>
      </x:c>
      <x:c r="D137" s="11" t="n">
        <x:f>NORM.S.INV(C137)</x:f>
        <x:v>-0.64276495290236</x:v>
      </x:c>
      <x:c r="E137" s="11" t="n">
        <x:f>($D$4-0.5*$F$4^2)*$H$4+$F$4*SQRT($H$4)*D137</x:f>
        <x:v>-0.00785998198498947</x:v>
      </x:c>
      <x:c r="F137" s="13" t="n">
        <x:f>F136*EXP(E137)</x:f>
        <x:v>121.15989461875112</x:v>
      </x:c>
      <x:c r="G137" s="1"/>
      <x:c r="H137" s="1"/>
    </x:row>
    <x:row r="138" ht="22" customHeight="1">
      <x:c r="A138" s="1" t="n">
        <x:v>129</x:v>
      </x:c>
      <x:c r="B138" s="11" t="n">
        <x:f>A138*$H$4</x:f>
        <x:v>0.5119047619047619</x:v>
      </x:c>
      <x:c r="C138" s="11" t="n">
        <x:f>MAX(0.0000000001,MIN(0.9999999999,RAND()))</x:f>
        <x:v>0.1354113724070789</x:v>
      </x:c>
      <x:c r="D138" s="11" t="n">
        <x:f>NORM.S.INV(C138)</x:f>
        <x:v>-1.101169841430522</x:v>
      </x:c>
      <x:c r="E138" s="11" t="n">
        <x:f>($D$4-0.5*$F$4^2)*$H$4+$F$4*SQRT($H$4)*D138</x:f>
        <x:v>-0.013635340722236149</x:v>
      </x:c>
      <x:c r="F138" s="13" t="n">
        <x:f>F137*EXP(E138)</x:f>
        <x:v>119.51905033163057</x:v>
      </x:c>
      <x:c r="G138" s="1"/>
      <x:c r="H138" s="1"/>
    </x:row>
    <x:row r="139" ht="22" customHeight="1">
      <x:c r="A139" s="1" t="n">
        <x:v>130</x:v>
      </x:c>
      <x:c r="B139" s="11" t="n">
        <x:f>A139*$H$4</x:f>
        <x:v>0.5158730158730158</x:v>
      </x:c>
      <x:c r="C139" s="11" t="n">
        <x:f>MAX(0.0000000001,MIN(0.9999999999,RAND()))</x:f>
        <x:v>0.2612403793345097</x:v>
      </x:c>
      <x:c r="D139" s="11" t="n">
        <x:f>NORM.S.INV(C139)</x:f>
        <x:v>-0.6395260714689393</x:v>
      </x:c>
      <x:c r="E139" s="11" t="n">
        <x:f>($D$4-0.5*$F$4^2)*$H$4+$F$4*SQRT($H$4)*D139</x:f>
        <x:v>-0.00781917591451873</x:v>
      </x:c>
      <x:c r="F139" s="13" t="n">
        <x:f>F138*EXP(E139)</x:f>
        <x:v>118.58815401585099</x:v>
      </x:c>
      <x:c r="G139" s="1"/>
      <x:c r="H139" s="1"/>
    </x:row>
    <x:row r="140" ht="22" customHeight="1">
      <x:c r="A140" s="1" t="n">
        <x:v>131</x:v>
      </x:c>
      <x:c r="B140" s="11" t="n">
        <x:f>A140*$H$4</x:f>
        <x:v>0.5198412698412698</x:v>
      </x:c>
      <x:c r="C140" s="11" t="n">
        <x:f>MAX(0.0000000001,MIN(0.9999999999,RAND()))</x:f>
        <x:v>0.013596938547958182</x:v>
      </x:c>
      <x:c r="D140" s="11" t="n">
        <x:f>NORM.S.INV(C140)</x:f>
        <x:v>-2.208723525126332</x:v>
      </x:c>
      <x:c r="E140" s="11" t="n">
        <x:f>($D$4-0.5*$F$4^2)*$H$4+$F$4*SQRT($H$4)*D140</x:f>
        <x:v>-0.027589205535153323</x:v>
      </x:c>
      <x:c r="F140" s="13" t="n">
        <x:f>F139*EXP(E140)</x:f>
        <x:v>115.3611213831882</x:v>
      </x:c>
      <x:c r="G140" s="1"/>
      <x:c r="H140" s="1"/>
    </x:row>
    <x:row r="141" ht="22" customHeight="1">
      <x:c r="A141" s="1" t="n">
        <x:v>132</x:v>
      </x:c>
      <x:c r="B141" s="11" t="n">
        <x:f>A141*$H$4</x:f>
        <x:v>0.5238095238095237</x:v>
      </x:c>
      <x:c r="C141" s="11" t="n">
        <x:f>MAX(0.0000000001,MIN(0.9999999999,RAND()))</x:f>
        <x:v>0.3933985406444266</x:v>
      </x:c>
      <x:c r="D141" s="11" t="n">
        <x:f>NORM.S.INV(C141)</x:f>
        <x:v>-0.2704720960878749</x:v>
      </x:c>
      <x:c r="E141" s="11" t="n">
        <x:f>($D$4-0.5*$F$4^2)*$H$4+$F$4*SQRT($H$4)*D141</x:f>
        <x:v>-0.003169532870623253</x:v>
      </x:c>
      <x:c r="F141" s="13" t="n">
        <x:f>F140*EXP(E141)</x:f>
        <x:v>114.99605936062822</x:v>
      </x:c>
      <x:c r="G141" s="1"/>
      <x:c r="H141" s="1"/>
    </x:row>
    <x:row r="142" ht="22" customHeight="1">
      <x:c r="A142" s="1" t="n">
        <x:v>133</x:v>
      </x:c>
      <x:c r="B142" s="11" t="n">
        <x:f>A142*$H$4</x:f>
        <x:v>0.5277777777777778</x:v>
      </x:c>
      <x:c r="C142" s="11" t="n">
        <x:f>MAX(0.0000000001,MIN(0.9999999999,RAND()))</x:f>
        <x:v>0.39339447183625575</x:v>
      </x:c>
      <x:c r="D142" s="11" t="n">
        <x:f>NORM.S.INV(C142)</x:f>
        <x:v>-0.27048267505361046</x:v>
      </x:c>
      <x:c r="E142" s="11" t="n">
        <x:f>($D$4-0.5*$F$4^2)*$H$4+$F$4*SQRT($H$4)*D142</x:f>
        <x:v>-0.00316966615306356</x:v>
      </x:c>
      <x:c r="F142" s="13" t="n">
        <x:f>F141*EXP(E142)</x:f>
        <x:v>114.632137303937</x:v>
      </x:c>
      <x:c r="G142" s="1"/>
      <x:c r="H142" s="1"/>
    </x:row>
    <x:row r="143" ht="22" customHeight="1">
      <x:c r="A143" s="1" t="n">
        <x:v>134</x:v>
      </x:c>
      <x:c r="B143" s="11" t="n">
        <x:f>A143*$H$4</x:f>
        <x:v>0.5317460317460317</x:v>
      </x:c>
      <x:c r="C143" s="11" t="n">
        <x:f>MAX(0.0000000001,MIN(0.9999999999,RAND()))</x:f>
        <x:v>0.1487744031879863</x:v>
      </x:c>
      <x:c r="D143" s="11" t="n">
        <x:f>NORM.S.INV(C143)</x:f>
        <x:v>-1.0417042750143526</x:v>
      </x:c>
      <x:c r="E143" s="11" t="n">
        <x:f>($D$4-0.5*$F$4^2)*$H$4+$F$4*SQRT($H$4)*D143</x:f>
        <x:v>-0.01288614500648006</x:v>
      </x:c>
      <x:c r="F143" s="13" t="n">
        <x:f>F142*EXP(E143)</x:f>
        <x:v>113.16444770019784</x:v>
      </x:c>
      <x:c r="G143" s="1"/>
      <x:c r="H143" s="1"/>
    </x:row>
    <x:row r="144" ht="22" customHeight="1">
      <x:c r="A144" s="1" t="n">
        <x:v>135</x:v>
      </x:c>
      <x:c r="B144" s="11" t="n">
        <x:f>A144*$H$4</x:f>
        <x:v>0.5357142857142857</x:v>
      </x:c>
      <x:c r="C144" s="11" t="n">
        <x:f>MAX(0.0000000001,MIN(0.9999999999,RAND()))</x:f>
        <x:v>0.4101678336218645</x:v>
      </x:c>
      <x:c r="D144" s="11" t="n">
        <x:f>NORM.S.INV(C144)</x:f>
        <x:v>-0.227113267987388</x:v>
      </x:c>
      <x:c r="E144" s="11" t="n">
        <x:f>($D$4-0.5*$F$4^2)*$H$4+$F$4*SQRT($H$4)*D144</x:f>
        <x:v>-0.0026232629835133124</x:v>
      </x:c>
      <x:c r="F144" s="13" t="n">
        <x:f>F143*EXP(E144)</x:f>
        <x:v>112.86797662430972</x:v>
      </x:c>
      <x:c r="G144" s="1"/>
      <x:c r="H144" s="1"/>
    </x:row>
    <x:row r="145" ht="22" customHeight="1">
      <x:c r="A145" s="1" t="n">
        <x:v>136</x:v>
      </x:c>
      <x:c r="B145" s="11" t="n">
        <x:f>A145*$H$4</x:f>
        <x:v>0.5396825396825397</x:v>
      </x:c>
      <x:c r="C145" s="11" t="n">
        <x:f>MAX(0.0000000001,MIN(0.9999999999,RAND()))</x:f>
        <x:v>0.2938487549242659</x:v>
      </x:c>
      <x:c r="D145" s="11" t="n">
        <x:f>NORM.S.INV(C145)</x:f>
        <x:v>-0.5421756474272994</x:v>
      </x:c>
      <x:c r="E145" s="11" t="n">
        <x:f>($D$4-0.5*$F$4^2)*$H$4+$F$4*SQRT($H$4)*D145</x:f>
        <x:v>-0.00659267585718129</x:v>
      </x:c>
      <x:c r="F145" s="13" t="n">
        <x:f>F144*EXP(E145)</x:f>
        <x:v>112.12632207003911</x:v>
      </x:c>
      <x:c r="G145" s="1"/>
      <x:c r="H145" s="1"/>
    </x:row>
    <x:row r="146" ht="22" customHeight="1">
      <x:c r="A146" s="1" t="n">
        <x:v>137</x:v>
      </x:c>
      <x:c r="B146" s="11" t="n">
        <x:f>A146*$H$4</x:f>
        <x:v>0.5436507936507936</x:v>
      </x:c>
      <x:c r="C146" s="11" t="n">
        <x:f>MAX(0.0000000001,MIN(0.9999999999,RAND()))</x:f>
        <x:v>0.019004124631543884</x:v>
      </x:c>
      <x:c r="D146" s="11" t="n">
        <x:f>NORM.S.INV(C146)</x:f>
        <x:v>-2.0747657612994805</x:v>
      </x:c>
      <x:c r="E146" s="11" t="n">
        <x:f>($D$4-0.5*$F$4^2)*$H$4+$F$4*SQRT($H$4)*D146</x:f>
        <x:v>-0.025901496348142972</x:v>
      </x:c>
      <x:c r="F146" s="13" t="n">
        <x:f>F145*EXP(E146)</x:f>
        <x:v>109.25937197869779</x:v>
      </x:c>
      <x:c r="G146" s="1"/>
      <x:c r="H146" s="1"/>
    </x:row>
    <x:row r="147" ht="22" customHeight="1">
      <x:c r="A147" s="1" t="n">
        <x:v>138</x:v>
      </x:c>
      <x:c r="B147" s="11" t="n">
        <x:f>A147*$H$4</x:f>
        <x:v>0.5476190476190476</x:v>
      </x:c>
      <x:c r="C147" s="11" t="n">
        <x:f>MAX(0.0000000001,MIN(0.9999999999,RAND()))</x:f>
        <x:v>0.2686296753237629</x:v>
      </x:c>
      <x:c r="D147" s="11" t="n">
        <x:f>NORM.S.INV(C147)</x:f>
        <x:v>-0.6169626667813285</x:v>
      </x:c>
      <x:c r="E147" s="11" t="n">
        <x:f>($D$4-0.5*$F$4^2)*$H$4+$F$4*SQRT($H$4)*D147</x:f>
        <x:v>-0.007534903735783839</x:v>
      </x:c>
      <x:c r="F147" s="13" t="n">
        <x:f>F146*EXP(E147)</x:f>
        <x:v>108.43920694129498</x:v>
      </x:c>
      <x:c r="G147" s="1"/>
      <x:c r="H147" s="1"/>
    </x:row>
    <x:row r="148" ht="22" customHeight="1">
      <x:c r="A148" s="1" t="n">
        <x:v>139</x:v>
      </x:c>
      <x:c r="B148" s="11" t="n">
        <x:f>A148*$H$4</x:f>
        <x:v>0.5515873015873015</x:v>
      </x:c>
      <x:c r="C148" s="11" t="n">
        <x:f>MAX(0.0000000001,MIN(0.9999999999,RAND()))</x:f>
        <x:v>0.314787633972304</x:v>
      </x:c>
      <x:c r="D148" s="11" t="n">
        <x:f>NORM.S.INV(C148)</x:f>
        <x:v>-0.4823247500608025</x:v>
      </x:c>
      <x:c r="E148" s="11" t="n">
        <x:f>($D$4-0.5*$F$4^2)*$H$4+$F$4*SQRT($H$4)*D148</x:f>
        <x:v>-0.005838625427772711</x:v>
      </x:c>
      <x:c r="F148" s="13" t="n">
        <x:f>F147*EXP(E148)</x:f>
        <x:v>107.80791576001987</x:v>
      </x:c>
      <x:c r="G148" s="1"/>
      <x:c r="H148" s="1"/>
    </x:row>
    <x:row r="149" ht="22" customHeight="1">
      <x:c r="A149" s="1" t="n">
        <x:v>140</x:v>
      </x:c>
      <x:c r="B149" s="11" t="n">
        <x:f>A149*$H$4</x:f>
        <x:v>0.5555555555555556</x:v>
      </x:c>
      <x:c r="C149" s="11" t="n">
        <x:f>MAX(0.0000000001,MIN(0.9999999999,RAND()))</x:f>
        <x:v>0.30937509023755705</x:v>
      </x:c>
      <x:c r="D149" s="11" t="n">
        <x:f>NORM.S.INV(C149)</x:f>
        <x:v>-0.49762244531259653</x:v>
      </x:c>
      <x:c r="E149" s="11" t="n">
        <x:f>($D$4-0.5*$F$4^2)*$H$4+$F$4*SQRT($H$4)*D149</x:f>
        <x:v>-0.006031358271909381</x:v>
      </x:c>
      <x:c r="F149" s="13" t="n">
        <x:f>F148*EXP(E149)</x:f>
        <x:v>107.15964453871416</x:v>
      </x:c>
      <x:c r="G149" s="1"/>
      <x:c r="H149" s="1"/>
    </x:row>
    <x:row r="150" ht="22" customHeight="1">
      <x:c r="A150" s="1" t="n">
        <x:v>141</x:v>
      </x:c>
      <x:c r="B150" s="11" t="n">
        <x:f>A150*$H$4</x:f>
        <x:v>0.5595238095238095</x:v>
      </x:c>
      <x:c r="C150" s="11" t="n">
        <x:f>MAX(0.0000000001,MIN(0.9999999999,RAND()))</x:f>
        <x:v>0.4887932997796267</x:v>
      </x:c>
      <x:c r="D150" s="11" t="n">
        <x:f>NORM.S.INV(C150)</x:f>
        <x:v>-0.028094727125622655</x:v>
      </x:c>
      <x:c r="E150" s="11" t="n">
        <x:f>($D$4-0.5*$F$4^2)*$H$4+$F$4*SQRT($H$4)*D150</x:f>
        <x:v>-0.00011586505298389555</x:v>
      </x:c>
      <x:c r="F150" s="13" t="n">
        <x:f>F149*EXP(E150)</x:f>
        <x:v>107.14722920008776</x:v>
      </x:c>
      <x:c r="G150" s="1"/>
      <x:c r="H150" s="1"/>
    </x:row>
    <x:row r="151" ht="22" customHeight="1">
      <x:c r="A151" s="1" t="n">
        <x:v>142</x:v>
      </x:c>
      <x:c r="B151" s="11" t="n">
        <x:f>A151*$H$4</x:f>
        <x:v>0.5634920634920635</x:v>
      </x:c>
      <x:c r="C151" s="11" t="n">
        <x:f>MAX(0.0000000001,MIN(0.9999999999,RAND()))</x:f>
        <x:v>0.2555682004863904</x:v>
      </x:c>
      <x:c r="D151" s="11" t="n">
        <x:f>NORM.S.INV(C151)</x:f>
        <x:v>-0.6570692328744818</x:v>
      </x:c>
      <x:c r="E151" s="11" t="n">
        <x:f>($D$4-0.5*$F$4^2)*$H$4+$F$4*SQRT($H$4)*D151</x:f>
        <x:v>-0.008040198973037453</x:v>
      </x:c>
      <x:c r="F151" s="13" t="n">
        <x:f>F150*EXP(E151)</x:f>
        <x:v>106.28919815035731</x:v>
      </x:c>
      <x:c r="G151" s="1"/>
      <x:c r="H151" s="1"/>
    </x:row>
    <x:row r="152" ht="22" customHeight="1">
      <x:c r="A152" s="1" t="n">
        <x:v>143</x:v>
      </x:c>
      <x:c r="B152" s="11" t="n">
        <x:f>A152*$H$4</x:f>
        <x:v>0.5674603174603174</x:v>
      </x:c>
      <x:c r="C152" s="11" t="n">
        <x:f>MAX(0.0000000001,MIN(0.9999999999,RAND()))</x:f>
        <x:v>0.1973868677351336</x:v>
      </x:c>
      <x:c r="D152" s="11" t="n">
        <x:f>NORM.S.INV(C152)</x:f>
        <x:v>-0.8509921103648534</x:v>
      </x:c>
      <x:c r="E152" s="11" t="n">
        <x:f>($D$4-0.5*$F$4^2)*$H$4+$F$4*SQRT($H$4)*D152</x:f>
        <x:v>-0.01048339757954016</x:v>
      </x:c>
      <x:c r="F152" s="13" t="n">
        <x:f>F151*EXP(E152)</x:f>
        <x:v>105.18074654885544</x:v>
      </x:c>
      <x:c r="G152" s="1"/>
      <x:c r="H152" s="1"/>
    </x:row>
    <x:row r="153" ht="22" customHeight="1">
      <x:c r="A153" s="1" t="n">
        <x:v>144</x:v>
      </x:c>
      <x:c r="B153" s="11" t="n">
        <x:f>A153*$H$4</x:f>
        <x:v>0.5714285714285714</x:v>
      </x:c>
      <x:c r="C153" s="11" t="n">
        <x:f>MAX(0.0000000001,MIN(0.9999999999,RAND()))</x:f>
        <x:v>0.36655606992598677</x:v>
      </x:c>
      <x:c r="D153" s="11" t="n">
        <x:f>NORM.S.INV(C153)</x:f>
        <x:v>-0.3409886319161861</x:v>
      </x:c>
      <x:c r="E153" s="11" t="n">
        <x:f>($D$4-0.5*$F$4^2)*$H$4+$F$4*SQRT($H$4)*D153</x:f>
        <x:v>-0.004057957714049384</x:v>
      </x:c>
      <x:c r="F153" s="13" t="n">
        <x:f>F152*EXP(E153)</x:f>
        <x:v>104.75479236358022</x:v>
      </x:c>
      <x:c r="G153" s="1"/>
      <x:c r="H153" s="1"/>
    </x:row>
    <x:row r="154" ht="22" customHeight="1">
      <x:c r="A154" s="1" t="n">
        <x:v>145</x:v>
      </x:c>
      <x:c r="B154" s="11" t="n">
        <x:f>A154*$H$4</x:f>
        <x:v>0.5753968253968254</x:v>
      </x:c>
      <x:c r="C154" s="11" t="n">
        <x:f>MAX(0.0000000001,MIN(0.9999999999,RAND()))</x:f>
        <x:v>0.09415059876320031</x:v>
      </x:c>
      <x:c r="D154" s="11" t="n">
        <x:f>NORM.S.INV(C154)</x:f>
        <x:v>-1.3156212501955502</x:v>
      </x:c>
      <x:c r="E154" s="11" t="n">
        <x:f>($D$4-0.5*$F$4^2)*$H$4+$F$4*SQRT($H$4)*D154</x:f>
        <x:v>-0.016337174512234823</x:v>
      </x:c>
      <x:c r="F154" s="13" t="n">
        <x:f>F153*EXP(E154)</x:f>
        <x:v>103.0572989184449</x:v>
      </x:c>
      <x:c r="G154" s="1"/>
      <x:c r="H154" s="1"/>
    </x:row>
    <x:row r="155" ht="22" customHeight="1">
      <x:c r="A155" s="1" t="n">
        <x:v>146</x:v>
      </x:c>
      <x:c r="B155" s="11" t="n">
        <x:f>A155*$H$4</x:f>
        <x:v>0.5793650793650793</x:v>
      </x:c>
      <x:c r="C155" s="11" t="n">
        <x:f>MAX(0.0000000001,MIN(0.9999999999,RAND()))</x:f>
        <x:v>0.09204892179054236</x:v>
      </x:c>
      <x:c r="D155" s="11" t="n">
        <x:f>NORM.S.INV(C155)</x:f>
        <x:v>-1.3282429990683735</x:v>
      </x:c>
      <x:c r="E155" s="11" t="n">
        <x:f>($D$4-0.5*$F$4^2)*$H$4+$F$4*SQRT($H$4)*D155</x:f>
        <x:v>-0.01649619360094054</x:v>
      </x:c>
      <x:c r="F155" s="13" t="n">
        <x:f>F154*EXP(E155)</x:f>
        <x:v>101.37119117909486</x:v>
      </x:c>
      <x:c r="G155" s="1"/>
      <x:c r="H155" s="1"/>
    </x:row>
    <x:row r="156" ht="22" customHeight="1">
      <x:c r="A156" s="1" t="n">
        <x:v>147</x:v>
      </x:c>
      <x:c r="B156" s="11" t="n">
        <x:f>A156*$H$4</x:f>
        <x:v>0.5833333333333333</x:v>
      </x:c>
      <x:c r="C156" s="11" t="n">
        <x:f>MAX(0.0000000001,MIN(0.9999999999,RAND()))</x:f>
        <x:v>0.15121569169572413</x:v>
      </x:c>
      <x:c r="D156" s="11" t="n">
        <x:f>NORM.S.INV(C156)</x:f>
        <x:v>-1.0312333958186857</x:v>
      </x:c>
      <x:c r="E156" s="11" t="n">
        <x:f>($D$4-0.5*$F$4^2)*$H$4+$F$4*SQRT($H$4)*D156</x:f>
        <x:v>-0.012754224328575607</x:v>
      </x:c>
      <x:c r="F156" s="13" t="n">
        <x:f>F155*EXP(E156)</x:f>
        <x:v>100.08649036271382</x:v>
      </x:c>
      <x:c r="G156" s="1"/>
      <x:c r="H156" s="1"/>
    </x:row>
    <x:row r="157" ht="22" customHeight="1">
      <x:c r="A157" s="1" t="n">
        <x:v>148</x:v>
      </x:c>
      <x:c r="B157" s="11" t="n">
        <x:f>A157*$H$4</x:f>
        <x:v>0.5873015873015872</x:v>
      </x:c>
      <x:c r="C157" s="11" t="n">
        <x:f>MAX(0.0000000001,MIN(0.9999999999,RAND()))</x:f>
        <x:v>0.1878546481924589</x:v>
      </x:c>
      <x:c r="D157" s="11" t="n">
        <x:f>NORM.S.INV(C157)</x:f>
        <x:v>-0.8858297121176402</x:v>
      </x:c>
      <x:c r="E157" s="11" t="n">
        <x:f>($D$4-0.5*$F$4^2)*$H$4+$F$4*SQRT($H$4)*D157</x:f>
        <x:v>-0.01092231010578674</x:v>
      </x:c>
      <x:c r="F157" s="13" t="n">
        <x:f>F156*EXP(E157)</x:f>
        <x:v>98.99926300330574</x:v>
      </x:c>
      <x:c r="G157" s="1"/>
      <x:c r="H157" s="1"/>
    </x:row>
    <x:row r="158" ht="22" customHeight="1">
      <x:c r="A158" s="1" t="n">
        <x:v>149</x:v>
      </x:c>
      <x:c r="B158" s="11" t="n">
        <x:f>A158*$H$4</x:f>
        <x:v>0.5912698412698413</x:v>
      </x:c>
      <x:c r="C158" s="11" t="n">
        <x:f>MAX(0.0000000001,MIN(0.9999999999,RAND()))</x:f>
        <x:v>0.22700705227183937</x:v>
      </x:c>
      <x:c r="D158" s="11" t="n">
        <x:f>NORM.S.INV(C158)</x:f>
        <x:v>-0.7487397097349008</x:v>
      </x:c>
      <x:c r="E158" s="11" t="n">
        <x:f>($D$4-0.5*$F$4^2)*$H$4+$F$4*SQRT($H$4)*D158</x:f>
        <x:v>-0.009195138422272547</x:v>
      </x:c>
      <x:c r="F158" s="13" t="n">
        <x:f>F157*EXP(E158)</x:f>
        <x:v>98.09312349991119</x:v>
      </x:c>
      <x:c r="G158" s="1"/>
      <x:c r="H158" s="1"/>
    </x:row>
    <x:row r="159" ht="22" customHeight="1">
      <x:c r="A159" s="1" t="n">
        <x:v>150</x:v>
      </x:c>
      <x:c r="B159" s="11" t="n">
        <x:f>A159*$H$4</x:f>
        <x:v>0.5952380952380952</x:v>
      </x:c>
      <x:c r="C159" s="11" t="n">
        <x:f>MAX(0.0000000001,MIN(0.9999999999,RAND()))</x:f>
        <x:v>0.03165602780158372</x:v>
      </x:c>
      <x:c r="D159" s="11" t="n">
        <x:f>NORM.S.INV(C159)</x:f>
        <x:v>-1.8569936634316653</x:v>
      </x:c>
      <x:c r="E159" s="11" t="n">
        <x:f>($D$4-0.5*$F$4^2)*$H$4+$F$4*SQRT($H$4)*D159</x:f>
        <x:v>-0.023157825807918885</x:v>
      </x:c>
      <x:c r="F159" s="13" t="n">
        <x:f>F158*EXP(E159)</x:f>
        <x:v>95.84760109372625</x:v>
      </x:c>
      <x:c r="G159" s="1"/>
      <x:c r="H159" s="1"/>
    </x:row>
    <x:row r="160" ht="22" customHeight="1">
      <x:c r="A160" s="1" t="n">
        <x:v>151</x:v>
      </x:c>
      <x:c r="B160" s="11" t="n">
        <x:f>A160*$H$4</x:f>
        <x:v>0.5992063492063492</x:v>
      </x:c>
      <x:c r="C160" s="11" t="n">
        <x:f>MAX(0.0000000001,MIN(0.9999999999,RAND()))</x:f>
        <x:v>0.8012716766234336</x:v>
      </x:c>
      <x:c r="D160" s="11" t="n">
        <x:f>NORM.S.INV(C160)</x:f>
        <x:v>0.8461722739122444</x:v>
      </x:c>
      <x:c r="E160" s="11" t="n">
        <x:f>($D$4-0.5*$F$4^2)*$H$4+$F$4*SQRT($H$4)*D160</x:f>
        <x:v>0.01089886382423727</x:v>
      </x:c>
      <x:c r="F160" s="13" t="n">
        <x:f>F159*EXP(E160)</x:f>
        <x:v>96.89794442329963</x:v>
      </x:c>
      <x:c r="G160" s="1"/>
      <x:c r="H160" s="1"/>
    </x:row>
    <x:row r="161" ht="22" customHeight="1">
      <x:c r="A161" s="1" t="n">
        <x:v>152</x:v>
      </x:c>
      <x:c r="B161" s="11" t="n">
        <x:f>A161*$H$4</x:f>
        <x:v>0.6031746031746031</x:v>
      </x:c>
      <x:c r="C161" s="11" t="n">
        <x:f>MAX(0.0000000001,MIN(0.9999999999,RAND()))</x:f>
        <x:v>0.1360939629045148</x:v>
      </x:c>
      <x:c r="D161" s="11" t="n">
        <x:f>NORM.S.INV(C161)</x:f>
        <x:v>-1.0980379326953922</x:v>
      </x:c>
      <x:c r="E161" s="11" t="n">
        <x:f>($D$4-0.5*$F$4^2)*$H$4+$F$4*SQRT($H$4)*D161</x:f>
        <x:v>-0.01359588238108327</x:v>
      </x:c>
      <x:c r="F161" s="13" t="n">
        <x:f>F160*EXP(E161)</x:f>
        <x:v>95.58944661513961</x:v>
      </x:c>
      <x:c r="G161" s="1"/>
      <x:c r="H161" s="1"/>
    </x:row>
    <x:row r="162" ht="22" customHeight="1">
      <x:c r="A162" s="1" t="n">
        <x:v>153</x:v>
      </x:c>
      <x:c r="B162" s="11" t="n">
        <x:f>A162*$H$4</x:f>
        <x:v>0.6071428571428571</x:v>
      </x:c>
      <x:c r="C162" s="11" t="n">
        <x:f>MAX(0.0000000001,MIN(0.9999999999,RAND()))</x:f>
        <x:v>0.6223962831464087</x:v>
      </x:c>
      <x:c r="D162" s="11" t="n">
        <x:f>NORM.S.INV(C162)</x:f>
        <x:v>0.31178038278854353</x:v>
      </x:c>
      <x:c r="E162" s="11" t="n">
        <x:f>($D$4-0.5*$F$4^2)*$H$4+$F$4*SQRT($H$4)*D162</x:f>
        <x:v>0.004166158840604805</x:v>
      </x:c>
      <x:c r="F162" s="13" t="n">
        <x:f>F161*EXP(E162)</x:f>
        <x:v>95.98851815371347</x:v>
      </x:c>
      <x:c r="G162" s="1"/>
      <x:c r="H162" s="1"/>
    </x:row>
    <x:row r="163" ht="22" customHeight="1">
      <x:c r="A163" s="1" t="n">
        <x:v>154</x:v>
      </x:c>
      <x:c r="B163" s="11" t="n">
        <x:f>A163*$H$4</x:f>
        <x:v>0.611111111111111</x:v>
      </x:c>
      <x:c r="C163" s="11" t="n">
        <x:f>MAX(0.0000000001,MIN(0.9999999999,RAND()))</x:f>
        <x:v>0.2587664126122903</x:v>
      </x:c>
      <x:c r="D163" s="11" t="n">
        <x:f>NORM.S.INV(C163)</x:f>
        <x:v>-0.6471531563041565</x:v>
      </x:c>
      <x:c r="E163" s="11" t="n">
        <x:f>($D$4-0.5*$F$4^2)*$H$4+$F$4*SQRT($H$4)*D163</x:f>
        <x:v>-0.007915268151196714</x:v>
      </x:c>
      <x:c r="F163" s="13" t="n">
        <x:f>F162*EXP(E163)</x:f>
        <x:v>95.23174228614116</x:v>
      </x:c>
      <x:c r="G163" s="1"/>
      <x:c r="H163" s="1"/>
    </x:row>
    <x:row r="164" ht="22" customHeight="1">
      <x:c r="A164" s="1" t="n">
        <x:v>155</x:v>
      </x:c>
      <x:c r="B164" s="11" t="n">
        <x:f>A164*$H$4</x:f>
        <x:v>0.615079365079365</x:v>
      </x:c>
      <x:c r="C164" s="11" t="n">
        <x:f>MAX(0.0000000001,MIN(0.9999999999,RAND()))</x:f>
        <x:v>0.8441470886786511</x:v>
      </x:c>
      <x:c r="D164" s="11" t="n">
        <x:f>NORM.S.INV(C164)</x:f>
        <x:v>1.0116491793282774</x:v>
      </x:c>
      <x:c r="E164" s="11" t="n">
        <x:f>($D$4-0.5*$F$4^2)*$H$4+$F$4*SQRT($H$4)*D164</x:f>
        <x:v>0.012983676869262892</x:v>
      </x:c>
      <x:c r="F164" s="13" t="n">
        <x:f>F163*EXP(E164)</x:f>
        <x:v>96.47626219490515</x:v>
      </x:c>
      <x:c r="G164" s="1"/>
      <x:c r="H164" s="1"/>
    </x:row>
    <x:row r="165" ht="22" customHeight="1">
      <x:c r="A165" s="1" t="n">
        <x:v>156</x:v>
      </x:c>
      <x:c r="B165" s="11" t="n">
        <x:f>A165*$H$4</x:f>
        <x:v>0.6190476190476191</x:v>
      </x:c>
      <x:c r="C165" s="11" t="n">
        <x:f>MAX(0.0000000001,MIN(0.9999999999,RAND()))</x:f>
        <x:v>0.43059968395220394</x:v>
      </x:c>
      <x:c r="D165" s="11" t="n">
        <x:f>NORM.S.INV(C165)</x:f>
        <x:v>-0.1748476217662932</x:v>
      </x:c>
      <x:c r="E165" s="11" t="n">
        <x:f>($D$4-0.5*$F$4^2)*$H$4+$F$4*SQRT($H$4)*D165</x:f>
        <x:v>-0.0019647777358318855</x:v>
      </x:c>
      <x:c r="F165" s="13" t="n">
        <x:f>F164*EXP(E165)</x:f>
        <x:v>96.28689387715464</x:v>
      </x:c>
      <x:c r="G165" s="1"/>
      <x:c r="H165" s="1"/>
    </x:row>
    <x:row r="166" ht="22" customHeight="1">
      <x:c r="A166" s="1" t="n">
        <x:v>157</x:v>
      </x:c>
      <x:c r="B166" s="11" t="n">
        <x:f>A166*$H$4</x:f>
        <x:v>0.623015873015873</x:v>
      </x:c>
      <x:c r="C166" s="11" t="n">
        <x:f>MAX(0.0000000001,MIN(0.9999999999,RAND()))</x:f>
        <x:v>0.7952328313658232</x:v>
      </x:c>
      <x:c r="D166" s="11" t="n">
        <x:f>NORM.S.INV(C166)</x:f>
        <x:v>0.8247133735328616</x:v>
      </x:c>
      <x:c r="E166" s="11" t="n">
        <x:f>($D$4-0.5*$F$4^2)*$H$4+$F$4*SQRT($H$4)*D166</x:f>
        <x:v>0.010628507091795572</x:v>
      </x:c>
      <x:c r="F166" s="13" t="n">
        <x:f>F165*EXP(E166)</x:f>
        <x:v>97.31573766303832</x:v>
      </x:c>
      <x:c r="G166" s="1"/>
      <x:c r="H166" s="1"/>
    </x:row>
    <x:row r="167" ht="22" customHeight="1">
      <x:c r="A167" s="1" t="n">
        <x:v>158</x:v>
      </x:c>
      <x:c r="B167" s="11" t="n">
        <x:f>A167*$H$4</x:f>
        <x:v>0.626984126984127</x:v>
      </x:c>
      <x:c r="C167" s="11" t="n">
        <x:f>MAX(0.0000000001,MIN(0.9999999999,RAND()))</x:f>
        <x:v>0.05427082269173866</x:v>
      </x:c>
      <x:c r="D167" s="11" t="n">
        <x:f>NORM.S.INV(C167)</x:f>
        <x:v>-1.6047826505519862</x:v>
      </x:c>
      <x:c r="E167" s="11" t="n">
        <x:f>($D$4-0.5*$F$4^2)*$H$4+$F$4*SQRT($H$4)*D167</x:f>
        <x:v>-0.01998026572224584</x:v>
      </x:c>
      <x:c r="F167" s="13" t="n">
        <x:f>F166*EXP(E167)</x:f>
        <x:v>95.39063939597696</x:v>
      </x:c>
      <x:c r="G167" s="1"/>
      <x:c r="H167" s="1"/>
    </x:row>
    <x:row r="168" ht="22" customHeight="1">
      <x:c r="A168" s="1" t="n">
        <x:v>159</x:v>
      </x:c>
      <x:c r="B168" s="11" t="n">
        <x:f>A168*$H$4</x:f>
        <x:v>0.6309523809523809</x:v>
      </x:c>
      <x:c r="C168" s="11" t="n">
        <x:f>MAX(0.0000000001,MIN(0.9999999999,RAND()))</x:f>
        <x:v>0.8540152445494631</x:v>
      </x:c>
      <x:c r="D168" s="11" t="n">
        <x:f>NORM.S.INV(C168)</x:f>
        <x:v>1.0538108807946913</x:v>
      </x:c>
      <x:c r="E168" s="11" t="n">
        <x:f>($D$4-0.5*$F$4^2)*$H$4+$F$4*SQRT($H$4)*D168</x:f>
        <x:v>0.013514864378460409</x:v>
      </x:c>
      <x:c r="F168" s="13" t="n">
        <x:f>F167*EXP(E168)</x:f>
        <x:v>96.68858195332918</x:v>
      </x:c>
      <x:c r="G168" s="1"/>
      <x:c r="H168" s="1"/>
    </x:row>
    <x:row r="169" ht="22" customHeight="1">
      <x:c r="A169" s="1" t="n">
        <x:v>160</x:v>
      </x:c>
      <x:c r="B169" s="11" t="n">
        <x:f>A169*$H$4</x:f>
        <x:v>0.6349206349206349</x:v>
      </x:c>
      <x:c r="C169" s="11" t="n">
        <x:f>MAX(0.0000000001,MIN(0.9999999999,RAND()))</x:f>
        <x:v>0.9697382669048737</x:v>
      </x:c>
      <x:c r="D169" s="11" t="n">
        <x:f>NORM.S.INV(C169)</x:f>
        <x:v>1.876960803781527</x:v>
      </x:c>
      <x:c r="E169" s="11" t="n">
        <x:f>($D$4-0.5*$F$4^2)*$H$4+$F$4*SQRT($H$4)*D169</x:f>
        <x:v>0.02388557860677059</x:v>
      </x:c>
      <x:c r="F169" s="13" t="n">
        <x:f>F168*EXP(E169)</x:f>
        <x:v>99.02584702172645</x:v>
      </x:c>
      <x:c r="G169" s="1"/>
      <x:c r="H169" s="1"/>
    </x:row>
    <x:row r="170" ht="22" customHeight="1">
      <x:c r="A170" s="1" t="n">
        <x:v>161</x:v>
      </x:c>
      <x:c r="B170" s="11" t="n">
        <x:f>A170*$H$4</x:f>
        <x:v>0.6388888888888888</x:v>
      </x:c>
      <x:c r="C170" s="11" t="n">
        <x:f>MAX(0.0000000001,MIN(0.9999999999,RAND()))</x:f>
        <x:v>0.7781575796347999</x:v>
      </x:c>
      <x:c r="D170" s="11" t="n">
        <x:f>NORM.S.INV(C170)</x:f>
        <x:v>0.7659856499343408</x:v>
      </x:c>
      <x:c r="E170" s="11" t="n">
        <x:f>($D$4-0.5*$F$4^2)*$H$4+$F$4*SQRT($H$4)*D170</x:f>
        <x:v>0.009888607321764024</x:v>
      </x:c>
      <x:c r="F170" s="13" t="n">
        <x:f>F169*EXP(E170)</x:f>
        <x:v>100.00993233523194</x:v>
      </x:c>
      <x:c r="G170" s="1"/>
      <x:c r="H170" s="1"/>
    </x:row>
    <x:row r="171" ht="22" customHeight="1">
      <x:c r="A171" s="1" t="n">
        <x:v>162</x:v>
      </x:c>
      <x:c r="B171" s="11" t="n">
        <x:f>A171*$H$4</x:f>
        <x:v>0.6428571428571428</x:v>
      </x:c>
      <x:c r="C171" s="11" t="n">
        <x:f>MAX(0.0000000001,MIN(0.9999999999,RAND()))</x:f>
        <x:v>0.5994718847859084</x:v>
      </x:c>
      <x:c r="D171" s="11" t="n">
        <x:f>NORM.S.INV(C171)</x:f>
        <x:v>0.2519803782569368</x:v>
      </x:c>
      <x:c r="E171" s="11" t="n">
        <x:f>($D$4-0.5*$F$4^2)*$H$4+$F$4*SQRT($H$4)*D171</x:f>
        <x:v>0.0034127496006468674</x:v>
      </x:c>
      <x:c r="F171" s="13" t="n">
        <x:f>F170*EXP(E171)</x:f>
        <x:v>100.35182425579687</x:v>
      </x:c>
      <x:c r="G171" s="1"/>
      <x:c r="H171" s="1"/>
    </x:row>
    <x:row r="172" ht="22" customHeight="1">
      <x:c r="A172" s="1" t="n">
        <x:v>163</x:v>
      </x:c>
      <x:c r="B172" s="11" t="n">
        <x:f>A172*$H$4</x:f>
        <x:v>0.6468253968253967</x:v>
      </x:c>
      <x:c r="C172" s="11" t="n">
        <x:f>MAX(0.0000000001,MIN(0.9999999999,RAND()))</x:f>
        <x:v>0.5801194658291854</x:v>
      </x:c>
      <x:c r="D172" s="11" t="n">
        <x:f>NORM.S.INV(C172)</x:f>
        <x:v>0.20219911068583934</x:v>
      </x:c>
      <x:c r="E172" s="11" t="n">
        <x:f>($D$4-0.5*$F$4^2)*$H$4+$F$4*SQRT($H$4)*D172</x:f>
        <x:v>0.002785564581872161</x:v>
      </x:c>
      <x:c r="F172" s="13" t="n">
        <x:f>F171*EXP(E172)</x:f>
        <x:v>100.63175043839576</x:v>
      </x:c>
      <x:c r="G172" s="1"/>
      <x:c r="H172" s="1"/>
    </x:row>
    <x:row r="173" ht="22" customHeight="1">
      <x:c r="A173" s="1" t="n">
        <x:v>164</x:v>
      </x:c>
      <x:c r="B173" s="11" t="n">
        <x:f>A173*$H$4</x:f>
        <x:v>0.6507936507936507</x:v>
      </x:c>
      <x:c r="C173" s="11" t="n">
        <x:f>MAX(0.0000000001,MIN(0.9999999999,RAND()))</x:f>
        <x:v>0.14074470566190433</x:v>
      </x:c>
      <x:c r="D173" s="11" t="n">
        <x:f>NORM.S.INV(C173)</x:f>
        <x:v>-1.0769795287566284</x:v>
      </x:c>
      <x:c r="E173" s="11" t="n">
        <x:f>($D$4-0.5*$F$4^2)*$H$4+$F$4*SQRT($H$4)*D173</x:f>
        <x:v>-0.01333057142951226</x:v>
      </x:c>
      <x:c r="F173" s="13" t="n">
        <x:f>F172*EXP(E173)</x:f>
        <x:v>99.29917344116836</x:v>
      </x:c>
      <x:c r="G173" s="1"/>
      <x:c r="H173" s="1"/>
    </x:row>
    <x:row r="174" ht="22" customHeight="1">
      <x:c r="A174" s="1" t="n">
        <x:v>165</x:v>
      </x:c>
      <x:c r="B174" s="11" t="n">
        <x:f>A174*$H$4</x:f>
        <x:v>0.6547619047619048</x:v>
      </x:c>
      <x:c r="C174" s="11" t="n">
        <x:f>MAX(0.0000000001,MIN(0.9999999999,RAND()))</x:f>
        <x:v>0.4253088070040306</x:v>
      </x:c>
      <x:c r="D174" s="11" t="n">
        <x:f>NORM.S.INV(C174)</x:f>
        <x:v>-0.18833045351762437</x:v>
      </x:c>
      <x:c r="E174" s="11" t="n">
        <x:f>($D$4-0.5*$F$4^2)*$H$4+$F$4*SQRT($H$4)*D174</x:f>
        <x:v>-0.0021346454490840175</x:v>
      </x:c>
      <x:c r="F174" s="13" t="n">
        <x:f>F173*EXP(E174)</x:f>
        <x:v>99.0874309904179</x:v>
      </x:c>
      <x:c r="G174" s="1"/>
      <x:c r="H174" s="1"/>
    </x:row>
    <x:row r="175" ht="22" customHeight="1">
      <x:c r="A175" s="1" t="n">
        <x:v>166</x:v>
      </x:c>
      <x:c r="B175" s="11" t="n">
        <x:f>A175*$H$4</x:f>
        <x:v>0.6587301587301587</x:v>
      </x:c>
      <x:c r="C175" s="11" t="n">
        <x:f>MAX(0.0000000001,MIN(0.9999999999,RAND()))</x:f>
        <x:v>0.3098048007408035</x:v>
      </x:c>
      <x:c r="D175" s="11" t="n">
        <x:f>NORM.S.INV(C175)</x:f>
        <x:v>-0.49640371933004485</x:v>
      </x:c>
      <x:c r="E175" s="11" t="n">
        <x:f>($D$4-0.5*$F$4^2)*$H$4+$F$4*SQRT($H$4)*D175</x:f>
        <x:v>-0.006016003767784788</x:v>
      </x:c>
      <x:c r="F175" s="13" t="n">
        <x:f>F174*EXP(E175)</x:f>
        <x:v>98.49311014295375</x:v>
      </x:c>
      <x:c r="G175" s="1"/>
      <x:c r="H175" s="1"/>
    </x:row>
    <x:row r="176" ht="22" customHeight="1">
      <x:c r="A176" s="1" t="n">
        <x:v>167</x:v>
      </x:c>
      <x:c r="B176" s="11" t="n">
        <x:f>A176*$H$4</x:f>
        <x:v>0.6626984126984127</x:v>
      </x:c>
      <x:c r="C176" s="11" t="n">
        <x:f>MAX(0.0000000001,MIN(0.9999999999,RAND()))</x:f>
        <x:v>0.29325716604330854</x:v>
      </x:c>
      <x:c r="D176" s="11" t="n">
        <x:f>NORM.S.INV(C176)</x:f>
        <x:v>-0.5438941249207215</x:v>
      </x:c>
      <x:c r="E176" s="11" t="n">
        <x:f>($D$4-0.5*$F$4^2)*$H$4+$F$4*SQRT($H$4)*D176</x:f>
        <x:v>-0.006614326638520606</x:v>
      </x:c>
      <x:c r="F176" s="13" t="n">
        <x:f>F175*EXP(E176)</x:f>
        <x:v>97.8437943016162</x:v>
      </x:c>
      <x:c r="G176" s="1"/>
      <x:c r="H176" s="1"/>
    </x:row>
    <x:row r="177" ht="22" customHeight="1">
      <x:c r="A177" s="1" t="n">
        <x:v>168</x:v>
      </x:c>
      <x:c r="B177" s="11" t="n">
        <x:f>A177*$H$4</x:f>
        <x:v>0.6666666666666666</x:v>
      </x:c>
      <x:c r="C177" s="11" t="n">
        <x:f>MAX(0.0000000001,MIN(0.9999999999,RAND()))</x:f>
        <x:v>0.7861035826566611</x:v>
      </x:c>
      <x:c r="D177" s="11" t="n">
        <x:f>NORM.S.INV(C177)</x:f>
        <x:v>0.7929742341692483</x:v>
      </x:c>
      <x:c r="E177" s="11" t="n">
        <x:f>($D$4-0.5*$F$4^2)*$H$4+$F$4*SQRT($H$4)*D177</x:f>
        <x:v>0.010228631522351088</x:v>
      </x:c>
      <x:c r="F177" s="13" t="n">
        <x:f>F176*EXP(E177)</x:f>
        <x:v>98.84973836530456</x:v>
      </x:c>
      <x:c r="G177" s="1"/>
      <x:c r="H177" s="1"/>
    </x:row>
    <x:row r="178" ht="22" customHeight="1">
      <x:c r="A178" s="1" t="n">
        <x:v>169</x:v>
      </x:c>
      <x:c r="B178" s="11" t="n">
        <x:f>A178*$H$4</x:f>
        <x:v>0.6706349206349206</x:v>
      </x:c>
      <x:c r="C178" s="11" t="n">
        <x:f>MAX(0.0000000001,MIN(0.9999999999,RAND()))</x:f>
        <x:v>0.9538901402240079</x:v>
      </x:c>
      <x:c r="D178" s="11" t="n">
        <x:f>NORM.S.INV(C178)</x:f>
        <x:v>1.6838031432922673</x:v>
      </x:c>
      <x:c r="E178" s="11" t="n">
        <x:f>($D$4-0.5*$F$4^2)*$H$4+$F$4*SQRT($H$4)*D178</x:f>
        <x:v>0.021452020828286646</x:v>
      </x:c>
      <x:c r="F178" s="13" t="n">
        <x:f>F177*EXP(E178)</x:f>
        <x:v>100.99317331905318</x:v>
      </x:c>
      <x:c r="G178" s="1"/>
      <x:c r="H178" s="1"/>
    </x:row>
    <x:row r="179" ht="22" customHeight="1">
      <x:c r="A179" s="1" t="n">
        <x:v>170</x:v>
      </x:c>
      <x:c r="B179" s="11" t="n">
        <x:f>A179*$H$4</x:f>
        <x:v>0.6746031746031745</x:v>
      </x:c>
      <x:c r="C179" s="11" t="n">
        <x:f>MAX(0.0000000001,MIN(0.9999999999,RAND()))</x:f>
        <x:v>0.8307553425553217</x:v>
      </x:c>
      <x:c r="D179" s="11" t="n">
        <x:f>NORM.S.INV(C179)</x:f>
        <x:v>0.9571544283989312</x:v>
      </x:c>
      <x:c r="E179" s="11" t="n">
        <x:f>($D$4-0.5*$F$4^2)*$H$4+$F$4*SQRT($H$4)*D179</x:f>
        <x:v>0.012297107542036912</x:v>
      </x:c>
      <x:c r="F179" s="13" t="n">
        <x:f>F178*EXP(E179)</x:f>
        <x:v>102.24276466517803</x:v>
      </x:c>
      <x:c r="G179" s="1"/>
      <x:c r="H179" s="1"/>
    </x:row>
    <x:row r="180" ht="22" customHeight="1">
      <x:c r="A180" s="1" t="n">
        <x:v>171</x:v>
      </x:c>
      <x:c r="B180" s="11" t="n">
        <x:f>A180*$H$4</x:f>
        <x:v>0.6785714285714285</x:v>
      </x:c>
      <x:c r="C180" s="11" t="n">
        <x:f>MAX(0.0000000001,MIN(0.9999999999,RAND()))</x:f>
        <x:v>0.49241737954666553</x:v>
      </x:c>
      <x:c r="D180" s="11" t="n">
        <x:f>NORM.S.INV(C180)</x:f>
        <x:v>-0.01900795536530536</x:v>
      </x:c>
      <x:c r="E180" s="11" t="n">
        <x:f>($D$4-0.5*$F$4^2)*$H$4+$F$4*SQRT($H$4)*D180</x:f>
        <x:v>-0.0000013824896591137334</x:v>
      </x:c>
      <x:c r="F180" s="13" t="n">
        <x:f>F179*EXP(E180)</x:f>
        <x:v>102.24262331571086</x:v>
      </x:c>
      <x:c r="G180" s="1"/>
      <x:c r="H180" s="1"/>
    </x:row>
    <x:row r="181" ht="22" customHeight="1">
      <x:c r="A181" s="1" t="n">
        <x:v>172</x:v>
      </x:c>
      <x:c r="B181" s="11" t="n">
        <x:f>A181*$H$4</x:f>
        <x:v>0.6825396825396826</x:v>
      </x:c>
      <x:c r="C181" s="11" t="n">
        <x:f>MAX(0.0000000001,MIN(0.9999999999,RAND()))</x:f>
        <x:v>0.2980807902861352</x:v>
      </x:c>
      <x:c r="D181" s="11" t="n">
        <x:f>NORM.S.INV(C181)</x:f>
        <x:v>-0.5299283913134379</x:v>
      </x:c>
      <x:c r="E181" s="11" t="n">
        <x:f>($D$4-0.5*$F$4^2)*$H$4+$F$4*SQRT($H$4)*D181</x:f>
        <x:v>-0.0064383749337518</x:v>
      </x:c>
      <x:c r="F181" s="13" t="n">
        <x:f>F180*EXP(E181)</x:f>
        <x:v>101.58646154697276</x:v>
      </x:c>
      <x:c r="G181" s="1"/>
      <x:c r="H181" s="1"/>
    </x:row>
    <x:row r="182" ht="22" customHeight="1">
      <x:c r="A182" s="1" t="n">
        <x:v>173</x:v>
      </x:c>
      <x:c r="B182" s="11" t="n">
        <x:f>A182*$H$4</x:f>
        <x:v>0.6865079365079365</x:v>
      </x:c>
      <x:c r="C182" s="11" t="n">
        <x:f>MAX(0.0000000001,MIN(0.9999999999,RAND()))</x:f>
        <x:v>0.2205443429803916</x:v>
      </x:c>
      <x:c r="D182" s="11" t="n">
        <x:f>NORM.S.INV(C182)</x:f>
        <x:v>-0.7703561015206702</x:v>
      </x:c>
      <x:c r="E182" s="11" t="n">
        <x:f>($D$4-0.5*$F$4^2)*$H$4+$F$4*SQRT($H$4)*D182</x:f>
        <x:v>-0.009467479359928192</x:v>
      </x:c>
      <x:c r="F182" s="13" t="n">
        <x:f>F181*EXP(E182)</x:f>
        <x:v>100.62923224331324</x:v>
      </x:c>
      <x:c r="G182" s="1"/>
      <x:c r="H182" s="1"/>
    </x:row>
    <x:row r="183" ht="22" customHeight="1">
      <x:c r="A183" s="1" t="n">
        <x:v>174</x:v>
      </x:c>
      <x:c r="B183" s="11" t="n">
        <x:f>A183*$H$4</x:f>
        <x:v>0.6904761904761905</x:v>
      </x:c>
      <x:c r="C183" s="11" t="n">
        <x:f>MAX(0.0000000001,MIN(0.9999999999,RAND()))</x:f>
        <x:v>0.5728771568150536</x:v>
      </x:c>
      <x:c r="D183" s="11" t="n">
        <x:f>NORM.S.INV(C183)</x:f>
        <x:v>0.18370398011608371</x:v>
      </x:c>
      <x:c r="E183" s="11" t="n">
        <x:f>($D$4-0.5*$F$4^2)*$H$4+$F$4*SQRT($H$4)*D183</x:f>
        <x:v>0.0025525478392376764</x:v>
      </x:c>
      <x:c r="F183" s="13" t="n">
        <x:f>F182*EXP(E183)</x:f>
        <x:v>100.8864212766528</x:v>
      </x:c>
      <x:c r="G183" s="1"/>
      <x:c r="H183" s="1"/>
    </x:row>
    <x:row r="184" ht="22" customHeight="1">
      <x:c r="A184" s="1" t="n">
        <x:v>175</x:v>
      </x:c>
      <x:c r="B184" s="11" t="n">
        <x:f>A184*$H$4</x:f>
        <x:v>0.6944444444444444</x:v>
      </x:c>
      <x:c r="C184" s="11" t="n">
        <x:f>MAX(0.0000000001,MIN(0.9999999999,RAND()))</x:f>
        <x:v>0.588956384031966</x:v>
      </x:c>
      <x:c r="D184" s="11" t="n">
        <x:f>NORM.S.INV(C184)</x:f>
        <x:v>0.22486122866833197</x:v>
      </x:c>
      <x:c r="E184" s="11" t="n">
        <x:f>($D$4-0.5*$F$4^2)*$H$4+$F$4*SQRT($H$4)*D184</x:f>
        <x:v>0.0030710804312230194</x:v>
      </x:c>
      <x:c r="F184" s="13" t="n">
        <x:f>F183*EXP(E184)</x:f>
        <x:v>101.19672783512245</x:v>
      </x:c>
      <x:c r="G184" s="1"/>
      <x:c r="H184" s="1"/>
    </x:row>
    <x:row r="185" ht="22" customHeight="1">
      <x:c r="A185" s="1" t="n">
        <x:v>176</x:v>
      </x:c>
      <x:c r="B185" s="11" t="n">
        <x:f>A185*$H$4</x:f>
        <x:v>0.6984126984126984</x:v>
      </x:c>
      <x:c r="C185" s="11" t="n">
        <x:f>MAX(0.0000000001,MIN(0.9999999999,RAND()))</x:f>
        <x:v>0.9322420259898112</x:v>
      </x:c>
      <x:c r="D185" s="11" t="n">
        <x:f>NORM.S.INV(C185)</x:f>
        <x:v>1.4926991803964784</x:v>
      </x:c>
      <x:c r="E185" s="11" t="n">
        <x:f>($D$4-0.5*$F$4^2)*$H$4+$F$4*SQRT($H$4)*D185</x:f>
        <x:v>0.01904433720742392</x:v>
      </x:c>
      <x:c r="F185" s="13" t="n">
        <x:f>F184*EXP(E185)</x:f>
        <x:v>103.14242085521833</x:v>
      </x:c>
      <x:c r="G185" s="1"/>
      <x:c r="H185" s="1"/>
    </x:row>
    <x:row r="186" ht="22" customHeight="1">
      <x:c r="A186" s="1" t="n">
        <x:v>177</x:v>
      </x:c>
      <x:c r="B186" s="11" t="n">
        <x:f>A186*$H$4</x:f>
        <x:v>0.7023809523809523</x:v>
      </x:c>
      <x:c r="C186" s="11" t="n">
        <x:f>MAX(0.0000000001,MIN(0.9999999999,RAND()))</x:f>
        <x:v>0.5766782666389818</x:v>
      </x:c>
      <x:c r="D186" s="11" t="n">
        <x:f>NORM.S.INV(C186)</x:f>
        <x:v>0.1934028715477946</x:v>
      </x:c>
      <x:c r="E186" s="11" t="n">
        <x:f>($D$4-0.5*$F$4^2)*$H$4+$F$4*SQRT($H$4)*D186</x:f>
        <x:v>0.0026747423855296867</x:v>
      </x:c>
      <x:c r="F186" s="13" t="n">
        <x:f>F185*EXP(E186)</x:f>
        <x:v>103.41866954236623</x:v>
      </x:c>
      <x:c r="G186" s="1"/>
      <x:c r="H186" s="1"/>
    </x:row>
    <x:row r="187" ht="22" customHeight="1">
      <x:c r="A187" s="1" t="n">
        <x:v>178</x:v>
      </x:c>
      <x:c r="B187" s="11" t="n">
        <x:f>A187*$H$4</x:f>
        <x:v>0.7063492063492063</x:v>
      </x:c>
      <x:c r="C187" s="11" t="n">
        <x:f>MAX(0.0000000001,MIN(0.9999999999,RAND()))</x:f>
        <x:v>0.42118776907692657</x:v>
      </x:c>
      <x:c r="D187" s="11" t="n">
        <x:f>NORM.S.INV(C187)</x:f>
        <x:v>-0.19885580929542543</x:v>
      </x:c>
      <x:c r="E187" s="11" t="n">
        <x:f>($D$4-0.5*$F$4^2)*$H$4+$F$4*SQRT($H$4)*D187</x:f>
        <x:v>-0.0022672524674103908</x:v>
      </x:c>
      <x:c r="F187" s="13" t="n">
        <x:f>F186*EXP(E187)</x:f>
        <x:v>103.1844589163086</x:v>
      </x:c>
      <x:c r="G187" s="1"/>
      <x:c r="H187" s="1"/>
    </x:row>
    <x:row r="188" ht="22" customHeight="1">
      <x:c r="A188" s="1" t="n">
        <x:v>179</x:v>
      </x:c>
      <x:c r="B188" s="11" t="n">
        <x:f>A188*$H$4</x:f>
        <x:v>0.7103174603174602</x:v>
      </x:c>
      <x:c r="C188" s="11" t="n">
        <x:f>MAX(0.0000000001,MIN(0.9999999999,RAND()))</x:f>
        <x:v>0.16987810426238414</x:v>
      </x:c>
      <x:c r="D188" s="11" t="n">
        <x:f>NORM.S.INV(C188)</x:f>
        <x:v>-0.9546470632982863</x:v>
      </x:c>
      <x:c r="E188" s="11" t="n">
        <x:f>($D$4-0.5*$F$4^2)*$H$4+$F$4*SQRT($H$4)*D188</x:f>
        <x:v>-0.011789327234882869</x:v>
      </x:c>
      <x:c r="F188" s="13" t="n">
        <x:f>F187*EXP(E188)</x:f>
        <x:v>101.97512618115148</x:v>
      </x:c>
      <x:c r="G188" s="1"/>
      <x:c r="H188" s="1"/>
    </x:row>
    <x:row r="189" ht="22" customHeight="1">
      <x:c r="A189" s="1" t="n">
        <x:v>180</x:v>
      </x:c>
      <x:c r="B189" s="11" t="n">
        <x:f>A189*$H$4</x:f>
        <x:v>0.7142857142857142</x:v>
      </x:c>
      <x:c r="C189" s="11" t="n">
        <x:f>MAX(0.0000000001,MIN(0.9999999999,RAND()))</x:f>
        <x:v>0.09444693872202514</x:v>
      </x:c>
      <x:c r="D189" s="11" t="n">
        <x:f>NORM.S.INV(C189)</x:f>
        <x:v>-1.3138583490412776</x:v>
      </x:c>
      <x:c r="E189" s="11" t="n">
        <x:f>($D$4-0.5*$F$4^2)*$H$4+$F$4*SQRT($H$4)*D189</x:f>
        <x:v>-0.016314964045376756</x:v>
      </x:c>
      <x:c r="F189" s="13" t="n">
        <x:f>F188*EXP(E189)</x:f>
        <x:v>100.32490392660779</x:v>
      </x:c>
      <x:c r="G189" s="1"/>
      <x:c r="H189" s="1"/>
    </x:row>
    <x:row r="190" ht="22" customHeight="1">
      <x:c r="A190" s="1" t="n">
        <x:v>181</x:v>
      </x:c>
      <x:c r="B190" s="11" t="n">
        <x:f>A190*$H$4</x:f>
        <x:v>0.7182539682539683</x:v>
      </x:c>
      <x:c r="C190" s="11" t="n">
        <x:f>MAX(0.0000000001,MIN(0.9999999999,RAND()))</x:f>
        <x:v>0.014603637590915097</x:v>
      </x:c>
      <x:c r="D190" s="11" t="n">
        <x:f>NORM.S.INV(C190)</x:f>
        <x:v>-2.180677543216678</x:v>
      </x:c>
      <x:c r="E190" s="11" t="n">
        <x:f>($D$4-0.5*$F$4^2)*$H$4+$F$4*SQRT($H$4)*D190</x:f>
        <x:v>-0.0272358593760697</x:v>
      </x:c>
      <x:c r="F190" s="13" t="n">
        <x:f>F189*EXP(E190)</x:f>
        <x:v>97.6293435300053</x:v>
      </x:c>
      <x:c r="G190" s="1"/>
      <x:c r="H190" s="1"/>
    </x:row>
    <x:row r="191" ht="22" customHeight="1">
      <x:c r="A191" s="1" t="n">
        <x:v>182</x:v>
      </x:c>
      <x:c r="B191" s="11" t="n">
        <x:f>A191*$H$4</x:f>
        <x:v>0.7222222222222222</x:v>
      </x:c>
      <x:c r="C191" s="11" t="n">
        <x:f>MAX(0.0000000001,MIN(0.9999999999,RAND()))</x:f>
        <x:v>0.2626349146825906</x:v>
      </x:c>
      <x:c r="D191" s="11" t="n">
        <x:f>NORM.S.INV(C191)</x:f>
        <x:v>-0.6352431736477636</x:v>
      </x:c>
      <x:c r="E191" s="11" t="n">
        <x:f>($D$4-0.5*$F$4^2)*$H$4+$F$4*SQRT($H$4)*D191</x:f>
        <x:v>-0.0077652164739209625</x:v>
      </x:c>
      <x:c r="F191" s="13" t="n">
        <x:f>F190*EXP(E191)</x:f>
        <x:v>96.8741663949254</x:v>
      </x:c>
      <x:c r="G191" s="1"/>
      <x:c r="H191" s="1"/>
    </x:row>
    <x:row r="192" ht="22" customHeight="1">
      <x:c r="A192" s="1" t="n">
        <x:v>183</x:v>
      </x:c>
      <x:c r="B192" s="11" t="n">
        <x:f>A192*$H$4</x:f>
        <x:v>0.7261904761904762</x:v>
      </x:c>
      <x:c r="C192" s="11" t="n">
        <x:f>MAX(0.0000000001,MIN(0.9999999999,RAND()))</x:f>
        <x:v>0.03568104358304014</x:v>
      </x:c>
      <x:c r="D192" s="11" t="n">
        <x:f>NORM.S.INV(C192)</x:f>
        <x:v>-1.803166390041444</x:v>
      </x:c>
      <x:c r="E192" s="11" t="n">
        <x:f>($D$4-0.5*$F$4^2)*$H$4+$F$4*SQRT($H$4)*D192</x:f>
        <x:v>-0.022479665907236934</x:v>
      </x:c>
      <x:c r="F192" s="13" t="n">
        <x:f>F191*EXP(E192)</x:f>
        <x:v>94.72076208589206</x:v>
      </x:c>
      <x:c r="G192" s="1"/>
      <x:c r="H192" s="1"/>
    </x:row>
    <x:row r="193" ht="22" customHeight="1">
      <x:c r="A193" s="1" t="n">
        <x:v>184</x:v>
      </x:c>
      <x:c r="B193" s="11" t="n">
        <x:f>A193*$H$4</x:f>
        <x:v>0.7301587301587301</x:v>
      </x:c>
      <x:c r="C193" s="11" t="n">
        <x:f>MAX(0.0000000001,MIN(0.9999999999,RAND()))</x:f>
        <x:v>0.6546655807294638</x:v>
      </x:c>
      <x:c r="D193" s="11" t="n">
        <x:f>NORM.S.INV(C193)</x:f>
        <x:v>0.3979475635492567</x:v>
      </x:c>
      <x:c r="E193" s="11" t="n">
        <x:f>($D$4-0.5*$F$4^2)*$H$4+$F$4*SQRT($H$4)*D193</x:f>
        <x:v>0.005251763276168597</x:v>
      </x:c>
      <x:c r="F193" s="13" t="n">
        <x:f>F192*EXP(E193)</x:f>
        <x:v>95.21952164291056</x:v>
      </x:c>
      <x:c r="G193" s="1"/>
      <x:c r="H193" s="1"/>
    </x:row>
    <x:row r="194" ht="22" customHeight="1">
      <x:c r="A194" s="1" t="n">
        <x:v>185</x:v>
      </x:c>
      <x:c r="B194" s="11" t="n">
        <x:f>A194*$H$4</x:f>
        <x:v>0.7341269841269841</x:v>
      </x:c>
      <x:c r="C194" s="11" t="n">
        <x:f>MAX(0.0000000001,MIN(0.9999999999,RAND()))</x:f>
        <x:v>0.7910717000372</x:v>
      </x:c>
      <x:c r="D194" s="11" t="n">
        <x:f>NORM.S.INV(C194)</x:f>
        <x:v>0.8101454241242083</x:v>
      </x:c>
      <x:c r="E194" s="11" t="n">
        <x:f>($D$4-0.5*$F$4^2)*$H$4+$F$4*SQRT($H$4)*D194</x:f>
        <x:v>0.01044496818109335</x:v>
      </x:c>
      <x:c r="F194" s="13" t="n">
        <x:f>F193*EXP(E194)</x:f>
        <x:v>96.21929874730779</x:v>
      </x:c>
      <x:c r="G194" s="1"/>
      <x:c r="H194" s="1"/>
    </x:row>
    <x:row r="195" ht="22" customHeight="1">
      <x:c r="A195" s="1" t="n">
        <x:v>186</x:v>
      </x:c>
      <x:c r="B195" s="11" t="n">
        <x:f>A195*$H$4</x:f>
        <x:v>0.738095238095238</x:v>
      </x:c>
      <x:c r="C195" s="11" t="n">
        <x:f>MAX(0.0000000001,MIN(0.9999999999,RAND()))</x:f>
        <x:v>0.9652629615753383</x:v>
      </x:c>
      <x:c r="D195" s="11" t="n">
        <x:f>NORM.S.INV(C195)</x:f>
        <x:v>1.8153243646505628</x:v>
      </x:c>
      <x:c r="E195" s="11" t="n">
        <x:f>($D$4-0.5*$F$4^2)*$H$4+$F$4*SQRT($H$4)*D195</x:f>
        <x:v>0.023109032465627247</x:v>
      </x:c>
      <x:c r="F195" s="13" t="n">
        <x:f>F194*EXP(E195)</x:f>
        <x:v>98.46872456936383</x:v>
      </x:c>
      <x:c r="G195" s="1"/>
      <x:c r="H195" s="1"/>
    </x:row>
    <x:row r="196" ht="22" customHeight="1">
      <x:c r="A196" s="1" t="n">
        <x:v>187</x:v>
      </x:c>
      <x:c r="B196" s="11" t="n">
        <x:f>A196*$H$4</x:f>
        <x:v>0.742063492063492</x:v>
      </x:c>
      <x:c r="C196" s="11" t="n">
        <x:f>MAX(0.0000000001,MIN(0.9999999999,RAND()))</x:f>
        <x:v>0.6423127176063889</x:v>
      </x:c>
      <x:c r="D196" s="11" t="n">
        <x:f>NORM.S.INV(C196)</x:f>
        <x:v>0.3646474839309564</x:v>
      </x:c>
      <x:c r="E196" s="11" t="n">
        <x:f>($D$4-0.5*$F$4^2)*$H$4+$F$4*SQRT($H$4)*D196</x:f>
        <x:v>0.004832221708032058</x:v>
      </x:c>
      <x:c r="F196" s="13" t="n">
        <x:f>F195*EXP(E196)</x:f>
        <x:v>98.94569877221221</x:v>
      </x:c>
      <x:c r="G196" s="1"/>
      <x:c r="H196" s="1"/>
    </x:row>
    <x:row r="197" ht="22" customHeight="1">
      <x:c r="A197" s="1" t="n">
        <x:v>188</x:v>
      </x:c>
      <x:c r="B197" s="11" t="n">
        <x:f>A197*$H$4</x:f>
        <x:v>0.746031746031746</x:v>
      </x:c>
      <x:c r="C197" s="11" t="n">
        <x:f>MAX(0.0000000001,MIN(0.9999999999,RAND()))</x:f>
        <x:v>0.9812721797523861</x:v>
      </x:c>
      <x:c r="D197" s="11" t="n">
        <x:f>NORM.S.INV(C197)</x:f>
        <x:v>2.080762605613485</x:v>
      </x:c>
      <x:c r="E197" s="11" t="n">
        <x:f>($D$4-0.5*$F$4^2)*$H$4+$F$4*SQRT($H$4)*D197</x:f>
        <x:v>0.026453239961028822</x:v>
      </x:c>
      <x:c r="F197" s="13" t="n">
        <x:f>F196*EXP(E197)</x:f>
        <x:v>101.59806019219327</x:v>
      </x:c>
      <x:c r="G197" s="1"/>
      <x:c r="H197" s="1"/>
    </x:row>
    <x:row r="198" ht="22" customHeight="1">
      <x:c r="A198" s="1" t="n">
        <x:v>189</x:v>
      </x:c>
      <x:c r="B198" s="11" t="n">
        <x:f>A198*$H$4</x:f>
        <x:v>0.75</x:v>
      </x:c>
      <x:c r="C198" s="11" t="n">
        <x:f>MAX(0.0000000001,MIN(0.9999999999,RAND()))</x:f>
        <x:v>0.7266239995916821</x:v>
      </x:c>
      <x:c r="D198" s="11" t="n">
        <x:f>NORM.S.INV(C198)</x:f>
        <x:v>0.6026342944284421</x:v>
      </x:c>
      <x:c r="E198" s="11" t="n">
        <x:f>($D$4-0.5*$F$4^2)*$H$4+$F$4*SQRT($H$4)*D198</x:f>
        <x:v>0.007830573688459692</x:v>
      </x:c>
      <x:c r="F198" s="13" t="n">
        <x:f>F197*EXP(E198)</x:f>
        <x:v>102.39675432457989</x:v>
      </x:c>
      <x:c r="G198" s="1"/>
      <x:c r="H198" s="1"/>
    </x:row>
    <x:row r="199" ht="22" customHeight="1">
      <x:c r="A199" s="1" t="n">
        <x:v>190</x:v>
      </x:c>
      <x:c r="B199" s="11" t="n">
        <x:f>A199*$H$4</x:f>
        <x:v>0.753968253968254</x:v>
      </x:c>
      <x:c r="C199" s="11" t="n">
        <x:f>MAX(0.0000000001,MIN(0.9999999999,RAND()))</x:f>
        <x:v>0.7943717885854313</x:v>
      </x:c>
      <x:c r="D199" s="11" t="n">
        <x:f>NORM.S.INV(C199)</x:f>
        <x:v>0.8216846057763807</x:v>
      </x:c>
      <x:c r="E199" s="11" t="n">
        <x:f>($D$4-0.5*$F$4^2)*$H$4+$F$4*SQRT($H$4)*D199</x:f>
        <x:v>0.010590348204830718</x:v>
      </x:c>
      <x:c r="F199" s="13" t="n">
        <x:f>F198*EXP(E199)</x:f>
        <x:v>103.48693411057452</x:v>
      </x:c>
      <x:c r="G199" s="1"/>
      <x:c r="H199" s="1"/>
    </x:row>
    <x:row r="200" ht="22" customHeight="1">
      <x:c r="A200" s="1" t="n">
        <x:v>191</x:v>
      </x:c>
      <x:c r="B200" s="11" t="n">
        <x:f>A200*$H$4</x:f>
        <x:v>0.7579365079365079</x:v>
      </x:c>
      <x:c r="C200" s="11" t="n">
        <x:f>MAX(0.0000000001,MIN(0.9999999999,RAND()))</x:f>
        <x:v>0.5464175915072481</x:v>
      </x:c>
      <x:c r="D200" s="11" t="n">
        <x:f>NORM.S.INV(C200)</x:f>
        <x:v>0.11661542091241948</x:v>
      </x:c>
      <x:c r="E200" s="11" t="n">
        <x:f>($D$4-0.5*$F$4^2)*$H$4+$F$4*SQRT($H$4)*D200</x:f>
        <x:v>0.0017073114417589664</x:v>
      </x:c>
      <x:c r="F200" s="13" t="n">
        <x:f>F199*EXP(E200)</x:f>
        <x:v>103.66376945079894</x:v>
      </x:c>
      <x:c r="G200" s="1"/>
      <x:c r="H200" s="1"/>
    </x:row>
    <x:row r="201" ht="22" customHeight="1">
      <x:c r="A201" s="1" t="n">
        <x:v>192</x:v>
      </x:c>
      <x:c r="B201" s="11" t="n">
        <x:f>A201*$H$4</x:f>
        <x:v>0.7619047619047619</x:v>
      </x:c>
      <x:c r="C201" s="11" t="n">
        <x:f>MAX(0.0000000001,MIN(0.9999999999,RAND()))</x:f>
        <x:v>0.7551489677926612</x:v>
      </x:c>
      <x:c r="D201" s="11" t="n">
        <x:f>NORM.S.INV(C201)</x:f>
        <x:v>0.6907827708913786</x:v>
      </x:c>
      <x:c r="E201" s="11" t="n">
        <x:f>($D$4-0.5*$F$4^2)*$H$4+$F$4*SQRT($H$4)*D201</x:f>
        <x:v>0.008941140103555695</x:v>
      </x:c>
      <x:c r="F201" s="13" t="n">
        <x:f>F200*EXP(E201)</x:f>
        <x:v>104.59479776190493</x:v>
      </x:c>
      <x:c r="G201" s="1"/>
      <x:c r="H201" s="1"/>
    </x:row>
    <x:row r="202" ht="22" customHeight="1">
      <x:c r="A202" s="1" t="n">
        <x:v>193</x:v>
      </x:c>
      <x:c r="B202" s="11" t="n">
        <x:f>A202*$H$4</x:f>
        <x:v>0.7658730158730158</x:v>
      </x:c>
      <x:c r="C202" s="11" t="n">
        <x:f>MAX(0.0000000001,MIN(0.9999999999,RAND()))</x:f>
        <x:v>0.8878830718585298</x:v>
      </x:c>
      <x:c r="D202" s="11" t="n">
        <x:f>NORM.S.INV(C202)</x:f>
        <x:v>1.2153467818563282</x:v>
      </x:c>
      <x:c r="E202" s="11" t="n">
        <x:f>($D$4-0.5*$F$4^2)*$H$4+$F$4*SQRT($H$4)*D202</x:f>
        <x:v>0.01555002543568815</x:v>
      </x:c>
      <x:c r="F202" s="13" t="n">
        <x:f>F201*EXP(E202)</x:f>
        <x:v>106.23396101321279</x:v>
      </x:c>
      <x:c r="G202" s="1"/>
      <x:c r="H202" s="1"/>
    </x:row>
    <x:row r="203" ht="22" customHeight="1">
      <x:c r="A203" s="1" t="n">
        <x:v>194</x:v>
      </x:c>
      <x:c r="B203" s="11" t="n">
        <x:f>A203*$H$4</x:f>
        <x:v>0.7698412698412698</x:v>
      </x:c>
      <x:c r="C203" s="11" t="n">
        <x:f>MAX(0.0000000001,MIN(0.9999999999,RAND()))</x:f>
        <x:v>0.1327251214086721</x:v>
      </x:c>
      <x:c r="D203" s="11" t="n">
        <x:f>NORM.S.INV(C203)</x:f>
        <x:v>-1.1136013597900607</x:v>
      </x:c>
      <x:c r="E203" s="11" t="n">
        <x:f>($D$4-0.5*$F$4^2)*$H$4+$F$4*SQRT($H$4)*D203</x:f>
        <x:v>-0.013791963131751734</x:v>
      </x:c>
      <x:c r="F203" s="13" t="n">
        <x:f>F202*EXP(E203)</x:f>
        <x:v>104.77884366771876</x:v>
      </x:c>
      <x:c r="G203" s="1"/>
      <x:c r="H203" s="1"/>
    </x:row>
    <x:row r="204" ht="22" customHeight="1">
      <x:c r="A204" s="1" t="n">
        <x:v>195</x:v>
      </x:c>
      <x:c r="B204" s="11" t="n">
        <x:f>A204*$H$4</x:f>
        <x:v>0.7738095238095237</x:v>
      </x:c>
      <x:c r="C204" s="11" t="n">
        <x:f>MAX(0.0000000001,MIN(0.9999999999,RAND()))</x:f>
        <x:v>0.48950859899564303</x:v>
      </x:c>
      <x:c r="D204" s="11" t="n">
        <x:f>NORM.S.INV(C204)</x:f>
        <x:v>-0.02630107436281526</x:v>
      </x:c>
      <x:c r="E204" s="11" t="n">
        <x:f>($D$4-0.5*$F$4^2)*$H$4+$F$4*SQRT($H$4)*D204</x:f>
        <x:v>-0.00009326715227536087</x:v>
      </x:c>
      <x:c r="F204" s="13" t="n">
        <x:f>F203*EXP(E204)</x:f>
        <x:v>104.7690716990601</x:v>
      </x:c>
      <x:c r="G204" s="1"/>
      <x:c r="H204" s="1"/>
    </x:row>
    <x:row r="205" ht="22" customHeight="1">
      <x:c r="A205" s="1" t="n">
        <x:v>196</x:v>
      </x:c>
      <x:c r="B205" s="11" t="n">
        <x:f>A205*$H$4</x:f>
        <x:v>0.7777777777777777</x:v>
      </x:c>
      <x:c r="C205" s="11" t="n">
        <x:f>MAX(0.0000000001,MIN(0.9999999999,RAND()))</x:f>
        <x:v>0.3499321961993418</x:v>
      </x:c>
      <x:c r="D205" s="11" t="n">
        <x:f>NORM.S.INV(C205)</x:f>
        <x:v>-0.3855035289742151</x:v>
      </x:c>
      <x:c r="E205" s="11" t="n">
        <x:f>($D$4-0.5*$F$4^2)*$H$4+$F$4*SQRT($H$4)*D205</x:f>
        <x:v>-0.004618792700969315</x:v>
      </x:c>
      <x:c r="F205" s="13" t="n">
        <x:f>F204*EXP(E205)</x:f>
        <x:v>104.28628088903483</x:v>
      </x:c>
      <x:c r="G205" s="1"/>
      <x:c r="H205" s="1"/>
    </x:row>
    <x:row r="206" ht="22" customHeight="1">
      <x:c r="A206" s="1" t="n">
        <x:v>197</x:v>
      </x:c>
      <x:c r="B206" s="11" t="n">
        <x:f>A206*$H$4</x:f>
        <x:v>0.7817460317460317</x:v>
      </x:c>
      <x:c r="C206" s="11" t="n">
        <x:f>MAX(0.0000000001,MIN(0.9999999999,RAND()))</x:f>
        <x:v>0.5350395051010277</x:v>
      </x:c>
      <x:c r="D206" s="11" t="n">
        <x:f>NORM.S.INV(C206)</x:f>
        <x:v>0.08794424574368234</x:v>
      </x:c>
      <x:c r="E206" s="11" t="n">
        <x:f>($D$4-0.5*$F$4^2)*$H$4+$F$4*SQRT($H$4)*D206</x:f>
        <x:v>0.0013460885879854004</x:v>
      </x:c>
      <x:c r="F206" s="13" t="n">
        <x:f>F205*EXP(E206)</x:f>
        <x:v>104.4267539850278</x:v>
      </x:c>
      <x:c r="G206" s="1"/>
      <x:c r="H206" s="1"/>
    </x:row>
    <x:row r="207" ht="22" customHeight="1">
      <x:c r="A207" s="1" t="n">
        <x:v>198</x:v>
      </x:c>
      <x:c r="B207" s="11" t="n">
        <x:f>A207*$H$4</x:f>
        <x:v>0.7857142857142857</x:v>
      </x:c>
      <x:c r="C207" s="11" t="n">
        <x:f>MAX(0.0000000001,MIN(0.9999999999,RAND()))</x:f>
        <x:v>0.7575950699917505</x:v>
      </x:c>
      <x:c r="D207" s="11" t="n">
        <x:f>NORM.S.INV(C207)</x:f>
        <x:v>0.6985874963821639</x:v>
      </x:c>
      <x:c r="E207" s="11" t="n">
        <x:f>($D$4-0.5*$F$4^2)*$H$4+$F$4*SQRT($H$4)*D207</x:f>
        <x:v>0.009039470402125906</x:v>
      </x:c>
      <x:c r="F207" s="13" t="n">
        <x:f>F206*EXP(E207)</x:f>
        <x:v>105.37499588225924</x:v>
      </x:c>
      <x:c r="G207" s="1"/>
      <x:c r="H207" s="1"/>
    </x:row>
    <x:row r="208" ht="22" customHeight="1">
      <x:c r="A208" s="1" t="n">
        <x:v>199</x:v>
      </x:c>
      <x:c r="B208" s="11" t="n">
        <x:f>A208*$H$4</x:f>
        <x:v>0.7896825396825397</x:v>
      </x:c>
      <x:c r="C208" s="11" t="n">
        <x:f>MAX(0.0000000001,MIN(0.9999999999,RAND()))</x:f>
        <x:v>0.8067838584554377</x:v>
      </x:c>
      <x:c r="D208" s="11" t="n">
        <x:f>NORM.S.INV(C208)</x:f>
        <x:v>0.8661055478584714</x:v>
      </x:c>
      <x:c r="E208" s="11" t="n">
        <x:f>($D$4-0.5*$F$4^2)*$H$4+$F$4*SQRT($H$4)*D208</x:f>
        <x:v>0.011149999470318412</x:v>
      </x:c>
      <x:c r="F208" s="13" t="n">
        <x:f>F207*EXP(E208)</x:f>
        <x:v>106.55650168444579</x:v>
      </x:c>
      <x:c r="G208" s="1"/>
      <x:c r="H208" s="1"/>
    </x:row>
    <x:row r="209" ht="22" customHeight="1">
      <x:c r="A209" s="1" t="n">
        <x:v>200</x:v>
      </x:c>
      <x:c r="B209" s="11" t="n">
        <x:f>A209*$H$4</x:f>
        <x:v>0.7936507936507936</x:v>
      </x:c>
      <x:c r="C209" s="11" t="n">
        <x:f>MAX(0.0000000001,MIN(0.9999999999,RAND()))</x:f>
        <x:v>0.7689766640014796</x:v>
      </x:c>
      <x:c r="D209" s="11" t="n">
        <x:f>NORM.S.INV(C209)</x:f>
        <x:v>0.7354808935590644</x:v>
      </x:c>
      <x:c r="E209" s="11" t="n">
        <x:f>($D$4-0.5*$F$4^2)*$H$4+$F$4*SQRT($H$4)*D209</x:f>
        <x:v>0.009504283516175483</x:v>
      </x:c>
      <x:c r="F209" s="13" t="n">
        <x:f>F208*EXP(E209)</x:f>
        <x:v>107.57407286959263</x:v>
      </x:c>
      <x:c r="G209" s="1"/>
      <x:c r="H209" s="1"/>
    </x:row>
    <x:row r="210" ht="22" customHeight="1">
      <x:c r="A210" s="1" t="n">
        <x:v>201</x:v>
      </x:c>
      <x:c r="B210" s="11" t="n">
        <x:f>A210*$H$4</x:f>
        <x:v>0.7976190476190476</x:v>
      </x:c>
      <x:c r="C210" s="11" t="n">
        <x:f>MAX(0.0000000001,MIN(0.9999999999,RAND()))</x:f>
        <x:v>0.29362919995316616</x:v>
      </x:c>
      <x:c r="D210" s="11" t="n">
        <x:f>NORM.S.INV(C210)</x:f>
        <x:v>-0.542813234781247</x:v>
      </x:c>
      <x:c r="E210" s="11" t="n">
        <x:f>($D$4-0.5*$F$4^2)*$H$4+$F$4*SQRT($H$4)*D210</x:f>
        <x:v>-0.006600708702789028</x:v>
      </x:c>
      <x:c r="F210" s="13" t="n">
        <x:f>F209*EXP(E210)</x:f>
        <x:v>106.86634606943053</x:v>
      </x:c>
      <x:c r="G210" s="1"/>
      <x:c r="H210" s="1"/>
    </x:row>
    <x:row r="211" ht="22" customHeight="1">
      <x:c r="A211" s="1" t="n">
        <x:v>202</x:v>
      </x:c>
      <x:c r="B211" s="11" t="n">
        <x:f>A211*$H$4</x:f>
        <x:v>0.8015873015873015</x:v>
      </x:c>
      <x:c r="C211" s="11" t="n">
        <x:f>MAX(0.0000000001,MIN(0.9999999999,RAND()))</x:f>
        <x:v>0.5275147003041875</x:v>
      </x:c>
      <x:c r="D211" s="11" t="n">
        <x:f>NORM.S.INV(C211)</x:f>
        <x:v>0.06902389500590728</x:v>
      </x:c>
      <x:c r="E211" s="11" t="n">
        <x:f>($D$4-0.5*$F$4^2)*$H$4+$F$4*SQRT($H$4)*D211</x:f>
        <x:v>0.0011077145747936373</x:v>
      </x:c>
      <x:c r="F211" s="13" t="n">
        <x:f>F210*EXP(E211)</x:f>
        <x:v>106.98478906693279</x:v>
      </x:c>
      <x:c r="G211" s="1"/>
      <x:c r="H211" s="1"/>
    </x:row>
    <x:row r="212" ht="22" customHeight="1">
      <x:c r="A212" s="1" t="n">
        <x:v>203</x:v>
      </x:c>
      <x:c r="B212" s="11" t="n">
        <x:f>A212*$H$4</x:f>
        <x:v>0.8055555555555555</x:v>
      </x:c>
      <x:c r="C212" s="11" t="n">
        <x:f>MAX(0.0000000001,MIN(0.9999999999,RAND()))</x:f>
        <x:v>0.4500008519159725</x:v>
      </x:c>
      <x:c r="D212" s="11" t="n">
        <x:f>NORM.S.INV(C212)</x:f>
        <x:v>-0.1256591944918681</x:v>
      </x:c>
      <x:c r="E212" s="11" t="n">
        <x:f>($D$4-0.5*$F$4^2)*$H$4+$F$4*SQRT($H$4)*D212</x:f>
        <x:v>-0.0013450618027341927</x:v>
      </x:c>
      <x:c r="F212" s="13" t="n">
        <x:f>F211*EXP(E212)</x:f>
        <x:v>106.84098464828139</x:v>
      </x:c>
      <x:c r="G212" s="1"/>
      <x:c r="H212" s="1"/>
    </x:row>
    <x:row r="213" ht="22" customHeight="1">
      <x:c r="A213" s="1" t="n">
        <x:v>204</x:v>
      </x:c>
      <x:c r="B213" s="11" t="n">
        <x:f>A213*$H$4</x:f>
        <x:v>0.8095238095238095</x:v>
      </x:c>
      <x:c r="C213" s="11" t="n">
        <x:f>MAX(0.0000000001,MIN(0.9999999999,RAND()))</x:f>
        <x:v>0.17997716095661676</x:v>
      </x:c>
      <x:c r="D213" s="11" t="n">
        <x:f>NORM.S.INV(C213)</x:f>
        <x:v>-0.915452130341896</x:v>
      </x:c>
      <x:c r="E213" s="11" t="n">
        <x:f>($D$4-0.5*$F$4^2)*$H$4+$F$4*SQRT($H$4)*D213</x:f>
        <x:v>-0.0112955174955664</x:v>
      </x:c>
      <x:c r="F213" s="13" t="n">
        <x:f>F212*EXP(E213)</x:f>
        <x:v>105.64095069838672</x:v>
      </x:c>
      <x:c r="G213" s="1"/>
      <x:c r="H213" s="1"/>
    </x:row>
    <x:row r="214" ht="22" customHeight="1">
      <x:c r="A214" s="1" t="n">
        <x:v>205</x:v>
      </x:c>
      <x:c r="B214" s="11" t="n">
        <x:f>A214*$H$4</x:f>
        <x:v>0.8134920634920635</x:v>
      </x:c>
      <x:c r="C214" s="11" t="n">
        <x:f>MAX(0.0000000001,MIN(0.9999999999,RAND()))</x:f>
        <x:v>0.4162931701642111</x:v>
      </x:c>
      <x:c r="D214" s="11" t="n">
        <x:f>NORM.S.INV(C214)</x:f>
        <x:v>-0.21138566675062384</x:v>
      </x:c>
      <x:c r="E214" s="11" t="n">
        <x:f>($D$4-0.5*$F$4^2)*$H$4+$F$4*SQRT($H$4)*D214</x:f>
        <x:v>-0.0024251138330748843</x:v>
      </x:c>
      <x:c r="F214" s="13" t="n">
        <x:f>F213*EXP(E214)</x:f>
        <x:v>105.3850697631135</x:v>
      </x:c>
      <x:c r="G214" s="1"/>
      <x:c r="H214" s="1"/>
    </x:row>
    <x:row r="215" ht="22" customHeight="1">
      <x:c r="A215" s="1" t="n">
        <x:v>206</x:v>
      </x:c>
      <x:c r="B215" s="11" t="n">
        <x:f>A215*$H$4</x:f>
        <x:v>0.8174603174603174</x:v>
      </x:c>
      <x:c r="C215" s="11" t="n">
        <x:f>MAX(0.0000000001,MIN(0.9999999999,RAND()))</x:f>
        <x:v>0.7981051843680018</x:v>
      </x:c>
      <x:c r="D215" s="11" t="n">
        <x:f>NORM.S.INV(C215)</x:f>
        <x:v>0.8348722666377483</x:v>
      </x:c>
      <x:c r="E215" s="11" t="n">
        <x:f>($D$4-0.5*$F$4^2)*$H$4+$F$4*SQRT($H$4)*D215</x:f>
        <x:v>0.010756497114420425</x:v>
      </x:c>
      <x:c r="F215" s="13" t="n">
        <x:f>F214*EXP(E215)</x:f>
        <x:v>106.52476252414277</x:v>
      </x:c>
      <x:c r="G215" s="1"/>
      <x:c r="H215" s="1"/>
    </x:row>
    <x:row r="216" ht="22" customHeight="1">
      <x:c r="A216" s="1" t="n">
        <x:v>207</x:v>
      </x:c>
      <x:c r="B216" s="11" t="n">
        <x:f>A216*$H$4</x:f>
        <x:v>0.8214285714285714</x:v>
      </x:c>
      <x:c r="C216" s="11" t="n">
        <x:f>MAX(0.0000000001,MIN(0.9999999999,RAND()))</x:f>
        <x:v>0.5124658522873516</x:v>
      </x:c>
      <x:c r="D216" s="11" t="n">
        <x:f>NORM.S.INV(C216)</x:f>
        <x:v>0.031252344473467475</x:v>
      </x:c>
      <x:c r="E216" s="11" t="n">
        <x:f>($D$4-0.5*$F$4^2)*$H$4+$F$4*SQRT($H$4)*D216</x:f>
        <x:v>0.0006318377684024705</x:v>
      </x:c>
      <x:c r="F216" s="13" t="n">
        <x:f>F215*EXP(E216)</x:f>
        <x:v>106.59209016020742</x:v>
      </x:c>
      <x:c r="G216" s="1"/>
      <x:c r="H216" s="1"/>
    </x:row>
    <x:row r="217" ht="22" customHeight="1">
      <x:c r="A217" s="1" t="n">
        <x:v>208</x:v>
      </x:c>
      <x:c r="B217" s="11" t="n">
        <x:f>A217*$H$4</x:f>
        <x:v>0.8253968253968254</x:v>
      </x:c>
      <x:c r="C217" s="11" t="n">
        <x:f>MAX(0.0000000001,MIN(0.9999999999,RAND()))</x:f>
        <x:v>0.3787859899899827</x:v>
      </x:c>
      <x:c r="D217" s="11" t="n">
        <x:f>NORM.S.INV(C217)</x:f>
        <x:v>-0.30867077121074865</x:v>
      </x:c>
      <x:c r="E217" s="11" t="n">
        <x:f>($D$4-0.5*$F$4^2)*$H$4+$F$4*SQRT($H$4)*D217</x:f>
        <x:v>-0.0036507909410388407</x:v>
      </x:c>
      <x:c r="F217" s="13" t="n">
        <x:f>F216*EXP(E217)</x:f>
        <x:v>106.20365420373133</x:v>
      </x:c>
      <x:c r="G217" s="1"/>
      <x:c r="H217" s="1"/>
    </x:row>
    <x:row r="218" ht="22" customHeight="1">
      <x:c r="A218" s="1" t="n">
        <x:v>209</x:v>
      </x:c>
      <x:c r="B218" s="11" t="n">
        <x:f>A218*$H$4</x:f>
        <x:v>0.8293650793650793</x:v>
      </x:c>
      <x:c r="C218" s="11" t="n">
        <x:f>MAX(0.0000000001,MIN(0.9999999999,RAND()))</x:f>
        <x:v>0.6241947989976997</x:v>
      </x:c>
      <x:c r="D218" s="11" t="n">
        <x:f>NORM.S.INV(C218)</x:f>
        <x:v>0.31651663341650005</x:v>
      </x:c>
      <x:c r="E218" s="11" t="n">
        <x:f>($D$4-0.5*$F$4^2)*$H$4+$F$4*SQRT($H$4)*D218</x:f>
        <x:v>0.004225829989692645</x:v>
      </x:c>
      <x:c r="F218" s="13" t="n">
        <x:f>F217*EXP(E218)</x:f>
        <x:v>106.65340240110399</x:v>
      </x:c>
      <x:c r="G218" s="1"/>
      <x:c r="H218" s="1"/>
    </x:row>
    <x:row r="219" ht="22" customHeight="1">
      <x:c r="A219" s="1" t="n">
        <x:v>210</x:v>
      </x:c>
      <x:c r="B219" s="11" t="n">
        <x:f>A219*$H$4</x:f>
        <x:v>0.8333333333333333</x:v>
      </x:c>
      <x:c r="C219" s="11" t="n">
        <x:f>MAX(0.0000000001,MIN(0.9999999999,RAND()))</x:f>
        <x:v>0.2013669967410756</x:v>
      </x:c>
      <x:c r="D219" s="11" t="n">
        <x:f>NORM.S.INV(C219)</x:f>
        <x:v>-0.836748424472199</x:v>
      </x:c>
      <x:c r="E219" s="11" t="n">
        <x:f>($D$4-0.5*$F$4^2)*$H$4+$F$4*SQRT($H$4)*D219</x:f>
        <x:v>-0.010303944005135958</x:v>
      </x:c>
      <x:c r="F219" s="13" t="n">
        <x:f>F218*EXP(E219)</x:f>
        <x:v>105.56009408180023</x:v>
      </x:c>
      <x:c r="G219" s="1"/>
      <x:c r="H219" s="1"/>
    </x:row>
    <x:row r="220" ht="22" customHeight="1">
      <x:c r="A220" s="1" t="n">
        <x:v>211</x:v>
      </x:c>
      <x:c r="B220" s="11" t="n">
        <x:f>A220*$H$4</x:f>
        <x:v>0.8373015873015872</x:v>
      </x:c>
      <x:c r="C220" s="11" t="n">
        <x:f>MAX(0.0000000001,MIN(0.9999999999,RAND()))</x:f>
        <x:v>0.5764330922806606</x:v>
      </x:c>
      <x:c r="D220" s="11" t="n">
        <x:f>NORM.S.INV(C220)</x:f>
        <x:v>0.19277674656126878</x:v>
      </x:c>
      <x:c r="E220" s="11" t="n">
        <x:f>($D$4-0.5*$F$4^2)*$H$4+$F$4*SQRT($H$4)*D220</x:f>
        <x:v>0.002666853952177349</x:v>
      </x:c>
      <x:c r="F220" s="13" t="n">
        <x:f>F219*EXP(E220)</x:f>
        <x:v>105.84198314730989</x:v>
      </x:c>
      <x:c r="G220" s="1"/>
      <x:c r="H220" s="1"/>
    </x:row>
    <x:row r="221" ht="22" customHeight="1">
      <x:c r="A221" s="1" t="n">
        <x:v>212</x:v>
      </x:c>
      <x:c r="B221" s="11" t="n">
        <x:f>A221*$H$4</x:f>
        <x:v>0.8412698412698412</x:v>
      </x:c>
      <x:c r="C221" s="11" t="n">
        <x:f>MAX(0.0000000001,MIN(0.9999999999,RAND()))</x:f>
        <x:v>0.905677709626568</x:v>
      </x:c>
      <x:c r="D221" s="11" t="n">
        <x:f>NORM.S.INV(C221)</x:f>
        <x:v>1.3145993736449577</x:v>
      </x:c>
      <x:c r="E221" s="11" t="n">
        <x:f>($D$4-0.5*$F$4^2)*$H$4+$F$4*SQRT($H$4)*D221</x:f>
        <x:v>0.016800490554027794</x:v>
      </x:c>
      <x:c r="F221" s="13" t="n">
        <x:f>F220*EXP(E221)</x:f>
        <x:v>107.63520168215922</x:v>
      </x:c>
      <x:c r="G221" s="1"/>
      <x:c r="H221" s="1"/>
    </x:row>
    <x:row r="222" ht="22" customHeight="1">
      <x:c r="A222" s="1" t="n">
        <x:v>213</x:v>
      </x:c>
      <x:c r="B222" s="11" t="n">
        <x:f>A222*$H$4</x:f>
        <x:v>0.8452380952380952</x:v>
      </x:c>
      <x:c r="C222" s="11" t="n">
        <x:f>MAX(0.0000000001,MIN(0.9999999999,RAND()))</x:f>
        <x:v>0.36300541863368163</x:v>
      </x:c>
      <x:c r="D222" s="11" t="n">
        <x:f>NORM.S.INV(C222)</x:f>
        <x:v>-0.3504369005926222</x:v>
      </x:c>
      <x:c r="E222" s="11" t="n">
        <x:f>($D$4-0.5*$F$4^2)*$H$4+$F$4*SQRT($H$4)*D222</x:f>
        <x:v>-0.004176994710420676</x:v>
      </x:c>
      <x:c r="F222" s="13" t="n">
        <x:f>F221*EXP(E222)</x:f>
        <x:v>107.18654767909257</x:v>
      </x:c>
      <x:c r="G222" s="1"/>
      <x:c r="H222" s="1"/>
    </x:row>
    <x:row r="223" ht="22" customHeight="1">
      <x:c r="A223" s="1" t="n">
        <x:v>214</x:v>
      </x:c>
      <x:c r="B223" s="11" t="n">
        <x:f>A223*$H$4</x:f>
        <x:v>0.8492063492063492</x:v>
      </x:c>
      <x:c r="C223" s="11" t="n">
        <x:f>MAX(0.0000000001,MIN(0.9999999999,RAND()))</x:f>
        <x:v>0.42093906596237884</x:v>
      </x:c>
      <x:c r="D223" s="11" t="n">
        <x:f>NORM.S.INV(C223)</x:f>
        <x:v>-0.1994917043340612</x:v>
      </x:c>
      <x:c r="E223" s="11" t="n">
        <x:f>($D$4-0.5*$F$4^2)*$H$4+$F$4*SQRT($H$4)*D223</x:f>
        <x:v>-0.0022752639918492954</x:v>
      </x:c>
      <x:c r="F223" s="13" t="n">
        <x:f>F222*EXP(E223)</x:f>
        <x:v>106.9429472195145</x:v>
      </x:c>
      <x:c r="G223" s="1"/>
      <x:c r="H223" s="1"/>
    </x:row>
    <x:row r="224" ht="22" customHeight="1">
      <x:c r="A224" s="1" t="n">
        <x:v>215</x:v>
      </x:c>
      <x:c r="B224" s="11" t="n">
        <x:f>A224*$H$4</x:f>
        <x:v>0.8531746031746031</x:v>
      </x:c>
      <x:c r="C224" s="11" t="n">
        <x:f>MAX(0.0000000001,MIN(0.9999999999,RAND()))</x:f>
        <x:v>0.04557826952869004</x:v>
      </x:c>
      <x:c r="D224" s="11" t="n">
        <x:f>NORM.S.INV(C224)</x:f>
        <x:v>-1.6893282680548447</x:v>
      </x:c>
      <x:c r="E224" s="11" t="n">
        <x:f>($D$4-0.5*$F$4^2)*$H$4+$F$4*SQRT($H$4)*D224</x:f>
        <x:v>-0.021045440381069428</x:v>
      </x:c>
      <x:c r="F224" s="13" t="n">
        <x:f>F223*EXP(E224)</x:f>
        <x:v>104.7158036101676</x:v>
      </x:c>
      <x:c r="G224" s="1"/>
      <x:c r="H224" s="1"/>
    </x:row>
    <x:row r="225" ht="22" customHeight="1">
      <x:c r="A225" s="1" t="n">
        <x:v>216</x:v>
      </x:c>
      <x:c r="B225" s="11" t="n">
        <x:f>A225*$H$4</x:f>
        <x:v>0.8571428571428571</x:v>
      </x:c>
      <x:c r="C225" s="11" t="n">
        <x:f>MAX(0.0000000001,MIN(0.9999999999,RAND()))</x:f>
        <x:v>0.45242274725825227</x:v>
      </x:c>
      <x:c r="D225" s="11" t="n">
        <x:f>NORM.S.INV(C225)</x:f>
        <x:v>-0.11954259690928384</x:v>
      </x:c>
      <x:c r="E225" s="11" t="n">
        <x:f>($D$4-0.5*$F$4^2)*$H$4+$F$4*SQRT($H$4)*D225</x:f>
        <x:v>-0.0012679999166704935</x:v>
      </x:c>
      <x:c r="F225" s="13" t="n">
        <x:f>F224*EXP(E225)</x:f>
        <x:v>104.58310812662612</x:v>
      </x:c>
      <x:c r="G225" s="1"/>
      <x:c r="H225" s="1"/>
    </x:row>
    <x:row r="226" ht="22" customHeight="1">
      <x:c r="A226" s="1" t="n">
        <x:v>217</x:v>
      </x:c>
      <x:c r="B226" s="11" t="n">
        <x:f>A226*$H$4</x:f>
        <x:v>0.861111111111111</x:v>
      </x:c>
      <x:c r="C226" s="11" t="n">
        <x:f>MAX(0.0000000001,MIN(0.9999999999,RAND()))</x:f>
        <x:v>0.9960803419923923</x:v>
      </x:c>
      <x:c r="D226" s="11" t="n">
        <x:f>NORM.S.INV(C226)</x:f>
        <x:v>2.6589131855526285</x:v>
      </x:c>
      <x:c r="E226" s="11" t="n">
        <x:f>($D$4-0.5*$F$4^2)*$H$4+$F$4*SQRT($H$4)*D226</x:f>
        <x:v>0.0337372526032514</x:v>
      </x:c>
      <x:c r="F226" s="13" t="n">
        <x:f>F225*EXP(E226)</x:f>
        <x:v>108.17164823840653</x:v>
      </x:c>
      <x:c r="G226" s="1"/>
      <x:c r="H226" s="1"/>
    </x:row>
    <x:row r="227" ht="22" customHeight="1">
      <x:c r="A227" s="1" t="n">
        <x:v>218</x:v>
      </x:c>
      <x:c r="B227" s="11" t="n">
        <x:f>A227*$H$4</x:f>
        <x:v>0.865079365079365</x:v>
      </x:c>
      <x:c r="C227" s="11" t="n">
        <x:f>MAX(0.0000000001,MIN(0.9999999999,RAND()))</x:f>
        <x:v>0.701947837421315</x:v>
      </x:c>
      <x:c r="D227" s="11" t="n">
        <x:f>NORM.S.INV(C227)</x:f>
        <x:v>0.5300109696606058</x:v>
      </x:c>
      <x:c r="E227" s="11" t="n">
        <x:f>($D$4-0.5*$F$4^2)*$H$4+$F$4*SQRT($H$4)*D227</x:f>
        <x:v>0.006915605799324585</x:v>
      </x:c>
      <x:c r="F227" s="13" t="n">
        <x:f>F226*EXP(E227)</x:f>
        <x:v>108.92231337662946</x:v>
      </x:c>
      <x:c r="G227" s="1"/>
      <x:c r="H227" s="1"/>
    </x:row>
    <x:row r="228" ht="22" customHeight="1">
      <x:c r="A228" s="1" t="n">
        <x:v>219</x:v>
      </x:c>
      <x:c r="B228" s="11" t="n">
        <x:f>A228*$H$4</x:f>
        <x:v>0.869047619047619</x:v>
      </x:c>
      <x:c r="C228" s="11" t="n">
        <x:f>MAX(0.0000000001,MIN(0.9999999999,RAND()))</x:f>
        <x:v>0.08173577190837933</x:v>
      </x:c>
      <x:c r="D228" s="11" t="n">
        <x:f>NORM.S.INV(C228)</x:f>
        <x:v>-1.3934904073276844</x:v>
      </x:c>
      <x:c r="E228" s="11" t="n">
        <x:f>($D$4-0.5*$F$4^2)*$H$4+$F$4*SQRT($H$4)*D228</x:f>
        <x:v>-0.01731823367687215</x:v>
      </x:c>
      <x:c r="F228" s="13" t="n">
        <x:f>F227*EXP(E228)</x:f>
        <x:v>107.05221147187693</x:v>
      </x:c>
      <x:c r="G228" s="1"/>
      <x:c r="H228" s="1"/>
    </x:row>
    <x:row r="229" ht="22" customHeight="1">
      <x:c r="A229" s="1" t="n">
        <x:v>220</x:v>
      </x:c>
      <x:c r="B229" s="11" t="n">
        <x:f>A229*$H$4</x:f>
        <x:v>0.873015873015873</x:v>
      </x:c>
      <x:c r="C229" s="11" t="n">
        <x:f>MAX(0.0000000001,MIN(0.9999999999,RAND()))</x:f>
        <x:v>0.9364871126085031</x:v>
      </x:c>
      <x:c r="D229" s="11" t="n">
        <x:f>NORM.S.INV(C229)</x:f>
        <x:v>1.5259361174295403</x:v>
      </x:c>
      <x:c r="E229" s="11" t="n">
        <x:f>($D$4-0.5*$F$4^2)*$H$4+$F$4*SQRT($H$4)*D229</x:f>
        <x:v>0.01946308325376199</x:v>
      </x:c>
      <x:c r="F229" s="13" t="n">
        <x:f>F228*EXP(E229)</x:f>
        <x:v>109.15618607561032</x:v>
      </x:c>
      <x:c r="G229" s="1"/>
      <x:c r="H229" s="1"/>
    </x:row>
    <x:row r="230" ht="22" customHeight="1">
      <x:c r="A230" s="1" t="n">
        <x:v>221</x:v>
      </x:c>
      <x:c r="B230" s="11" t="n">
        <x:f>A230*$H$4</x:f>
        <x:v>0.876984126984127</x:v>
      </x:c>
      <x:c r="C230" s="11" t="n">
        <x:f>MAX(0.0000000001,MIN(0.9999999999,RAND()))</x:f>
        <x:v>0.6781832383934095</x:v>
      </x:c>
      <x:c r="D230" s="11" t="n">
        <x:f>NORM.S.INV(C230)</x:f>
        <x:v>0.4626245292780927</x:v>
      </x:c>
      <x:c r="E230" s="11" t="n">
        <x:f>($D$4-0.5*$F$4^2)*$H$4+$F$4*SQRT($H$4)*D230</x:f>
        <x:v>0.006066616451753109</x:v>
      </x:c>
      <x:c r="F230" s="13" t="n">
        <x:f>F229*EXP(E230)</x:f>
        <x:v>109.8204075411456</x:v>
      </x:c>
      <x:c r="G230" s="1"/>
      <x:c r="H230" s="1"/>
    </x:row>
    <x:row r="231" ht="22" customHeight="1">
      <x:c r="A231" s="1" t="n">
        <x:v>222</x:v>
      </x:c>
      <x:c r="B231" s="11" t="n">
        <x:f>A231*$H$4</x:f>
        <x:v>0.8809523809523809</x:v>
      </x:c>
      <x:c r="C231" s="11" t="n">
        <x:f>MAX(0.0000000001,MIN(0.9999999999,RAND()))</x:f>
        <x:v>0.9606384894808742</x:v>
      </x:c>
      <x:c r="D231" s="11" t="n">
        <x:f>NORM.S.INV(C231)</x:f>
        <x:v>1.7581439397175491</x:v>
      </x:c>
      <x:c r="E231" s="11" t="n">
        <x:f>($D$4-0.5*$F$4^2)*$H$4+$F$4*SQRT($H$4)*D231</x:f>
        <x:v>0.022388626826418907</x:v>
      </x:c>
      <x:c r="F231" s="13" t="n">
        <x:f>F230*EXP(E231)</x:f>
        <x:v>112.30686599806447</x:v>
      </x:c>
      <x:c r="G231" s="1"/>
      <x:c r="H231" s="1"/>
    </x:row>
    <x:row r="232" ht="22" customHeight="1">
      <x:c r="A232" s="1" t="n">
        <x:v>223</x:v>
      </x:c>
      <x:c r="B232" s="11" t="n">
        <x:f>A232*$H$4</x:f>
        <x:v>0.8849206349206349</x:v>
      </x:c>
      <x:c r="C232" s="11" t="n">
        <x:f>MAX(0.0000000001,MIN(0.9999999999,RAND()))</x:f>
        <x:v>0.5406497503156826</x:v>
      </x:c>
      <x:c r="D232" s="11" t="n">
        <x:f>NORM.S.INV(C232)</x:f>
        <x:v>0.10207077328015979</x:v>
      </x:c>
      <x:c r="E232" s="11" t="n">
        <x:f>($D$4-0.5*$F$4^2)*$H$4+$F$4*SQRT($H$4)*D232</x:f>
        <x:v>0.0015240661058445683</x:v>
      </x:c>
      <x:c r="F232" s="13" t="n">
        <x:f>F231*EXP(E232)</x:f>
        <x:v>112.47815958420372</x:v>
      </x:c>
      <x:c r="G232" s="1"/>
      <x:c r="H232" s="1"/>
    </x:row>
    <x:row r="233" ht="22" customHeight="1">
      <x:c r="A233" s="1" t="n">
        <x:v>224</x:v>
      </x:c>
      <x:c r="B233" s="11" t="n">
        <x:f>A233*$H$4</x:f>
        <x:v>0.8888888888888888</x:v>
      </x:c>
      <x:c r="C233" s="11" t="n">
        <x:f>MAX(0.0000000001,MIN(0.9999999999,RAND()))</x:f>
        <x:v>0.8367615536305697</x:v>
      </x:c>
      <x:c r="D233" s="11" t="n">
        <x:f>NORM.S.INV(C233)</x:f>
        <x:v>0.9812349500875159</x:v>
      </x:c>
      <x:c r="E233" s="11" t="n">
        <x:f>($D$4-0.5*$F$4^2)*$H$4+$F$4*SQRT($H$4)*D233</x:f>
        <x:v>0.012600493598364017</x:v>
      </x:c>
      <x:c r="F233" s="13" t="n">
        <x:f>F232*EXP(E233)</x:f>
        <x:v>113.90440675247851</x:v>
      </x:c>
      <x:c r="G233" s="1"/>
      <x:c r="H233" s="1"/>
    </x:row>
    <x:row r="234" ht="22" customHeight="1">
      <x:c r="A234" s="1" t="n">
        <x:v>225</x:v>
      </x:c>
      <x:c r="B234" s="11" t="n">
        <x:f>A234*$H$4</x:f>
        <x:v>0.8928571428571428</x:v>
      </x:c>
      <x:c r="C234" s="11" t="n">
        <x:f>MAX(0.0000000001,MIN(0.9999999999,RAND()))</x:f>
        <x:v>0.5453859380218322</x:v>
      </x:c>
      <x:c r="D234" s="11" t="n">
        <x:f>NORM.S.INV(C234)</x:f>
        <x:v>0.11401219791985609</x:v>
      </x:c>
      <x:c r="E234" s="11" t="n">
        <x:f>($D$4-0.5*$F$4^2)*$H$4+$F$4*SQRT($H$4)*D234</x:f>
        <x:v>0.0016745139148753088</x:v>
      </x:c>
      <x:c r="F234" s="13" t="n">
        <x:f>F233*EXP(E234)</x:f>
        <x:v>114.09530104952391</x:v>
      </x:c>
      <x:c r="G234" s="1"/>
      <x:c r="H234" s="1"/>
    </x:row>
    <x:row r="235" ht="22" customHeight="1">
      <x:c r="A235" s="1" t="n">
        <x:v>226</x:v>
      </x:c>
      <x:c r="B235" s="11" t="n">
        <x:f>A235*$H$4</x:f>
        <x:v>0.8968253968253967</x:v>
      </x:c>
      <x:c r="C235" s="11" t="n">
        <x:f>MAX(0.0000000001,MIN(0.9999999999,RAND()))</x:f>
        <x:v>0.10667172395654145</x:v>
      </x:c>
      <x:c r="D235" s="11" t="n">
        <x:f>NORM.S.INV(C235)</x:f>
        <x:v>-1.244424289623403</x:v>
      </x:c>
      <x:c r="E235" s="11" t="n">
        <x:f>($D$4-0.5*$F$4^2)*$H$4+$F$4*SQRT($H$4)*D235</x:f>
        <x:v>-0.01544017712281781</x:v>
      </x:c>
      <x:c r="F235" s="13" t="n">
        <x:f>F234*EXP(E235)</x:f>
        <x:v>112.34717977258128</x:v>
      </x:c>
      <x:c r="G235" s="1"/>
      <x:c r="H235" s="1"/>
    </x:row>
    <x:row r="236" ht="22" customHeight="1">
      <x:c r="A236" s="1" t="n">
        <x:v>227</x:v>
      </x:c>
      <x:c r="B236" s="11" t="n">
        <x:f>A236*$H$4</x:f>
        <x:v>0.9007936507936507</x:v>
      </x:c>
      <x:c r="C236" s="11" t="n">
        <x:f>MAX(0.0000000001,MIN(0.9999999999,RAND()))</x:f>
        <x:v>0.1253956187449189</x:v>
      </x:c>
      <x:c r="D236" s="11" t="n">
        <x:f>NORM.S.INV(C236)</x:f>
        <x:v>-1.1484296546619956</x:v>
      </x:c>
      <x:c r="E236" s="11" t="n">
        <x:f>($D$4-0.5*$F$4^2)*$H$4+$F$4*SQRT($H$4)*D236</x:f>
        <x:v>-0.014230758402321096</x:v>
      </x:c>
      <x:c r="F236" s="13" t="n">
        <x:f>F235*EXP(E236)</x:f>
        <x:v>110.75971639423071</x:v>
      </x:c>
      <x:c r="G236" s="1"/>
      <x:c r="H236" s="1"/>
    </x:row>
    <x:row r="237" ht="22" customHeight="1">
      <x:c r="A237" s="1" t="n">
        <x:v>228</x:v>
      </x:c>
      <x:c r="B237" s="11" t="n">
        <x:f>A237*$H$4</x:f>
        <x:v>0.9047619047619047</x:v>
      </x:c>
      <x:c r="C237" s="11" t="n">
        <x:f>MAX(0.0000000001,MIN(0.9999999999,RAND()))</x:f>
        <x:v>0.4011079510530987</x:v>
      </x:c>
      <x:c r="D237" s="11" t="n">
        <x:f>NORM.S.INV(C237)</x:f>
        <x:v>-0.2504803458436229</x:v>
      </x:c>
      <x:c r="E237" s="11" t="n">
        <x:f>($D$4-0.5*$F$4^2)*$H$4+$F$4*SQRT($H$4)*D237</x:f>
        <x:v>-0.002917660492436559</x:v>
      </x:c>
      <x:c r="F237" s="13" t="n">
        <x:f>F236*EXP(E237)</x:f>
        <x:v>110.43702812187908</x:v>
      </x:c>
      <x:c r="G237" s="1"/>
      <x:c r="H237" s="1"/>
    </x:row>
    <x:row r="238" ht="22" customHeight="1">
      <x:c r="A238" s="1" t="n">
        <x:v>229</x:v>
      </x:c>
      <x:c r="B238" s="11" t="n">
        <x:f>A238*$H$4</x:f>
        <x:v>0.9087301587301587</x:v>
      </x:c>
      <x:c r="C238" s="11" t="n">
        <x:f>MAX(0.0000000001,MIN(0.9999999999,RAND()))</x:f>
        <x:v>0.3438561105580834</x:v>
      </x:c>
      <x:c r="D238" s="11" t="n">
        <x:f>NORM.S.INV(C238)</x:f>
        <x:v>-0.4019616894741076</x:v>
      </x:c>
      <x:c r="E238" s="11" t="n">
        <x:f>($D$4-0.5*$F$4^2)*$H$4+$F$4*SQRT($H$4)*D238</x:f>
        <x:v>-0.004826146032970754</x:v>
      </x:c>
      <x:c r="F238" s="13" t="n">
        <x:f>F237*EXP(E238)</x:f>
        <x:v>109.90532696245386</x:v>
      </x:c>
      <x:c r="G238" s="1"/>
      <x:c r="H238" s="1"/>
    </x:row>
    <x:row r="239" ht="22" customHeight="1">
      <x:c r="A239" s="1" t="n">
        <x:v>230</x:v>
      </x:c>
      <x:c r="B239" s="11" t="n">
        <x:f>A239*$H$4</x:f>
        <x:v>0.9126984126984127</x:v>
      </x:c>
      <x:c r="C239" s="11" t="n">
        <x:f>MAX(0.0000000001,MIN(0.9999999999,RAND()))</x:f>
        <x:v>0.23088610437608137</x:v>
      </x:c>
      <x:c r="D239" s="11" t="n">
        <x:f>NORM.S.INV(C239)</x:f>
        <x:v>-0.7359317913207124</x:v>
      </x:c>
      <x:c r="E239" s="11" t="n">
        <x:f>($D$4-0.5*$F$4^2)*$H$4+$F$4*SQRT($H$4)*D239</x:f>
        <x:v>-0.009033773817813751</x:v>
      </x:c>
      <x:c r="F239" s="13" t="n">
        <x:f>F238*EXP(E239)</x:f>
        <x:v>108.91693825907842</x:v>
      </x:c>
      <x:c r="G239" s="1"/>
      <x:c r="H239" s="1"/>
    </x:row>
    <x:row r="240" ht="22" customHeight="1">
      <x:c r="A240" s="1" t="n">
        <x:v>231</x:v>
      </x:c>
      <x:c r="B240" s="11" t="n">
        <x:f>A240*$H$4</x:f>
        <x:v>0.9166666666666666</x:v>
      </x:c>
      <x:c r="C240" s="11" t="n">
        <x:f>MAX(0.0000000001,MIN(0.9999999999,RAND()))</x:f>
        <x:v>0.4229937863216098</x:v>
      </x:c>
      <x:c r="D240" s="11" t="n">
        <x:f>NORM.S.INV(C240)</x:f>
        <x:v>-0.1942404995700124</x:v>
      </x:c>
      <x:c r="E240" s="11" t="n">
        <x:f>($D$4-0.5*$F$4^2)*$H$4+$F$4*SQRT($H$4)*D240</x:f>
        <x:v>-0.0022091050304723875</x:v>
      </x:c>
      <x:c r="F240" s="13" t="n">
        <x:f>F239*EXP(E240)</x:f>
        <x:v>108.67659487250135</x:v>
      </x:c>
      <x:c r="G240" s="1"/>
      <x:c r="H240" s="1"/>
    </x:row>
    <x:row r="241" ht="22" customHeight="1">
      <x:c r="A241" s="1" t="n">
        <x:v>232</x:v>
      </x:c>
      <x:c r="B241" s="11" t="n">
        <x:f>A241*$H$4</x:f>
        <x:v>0.9206349206349206</x:v>
      </x:c>
      <x:c r="C241" s="11" t="n">
        <x:f>MAX(0.0000000001,MIN(0.9999999999,RAND()))</x:f>
        <x:v>0.4350985550276919</x:v>
      </x:c>
      <x:c r="D241" s="11" t="n">
        <x:f>NORM.S.INV(C241)</x:f>
        <x:v>-0.16340811990564957</x:v>
      </x:c>
      <x:c r="E241" s="11" t="n">
        <x:f>($D$4-0.5*$F$4^2)*$H$4+$F$4*SQRT($H$4)*D241</x:f>
        <x:v>-0.0018206535594236775</x:v>
      </x:c>
      <x:c r="F241" s="13" t="n">
        <x:f>F240*EXP(E241)</x:f>
        <x:v>108.47891245342679</x:v>
      </x:c>
      <x:c r="G241" s="1"/>
      <x:c r="H241" s="1"/>
    </x:row>
    <x:row r="242" ht="22" customHeight="1">
      <x:c r="A242" s="1" t="n">
        <x:v>233</x:v>
      </x:c>
      <x:c r="B242" s="11" t="n">
        <x:f>A242*$H$4</x:f>
        <x:v>0.9246031746031745</x:v>
      </x:c>
      <x:c r="C242" s="11" t="n">
        <x:f>MAX(0.0000000001,MIN(0.9999999999,RAND()))</x:f>
        <x:v>0.20711650987206232</x:v>
      </x:c>
      <x:c r="D242" s="11" t="n">
        <x:f>NORM.S.INV(C242)</x:f>
        <x:v>-0.8164671231246997</x:v>
      </x:c>
      <x:c r="E242" s="11" t="n">
        <x:f>($D$4-0.5*$F$4^2)*$H$4+$F$4*SQRT($H$4)*D242</x:f>
        <x:v>-0.010048423625944328</x:v>
      </x:c>
      <x:c r="F242" s="13" t="n">
        <x:f>F241*EXP(E242)</x:f>
        <x:v>107.39432869109096</x:v>
      </x:c>
      <x:c r="G242" s="1"/>
      <x:c r="H242" s="1"/>
    </x:row>
    <x:row r="243" ht="22" customHeight="1">
      <x:c r="A243" s="1" t="n">
        <x:v>234</x:v>
      </x:c>
      <x:c r="B243" s="11" t="n">
        <x:f>A243*$H$4</x:f>
        <x:v>0.9285714285714285</x:v>
      </x:c>
      <x:c r="C243" s="11" t="n">
        <x:f>MAX(0.0000000001,MIN(0.9999999999,RAND()))</x:f>
        <x:v>0.8654933608920329</x:v>
      </x:c>
      <x:c r="D243" s="11" t="n">
        <x:f>NORM.S.INV(C243)</x:f>
        <x:v>1.1053377224333718</x:v>
      </x:c>
      <x:c r="E243" s="11" t="n">
        <x:f>($D$4-0.5*$F$4^2)*$H$4+$F$4*SQRT($H$4)*D243</x:f>
        <x:v>0.014164041563320202</x:v>
      </x:c>
      <x:c r="F243" s="13" t="n">
        <x:f>F242*EXP(E243)</x:f>
        <x:v>108.92629019779677</x:v>
      </x:c>
      <x:c r="G243" s="1"/>
      <x:c r="H243" s="1"/>
    </x:row>
    <x:row r="244" ht="22" customHeight="1">
      <x:c r="A244" s="1" t="n">
        <x:v>235</x:v>
      </x:c>
      <x:c r="B244" s="11" t="n">
        <x:f>A244*$H$4</x:f>
        <x:v>0.9325396825396824</x:v>
      </x:c>
      <x:c r="C244" s="11" t="n">
        <x:f>MAX(0.0000000001,MIN(0.9999999999,RAND()))</x:f>
        <x:v>0.924873592480474</x:v>
      </x:c>
      <x:c r="D244" s="11" t="n">
        <x:f>NORM.S.INV(C244)</x:f>
        <x:v>1.4386390546950212</x:v>
      </x:c>
      <x:c r="E244" s="11" t="n">
        <x:f>($D$4-0.5*$F$4^2)*$H$4+$F$4*SQRT($H$4)*D244</x:f>
        <x:v>0.01836324364337179</x:v>
      </x:c>
      <x:c r="F244" s="13" t="n">
        <x:f>F243*EXP(E244)</x:f>
        <x:v>110.9450085855339</x:v>
      </x:c>
      <x:c r="G244" s="1"/>
      <x:c r="H244" s="1"/>
    </x:row>
    <x:row r="245" ht="22" customHeight="1">
      <x:c r="A245" s="1" t="n">
        <x:v>236</x:v>
      </x:c>
      <x:c r="B245" s="11" t="n">
        <x:f>A245*$H$4</x:f>
        <x:v>0.9365079365079365</x:v>
      </x:c>
      <x:c r="C245" s="11" t="n">
        <x:f>MAX(0.0000000001,MIN(0.9999999999,RAND()))</x:f>
        <x:v>0.9332325308281935</x:v>
      </x:c>
      <x:c r="D245" s="11" t="n">
        <x:f>NORM.S.INV(C245)</x:f>
        <x:v>1.5003068404855273</x:v>
      </x:c>
      <x:c r="E245" s="11" t="n">
        <x:f>($D$4-0.5*$F$4^2)*$H$4+$F$4*SQRT($H$4)*D245</x:f>
        <x:v>0.01914018471530361</x:v>
      </x:c>
      <x:c r="F245" s="13" t="n">
        <x:f>F244*EXP(E245)</x:f>
        <x:v>113.08896898985236</x:v>
      </x:c>
      <x:c r="G245" s="1"/>
      <x:c r="H245" s="1"/>
    </x:row>
    <x:row r="246" ht="22" customHeight="1">
      <x:c r="A246" s="1" t="n">
        <x:v>237</x:v>
      </x:c>
      <x:c r="B246" s="11" t="n">
        <x:f>A246*$H$4</x:f>
        <x:v>0.9404761904761905</x:v>
      </x:c>
      <x:c r="C246" s="11" t="n">
        <x:f>MAX(0.0000000001,MIN(0.9999999999,RAND()))</x:f>
        <x:v>0.6658985206532135</x:v>
      </x:c>
      <x:c r="D246" s="11" t="n">
        <x:f>NORM.S.INV(C246)</x:f>
        <x:v>0.42861564423406373</x:v>
      </x:c>
      <x:c r="E246" s="11" t="n">
        <x:f>($D$4-0.5*$F$4^2)*$H$4+$F$4*SQRT($H$4)*D246</x:f>
        <x:v>0.005638144774643182</x:v>
      </x:c>
      <x:c r="F246" s="13" t="n">
        <x:f>F245*EXP(E246)</x:f>
        <x:v>113.72838182666487</x:v>
      </x:c>
      <x:c r="G246" s="1"/>
      <x:c r="H246" s="1"/>
    </x:row>
    <x:row r="247" ht="22" customHeight="1">
      <x:c r="A247" s="1" t="n">
        <x:v>238</x:v>
      </x:c>
      <x:c r="B247" s="11" t="n">
        <x:f>A247*$H$4</x:f>
        <x:v>0.9444444444444444</x:v>
      </x:c>
      <x:c r="C247" s="11" t="n">
        <x:f>MAX(0.0000000001,MIN(0.9999999999,RAND()))</x:f>
        <x:v>0.42665435823638276</x:v>
      </x:c>
      <x:c r="D247" s="11" t="n">
        <x:f>NORM.S.INV(C247)</x:f>
        <x:v>-0.18489841210749652</x:v>
      </x:c>
      <x:c r="E247" s="11" t="n">
        <x:f>($D$4-0.5*$F$4^2)*$H$4+$F$4*SQRT($H$4)*D247</x:f>
        <x:v>-0.0020914057916531902</x:v>
      </x:c>
      <x:c r="F247" s="13" t="n">
        <x:f>F246*EXP(E247)</x:f>
        <x:v>113.49077817966506</x:v>
      </x:c>
      <x:c r="G247" s="1"/>
      <x:c r="H247" s="1"/>
    </x:row>
    <x:row r="248" ht="22" customHeight="1">
      <x:c r="A248" s="1" t="n">
        <x:v>239</x:v>
      </x:c>
      <x:c r="B248" s="11" t="n">
        <x:f>A248*$H$4</x:f>
        <x:v>0.9484126984126984</x:v>
      </x:c>
      <x:c r="C248" s="11" t="n">
        <x:f>MAX(0.0000000001,MIN(0.9999999999,RAND()))</x:f>
        <x:v>0.5707797209608292</x:v>
      </x:c>
      <x:c r="D248" s="11" t="n">
        <x:f>NORM.S.INV(C248)</x:f>
        <x:v>0.17835962162107039</x:v>
      </x:c>
      <x:c r="E248" s="11" t="n">
        <x:f>($D$4-0.5*$F$4^2)*$H$4+$F$4*SQRT($H$4)*D248</x:f>
        <x:v>0.0024852152511663397</x:v>
      </x:c>
      <x:c r="F248" s="13" t="n">
        <x:f>F247*EXP(E248)</x:f>
        <x:v>113.77317795923479</x:v>
      </x:c>
      <x:c r="G248" s="1"/>
      <x:c r="H248" s="1"/>
    </x:row>
    <x:row r="249" ht="22" customHeight="1">
      <x:c r="A249" s="1" t="n">
        <x:v>240</x:v>
      </x:c>
      <x:c r="B249" s="11" t="n">
        <x:f>A249*$H$4</x:f>
        <x:v>0.9523809523809523</x:v>
      </x:c>
      <x:c r="C249" s="11" t="n">
        <x:f>MAX(0.0000000001,MIN(0.9999999999,RAND()))</x:f>
        <x:v>0.016801235925958613</x:v>
      </x:c>
      <x:c r="D249" s="11" t="n">
        <x:f>NORM.S.INV(C249)</x:f>
        <x:v>-2.1248099786792274</x:v>
      </x:c>
      <x:c r="E249" s="11" t="n">
        <x:f>($D$4-0.5*$F$4^2)*$H$4+$F$4*SQRT($H$4)*D249</x:f>
        <x:v>-0.026531994223112816</x:v>
      </x:c>
      <x:c r="F249" s="13" t="n">
        <x:f>F248*EXP(E249)</x:f>
        <x:v>110.79424196414921</x:v>
      </x:c>
      <x:c r="G249" s="1"/>
      <x:c r="H249" s="1"/>
    </x:row>
    <x:row r="250" ht="22" customHeight="1">
      <x:c r="A250" s="1" t="n">
        <x:v>241</x:v>
      </x:c>
      <x:c r="B250" s="11" t="n">
        <x:f>A250*$H$4</x:f>
        <x:v>0.9563492063492063</x:v>
      </x:c>
      <x:c r="C250" s="11" t="n">
        <x:f>MAX(0.0000000001,MIN(0.9999999999,RAND()))</x:f>
        <x:v>0.2076094911720161</x:v>
      </x:c>
      <x:c r="D250" s="11" t="n">
        <x:f>NORM.S.INV(C250)</x:f>
        <x:v>-0.814743789329328</x:v>
      </x:c>
      <x:c r="E250" s="11" t="n">
        <x:f>($D$4-0.5*$F$4^2)*$H$4+$F$4*SQRT($H$4)*D250</x:f>
        <x:v>-0.01002671166095144</x:v>
      </x:c>
      <x:c r="F250" s="13" t="n">
        <x:f>F249*EXP(E250)</x:f>
        <x:v>109.68889082537659</x:v>
      </x:c>
      <x:c r="G250" s="1"/>
      <x:c r="H250" s="1"/>
    </x:row>
    <x:row r="251" ht="22" customHeight="1">
      <x:c r="A251" s="1" t="n">
        <x:v>242</x:v>
      </x:c>
      <x:c r="B251" s="11" t="n">
        <x:f>A251*$H$4</x:f>
        <x:v>0.9603174603174602</x:v>
      </x:c>
      <x:c r="C251" s="11" t="n">
        <x:f>MAX(0.0000000001,MIN(0.9999999999,RAND()))</x:f>
        <x:v>0.515666926938759</x:v>
      </x:c>
      <x:c r="D251" s="11" t="n">
        <x:f>NORM.S.INV(C251)</x:f>
        <x:v>0.03928126164938014</x:v>
      </x:c>
      <x:c r="E251" s="11" t="n">
        <x:f>($D$4-0.5*$F$4^2)*$H$4+$F$4*SQRT($H$4)*D251</x:f>
        <x:v>0.0007329926167100892</x:v>
      </x:c>
      <x:c r="F251" s="13" t="n">
        <x:f>F250*EXP(E251)</x:f>
        <x:v>109.76932144641127</x:v>
      </x:c>
      <x:c r="G251" s="1"/>
      <x:c r="H251" s="1"/>
    </x:row>
    <x:row r="252" ht="22" customHeight="1">
      <x:c r="A252" s="1" t="n">
        <x:v>243</x:v>
      </x:c>
      <x:c r="B252" s="11" t="n">
        <x:f>A252*$H$4</x:f>
        <x:v>0.9642857142857142</x:v>
      </x:c>
      <x:c r="C252" s="11" t="n">
        <x:f>MAX(0.0000000001,MIN(0.9999999999,RAND()))</x:f>
        <x:v>0.9654007284034525</x:v>
      </x:c>
      <x:c r="D252" s="11" t="n">
        <x:f>NORM.S.INV(C252)</x:f>
        <x:v>1.8171212920946498</x:v>
      </x:c>
      <x:c r="E252" s="11" t="n">
        <x:f>($D$4-0.5*$F$4^2)*$H$4+$F$4*SQRT($H$4)*D252</x:f>
        <x:v>0.02313167162344192</x:v>
      </x:c>
      <x:c r="F252" s="13" t="n">
        <x:f>F251*EXP(E252)</x:f>
        <x:v>112.3380644664549</x:v>
      </x:c>
      <x:c r="G252" s="1"/>
      <x:c r="H252" s="1"/>
    </x:row>
    <x:row r="253" ht="22" customHeight="1">
      <x:c r="A253" s="1" t="n">
        <x:v>244</x:v>
      </x:c>
      <x:c r="B253" s="11" t="n">
        <x:f>A253*$H$4</x:f>
        <x:v>0.9682539682539681</x:v>
      </x:c>
      <x:c r="C253" s="11" t="n">
        <x:f>MAX(0.0000000001,MIN(0.9999999999,RAND()))</x:f>
        <x:v>0.8922167528914385</x:v>
      </x:c>
      <x:c r="D253" s="11" t="n">
        <x:f>NORM.S.INV(C253)</x:f>
        <x:v>1.238403471139636</x:v>
      </x:c>
      <x:c r="E253" s="11" t="n">
        <x:f>($D$4-0.5*$F$4^2)*$H$4+$F$4*SQRT($H$4)*D253</x:f>
        <x:v>0.015840512416164913</x:v>
      </x:c>
      <x:c r="F253" s="13" t="n">
        <x:f>F252*EXP(E253)</x:f>
        <x:v>114.13172572256855</x:v>
      </x:c>
      <x:c r="G253" s="1"/>
      <x:c r="H253" s="1"/>
    </x:row>
    <x:row r="254" ht="22" customHeight="1">
      <x:c r="A254" s="1" t="n">
        <x:v>245</x:v>
      </x:c>
      <x:c r="B254" s="11" t="n">
        <x:f>A254*$H$4</x:f>
        <x:v>0.9722222222222222</x:v>
      </x:c>
      <x:c r="C254" s="11" t="n">
        <x:f>MAX(0.0000000001,MIN(0.9999999999,RAND()))</x:f>
        <x:v>0.09756899425440335</x:v>
      </x:c>
      <x:c r="D254" s="11" t="n">
        <x:f>NORM.S.INV(C254)</x:f>
        <x:v>-1.2955284646435212</x:v>
      </x:c>
      <x:c r="E254" s="11" t="n">
        <x:f>($D$4-0.5*$F$4^2)*$H$4+$F$4*SQRT($H$4)*D254</x:f>
        <x:v>-0.01608402920881949</x:v>
      </x:c>
      <x:c r="F254" s="13" t="n">
        <x:f>F253*EXP(E254)</x:f>
        <x:v>112.3107115918803</x:v>
      </x:c>
      <x:c r="G254" s="1"/>
      <x:c r="H254" s="1"/>
    </x:row>
    <x:row r="255" ht="22" customHeight="1">
      <x:c r="A255" s="1" t="n">
        <x:v>246</x:v>
      </x:c>
      <x:c r="B255" s="11" t="n">
        <x:f>A255*$H$4</x:f>
        <x:v>0.9761904761904762</x:v>
      </x:c>
      <x:c r="C255" s="11" t="n">
        <x:f>MAX(0.0000000001,MIN(0.9999999999,RAND()))</x:f>
        <x:v>0.7462914304898329</x:v>
      </x:c>
      <x:c r="D255" s="11" t="n">
        <x:f>NORM.S.INV(C255)</x:f>
        <x:v>0.6628648132745544</x:v>
      </x:c>
      <x:c r="E255" s="11" t="n">
        <x:f>($D$4-0.5*$F$4^2)*$H$4+$F$4*SQRT($H$4)*D255</x:f>
        <x:v>0.008589406898951131</x:v>
      </x:c>
      <x:c r="F255" s="13" t="n">
        <x:f>F254*EXP(E255)</x:f>
        <x:v>113.27954890524666</x:v>
      </x:c>
      <x:c r="G255" s="1"/>
      <x:c r="H255" s="1"/>
    </x:row>
    <x:row r="256" ht="22" customHeight="1">
      <x:c r="A256" s="1" t="n">
        <x:v>247</x:v>
      </x:c>
      <x:c r="B256" s="11" t="n">
        <x:f>A256*$H$4</x:f>
        <x:v>0.9801587301587301</x:v>
      </x:c>
      <x:c r="C256" s="11" t="n">
        <x:f>MAX(0.0000000001,MIN(0.9999999999,RAND()))</x:f>
        <x:v>0.23737926557450661</x:v>
      </x:c>
      <x:c r="D256" s="11" t="n">
        <x:f>NORM.S.INV(C256)</x:f>
        <x:v>-0.7147580980136463</x:v>
      </x:c>
      <x:c r="E256" s="11" t="n">
        <x:f>($D$4-0.5*$F$4^2)*$H$4+$F$4*SQRT($H$4)*D256</x:f>
        <x:v>-0.00876701035673161</x:v>
      </x:c>
      <x:c r="F256" s="13" t="n">
        <x:f>F255*EXP(E256)</x:f>
        <x:v>112.29076659235868</x:v>
      </x:c>
      <x:c r="G256" s="1"/>
      <x:c r="H256" s="1"/>
    </x:row>
    <x:row r="257" ht="22" customHeight="1">
      <x:c r="A257" s="1" t="n">
        <x:v>248</x:v>
      </x:c>
      <x:c r="B257" s="11" t="n">
        <x:f>A257*$H$4</x:f>
        <x:v>0.9841269841269841</x:v>
      </x:c>
      <x:c r="C257" s="11" t="n">
        <x:f>MAX(0.0000000001,MIN(0.9999999999,RAND()))</x:f>
        <x:v>0.07925815484865562</x:v>
      </x:c>
      <x:c r="D257" s="11" t="n">
        <x:f>NORM.S.INV(C257)</x:f>
        <x:v>-1.4100791613072063</x:v>
      </x:c>
      <x:c r="E257" s="11" t="n">
        <x:f>($D$4-0.5*$F$4^2)*$H$4+$F$4*SQRT($H$4)*D257</x:f>
        <x:v>-0.017527232332063807</x:v>
      </x:c>
      <x:c r="F257" s="13" t="n">
        <x:f>F256*EXP(E257)</x:f>
        <x:v>110.33976798641017</x:v>
      </x:c>
      <x:c r="G257" s="1"/>
      <x:c r="H257" s="1"/>
    </x:row>
    <x:row r="258" ht="22" customHeight="1">
      <x:c r="A258" s="1" t="n">
        <x:v>249</x:v>
      </x:c>
      <x:c r="B258" s="11" t="n">
        <x:f>A258*$H$4</x:f>
        <x:v>0.988095238095238</x:v>
      </x:c>
      <x:c r="C258" s="11" t="n">
        <x:f>MAX(0.0000000001,MIN(0.9999999999,RAND()))</x:f>
        <x:v>0.8167831867868334</x:v>
      </x:c>
      <x:c r="D258" s="11" t="n">
        <x:f>NORM.S.INV(C258)</x:f>
        <x:v>0.9031738646751178</x:v>
      </x:c>
      <x:c r="E258" s="11" t="n">
        <x:f>($D$4-0.5*$F$4^2)*$H$4+$F$4*SQRT($H$4)*D258</x:f>
        <x:v>0.011617016364683173</x:v>
      </x:c>
      <x:c r="F258" s="13" t="n">
        <x:f>F257*EXP(E258)</x:f>
        <x:v>111.62906124755125</x:v>
      </x:c>
      <x:c r="G258" s="1"/>
      <x:c r="H258" s="1"/>
    </x:row>
    <x:row r="259" ht="22" customHeight="1">
      <x:c r="A259" s="1" t="n">
        <x:v>250</x:v>
      </x:c>
      <x:c r="B259" s="11" t="n">
        <x:f>A259*$H$4</x:f>
        <x:v>0.992063492063492</x:v>
      </x:c>
      <x:c r="C259" s="11" t="n">
        <x:f>MAX(0.0000000001,MIN(0.9999999999,RAND()))</x:f>
        <x:v>0.5652927560251222</x:v>
      </x:c>
      <x:c r="D259" s="11" t="n">
        <x:f>NORM.S.INV(C259)</x:f>
        <x:v>0.1644022556924673</x:v>
      </x:c>
      <x:c r="E259" s="11" t="n">
        <x:f>($D$4-0.5*$F$4^2)*$H$4+$F$4*SQRT($H$4)*D259</x:f>
        <x:v>0.002309368969239626</x:v>
      </x:c>
      <x:c r="F259" s="13" t="n">
        <x:f>F258*EXP(E259)</x:f>
        <x:v>111.88715183615625</x:v>
      </x:c>
      <x:c r="G259" s="1"/>
      <x:c r="H259" s="1"/>
    </x:row>
    <x:row r="260" ht="22" customHeight="1">
      <x:c r="A260" s="1" t="n">
        <x:v>251</x:v>
      </x:c>
      <x:c r="B260" s="11" t="n">
        <x:f>A260*$H$4</x:f>
        <x:v>0.9960317460317459</x:v>
      </x:c>
      <x:c r="C260" s="11" t="n">
        <x:f>MAX(0.0000000001,MIN(0.9999999999,RAND()))</x:f>
        <x:v>0.24952775161109264</x:v>
      </x:c>
      <x:c r="D260" s="11" t="n">
        <x:f>NORM.S.INV(C260)</x:f>
        <x:v>-0.6759765980115249</x:v>
      </x:c>
      <x:c r="E260" s="11" t="n">
        <x:f>($D$4-0.5*$F$4^2)*$H$4+$F$4*SQRT($H$4)*D260</x:f>
        <x:v>-0.00827840938303797</x:v>
      </x:c>
      <x:c r="F260" s="13" t="n">
        <x:f>F259*EXP(E260)</x:f>
        <x:v>110.96472755941208</x:v>
      </x:c>
      <x:c r="G260" s="1"/>
      <x:c r="H260" s="1"/>
    </x:row>
    <x:row r="261" ht="22" customHeight="1">
      <x:c r="A261" s="1" t="n">
        <x:v>252</x:v>
      </x:c>
      <x:c r="B261" s="11" t="n">
        <x:f>A261*$H$4</x:f>
        <x:v>1</x:v>
      </x:c>
      <x:c r="C261" s="11" t="n">
        <x:f>MAX(0.0000000001,MIN(0.9999999999,RAND()))</x:f>
        <x:v>0.21855623677595837</x:v>
      </x:c>
      <x:c r="D261" s="11" t="n">
        <x:f>NORM.S.INV(C261)</x:f>
        <x:v>-0.7770784733222539</x:v>
      </x:c>
      <x:c r="E261" s="11" t="n">
        <x:f>($D$4-0.5*$F$4^2)*$H$4+$F$4*SQRT($H$4)*D261</x:f>
        <x:v>-0.009552173283773446</x:v>
      </x:c>
      <x:c r="F261" s="13" t="n">
        <x:f>F260*EXP(E261)</x:f>
        <x:v>109.90981960631858</x:v>
      </x:c>
      <x:c r="G261" s="1"/>
      <x:c r="H261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7478D"/>
  </x:sheetPr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 ht="22" customHeight="1">
      <x:c r="A2" s="2" t="str">
        <x:v>03 · 실제 종가를 넣고 비교하기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22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 ht="22" customHeight="1">
      <x:c r="A4" s="1" t="str">
        <x:v>공식 CSV를 내려받고 결측행 삭제, 날짜 오름차순. A10:B2009에 최대 2,000개 가격을 넣으세요.</x:v>
      </x:c>
      <x:c r="B4" s="1"/>
      <x:c r="C4" s="1"/>
      <x:c r="D4" s="1"/>
      <x:c r="E4" s="1"/>
      <x:c r="F4" s="1"/>
      <x:c r="G4" s="1"/>
      <x:c r="H4" s="1"/>
      <x:c r="I4" s="1" t="str">
        <x:v>수익률 개수</x:v>
      </x:c>
      <x:c r="J4" s="1" t="n">
        <x:f>COUNT(C11:C2009)</x:f>
        <x:v>0</x:v>
      </x:c>
      <x:c r="K4" s="1"/>
      <x:c r="L4" s="1"/>
      <x:c r="M4" s="1"/>
      <x:c r="N4" s="1"/>
    </x:row>
    <x:row r="5" ht="22" customHeight="1">
      <x:c r="A5" s="1" t="str">
        <x:v>자료가 없으면 통계는 빈칸입니다. 위로 빈행 없이 연속 입력하세요. 날짜 중복/역순은 직접 확인하세요.</x:v>
      </x:c>
      <x:c r="B5" s="1"/>
      <x:c r="C5" s="1"/>
      <x:c r="D5" s="1"/>
      <x:c r="E5" s="1"/>
      <x:c r="F5" s="1"/>
      <x:c r="G5" s="1"/>
      <x:c r="H5" s="1"/>
      <x:c r="I5" s="1" t="str">
        <x:v>일 평균 로그수익률</x:v>
      </x:c>
      <x:c r="J5" s="16" t="str">
        <x:f>IF(J4&lt;2,"",AVERAGE(C11:C2009))</x:f>
      </x:c>
      <x:c r="K5" s="1"/>
      <x:c r="L5" s="1"/>
      <x:c r="M5" s="1"/>
      <x:c r="N5" s="1"/>
    </x:row>
    <x:row r="6" ht="22" customHeight="1">
      <x:c r="A6" s="1" t="str">
        <x:v>S&amp;P500 가격지수이며 배당이 빠집니다. 다른 종목이면 분할·배당 조정 기준을 확인하세요.</x:v>
      </x:c>
      <x:c r="B6" s="1"/>
      <x:c r="C6" s="1"/>
      <x:c r="D6" s="1"/>
      <x:c r="E6" s="1"/>
      <x:c r="F6" s="1"/>
      <x:c r="G6" s="1"/>
      <x:c r="H6" s="1"/>
      <x:c r="I6" s="1" t="str">
        <x:v>일 표준편차</x:v>
      </x:c>
      <x:c r="J6" s="16" t="str">
        <x:f>IF(J4&lt;2,"",STDEV.S(C11:C2009))</x:f>
      </x:c>
      <x:c r="K6" s="1"/>
      <x:c r="L6" s="1"/>
      <x:c r="M6" s="1"/>
      <x:c r="N6" s="1"/>
    </x:row>
    <x:row r="7" ht="22" customHeight="1">
      <x:c r="A7" s="1"/>
      <x:c r="B7" s="1"/>
      <x:c r="C7" s="1"/>
      <x:c r="D7" s="1"/>
      <x:c r="E7" s="1"/>
      <x:c r="F7" s="1"/>
      <x:c r="G7" s="1"/>
      <x:c r="H7" s="1"/>
      <x:c r="I7" s="1" t="str">
        <x:v>초과첨도 KURT</x:v>
      </x:c>
      <x:c r="J7" s="16" t="str">
        <x:f>IF(J4&lt;4,"",IF(J6=0,"",J4*(J4+1)/((J4-1)*(J4-2)*(J4-3))*SUM(H11:H2009)-3*(J4-1)^2/((J4-2)*(J4-3))))</x:f>
      </x:c>
      <x:c r="K7" s="1"/>
      <x:c r="L7" s="1"/>
      <x:c r="M7" s="1"/>
      <x:c r="N7" s="1"/>
    </x:row>
    <x:row r="8" ht="22" customHeight="1">
      <x:c r="A8" s="1"/>
      <x:c r="B8" s="1"/>
      <x:c r="C8" s="1"/>
      <x:c r="D8" s="1"/>
      <x:c r="E8" s="1"/>
      <x:c r="F8" s="1"/>
      <x:c r="G8" s="1"/>
      <x:c r="H8" s="1"/>
      <x:c r="I8" s="1" t="str">
        <x:v>|z|&gt;3 비율</x:v>
      </x:c>
      <x:c r="J8" s="16" t="str">
        <x:f>IF(J4&lt;2,"",IF(J6=0,"",SUM(G11:G2009)/J4))</x:f>
      </x:c>
      <x:c r="K8" s="1"/>
      <x:c r="L8" s="1"/>
      <x:c r="M8" s="1"/>
      <x:c r="N8" s="1"/>
    </x:row>
    <x:row r="9" ht="30" customHeight="1">
      <x:c r="A9" s="4" t="str">
        <x:v>날짜</x:v>
      </x:c>
      <x:c r="B9" s="4" t="str">
        <x:v>종가/지수</x:v>
      </x:c>
      <x:c r="C9" s="4" t="str">
        <x:v>로그수익률 r</x:v>
      </x:c>
      <x:c r="D9" s="4" t="str">
        <x:v>|r|</x:v>
      </x:c>
      <x:c r="E9" s="4" t="str">
        <x:v>r²</x:v>
      </x:c>
      <x:c r="F9" s="4" t="str">
        <x:v>표준화 z</x:v>
      </x:c>
      <x:c r="G9" s="4" t="str">
        <x:v>|z|&gt;3</x:v>
      </x:c>
      <x:c r="H9" s="4" t="str">
        <x:v>z⁴</x:v>
      </x:c>
      <x:c r="I9" s="1"/>
      <x:c r="J9" s="1"/>
      <x:c r="K9" s="1"/>
      <x:c r="L9" s="1"/>
      <x:c r="M9" s="1"/>
      <x:c r="N9" s="1"/>
    </x:row>
    <x:row r="10" ht="22" customHeight="1">
      <x:c r="A10" s="14"/>
      <x:c r="B10" s="15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</x:row>
    <x:row r="11" ht="22" customHeight="1">
      <x:c r="A11" s="14"/>
      <x:c r="B11" s="15"/>
      <x:c r="C11" s="16" t="str">
        <x:f>IF(AND(ISNUMBER(B11),ISNUMBER(B10),B11&gt;0,B10&gt;0),LN(B11/B10),"")</x:f>
      </x:c>
      <x:c r="D11" s="16" t="str">
        <x:f>IF(ISNUMBER(C11),ABS(C11),"")</x:f>
      </x:c>
      <x:c r="E11" s="16" t="str">
        <x:f>IF(ISNUMBER(C11),C11^2,"")</x:f>
      </x:c>
      <x:c r="F11" s="16" t="str">
        <x:f>IF(AND(ISNUMBER(C11),ISNUMBER($J$6),$J$6&gt;0),(C11-$J$5)/$J$6,"")</x:f>
      </x:c>
      <x:c r="G11" s="1" t="str">
        <x:f>IF(ISNUMBER(F11),IF(ABS(F11)&gt;3,1,0),"")</x:f>
      </x:c>
      <x:c r="H11" s="1" t="str">
        <x:f>IF(ISNUMBER(F11),F11^4,"")</x:f>
      </x:c>
      <x:c r="I11" s="1" t="str">
        <x:v>lag</x:v>
      </x:c>
      <x:c r="J11" s="1" t="str">
        <x:v>r의 상관</x:v>
      </x:c>
      <x:c r="K11" s="1" t="str">
        <x:v>|r|의 상관</x:v>
      </x:c>
      <x:c r="L11" s="1" t="str">
        <x:v>r²의 상관</x:v>
      </x:c>
      <x:c r="M11" s="1"/>
      <x:c r="N11" s="1"/>
    </x:row>
    <x:row r="12" ht="22" customHeight="1">
      <x:c r="A12" s="14"/>
      <x:c r="B12" s="15"/>
      <x:c r="C12" s="16" t="str">
        <x:f>IF(AND(ISNUMBER(B12),ISNUMBER(B11),B12&gt;0,B11&gt;0),LN(B12/B11),"")</x:f>
      </x:c>
      <x:c r="D12" s="16" t="str">
        <x:f>IF(ISNUMBER(C12),ABS(C12),"")</x:f>
      </x:c>
      <x:c r="E12" s="16" t="str">
        <x:f>IF(ISNUMBER(C12),C12^2,"")</x:f>
      </x:c>
      <x:c r="F12" s="16" t="str">
        <x:f>IF(AND(ISNUMBER(C12),ISNUMBER($J$6),$J$6&gt;0),(C12-$J$5)/$J$6,"")</x:f>
      </x:c>
      <x:c r="G12" s="1" t="str">
        <x:f>IF(ISNUMBER(F12),IF(ABS(F12)&gt;3,1,0),"")</x:f>
      </x:c>
      <x:c r="H12" s="1" t="str">
        <x:f>IF(ISNUMBER(F12),F12^4,"")</x:f>
      </x:c>
      <x:c r="I12" s="1" t="n">
        <x:v>1</x:v>
      </x:c>
      <x:c r="J12" s="17" t="str">
        <x:f>IF($J$4&lt;=I12+3,"",IF($J$6=0,"",CORREL(INDEX(C$11:C$2009,I12+1):INDEX(C$11:C$2009,$J$4),C$11:INDEX(C$11:C$2009,$J$4-I12))))</x:f>
      </x:c>
      <x:c r="K12" s="17" t="str">
        <x:f>IF($J$4&lt;=I12+3,"",IF($J$6=0,"",CORREL(INDEX(D$11:D$2009,I12+1):INDEX(D$11:D$2009,$J$4),D$11:INDEX(D$11:D$2009,$J$4-I12))))</x:f>
      </x:c>
      <x:c r="L12" s="17" t="str">
        <x:f>IF($J$4&lt;=I12+3,"",IF($J$6=0,"",CORREL(INDEX(E$11:E$2009,I12+1):INDEX(E$11:E$2009,$J$4),E$11:INDEX(E$11:E$2009,$J$4-I12))))</x:f>
      </x:c>
      <x:c r="M12" s="1"/>
      <x:c r="N12" s="1"/>
    </x:row>
    <x:row r="13" ht="22" customHeight="1">
      <x:c r="A13" s="14"/>
      <x:c r="B13" s="15"/>
      <x:c r="C13" s="16" t="str">
        <x:f>IF(AND(ISNUMBER(B13),ISNUMBER(B12),B13&gt;0,B12&gt;0),LN(B13/B12),"")</x:f>
      </x:c>
      <x:c r="D13" s="16" t="str">
        <x:f>IF(ISNUMBER(C13),ABS(C13),"")</x:f>
      </x:c>
      <x:c r="E13" s="16" t="str">
        <x:f>IF(ISNUMBER(C13),C13^2,"")</x:f>
      </x:c>
      <x:c r="F13" s="16" t="str">
        <x:f>IF(AND(ISNUMBER(C13),ISNUMBER($J$6),$J$6&gt;0),(C13-$J$5)/$J$6,"")</x:f>
      </x:c>
      <x:c r="G13" s="1" t="str">
        <x:f>IF(ISNUMBER(F13),IF(ABS(F13)&gt;3,1,0),"")</x:f>
      </x:c>
      <x:c r="H13" s="1" t="str">
        <x:f>IF(ISNUMBER(F13),F13^4,"")</x:f>
      </x:c>
      <x:c r="I13" s="1" t="n">
        <x:v>2</x:v>
      </x:c>
      <x:c r="J13" s="17" t="str">
        <x:f>IF($J$4&lt;=I13+3,"",IF($J$6=0,"",CORREL(INDEX(C$11:C$2009,I13+1):INDEX(C$11:C$2009,$J$4),C$11:INDEX(C$11:C$2009,$J$4-I13))))</x:f>
      </x:c>
      <x:c r="K13" s="17" t="str">
        <x:f>IF($J$4&lt;=I13+3,"",IF($J$6=0,"",CORREL(INDEX(D$11:D$2009,I13+1):INDEX(D$11:D$2009,$J$4),D$11:INDEX(D$11:D$2009,$J$4-I13))))</x:f>
      </x:c>
      <x:c r="L13" s="17" t="str">
        <x:f>IF($J$4&lt;=I13+3,"",IF($J$6=0,"",CORREL(INDEX(E$11:E$2009,I13+1):INDEX(E$11:E$2009,$J$4),E$11:INDEX(E$11:E$2009,$J$4-I13))))</x:f>
      </x:c>
      <x:c r="M13" s="1"/>
      <x:c r="N13" s="1"/>
    </x:row>
    <x:row r="14" ht="22" customHeight="1">
      <x:c r="A14" s="14"/>
      <x:c r="B14" s="15"/>
      <x:c r="C14" s="16" t="str">
        <x:f>IF(AND(ISNUMBER(B14),ISNUMBER(B13),B14&gt;0,B13&gt;0),LN(B14/B13),"")</x:f>
      </x:c>
      <x:c r="D14" s="16" t="str">
        <x:f>IF(ISNUMBER(C14),ABS(C14),"")</x:f>
      </x:c>
      <x:c r="E14" s="16" t="str">
        <x:f>IF(ISNUMBER(C14),C14^2,"")</x:f>
      </x:c>
      <x:c r="F14" s="16" t="str">
        <x:f>IF(AND(ISNUMBER(C14),ISNUMBER($J$6),$J$6&gt;0),(C14-$J$5)/$J$6,"")</x:f>
      </x:c>
      <x:c r="G14" s="1" t="str">
        <x:f>IF(ISNUMBER(F14),IF(ABS(F14)&gt;3,1,0),"")</x:f>
      </x:c>
      <x:c r="H14" s="1" t="str">
        <x:f>IF(ISNUMBER(F14),F14^4,"")</x:f>
      </x:c>
      <x:c r="I14" s="1" t="n">
        <x:v>3</x:v>
      </x:c>
      <x:c r="J14" s="17" t="str">
        <x:f>IF($J$4&lt;=I14+3,"",IF($J$6=0,"",CORREL(INDEX(C$11:C$2009,I14+1):INDEX(C$11:C$2009,$J$4),C$11:INDEX(C$11:C$2009,$J$4-I14))))</x:f>
      </x:c>
      <x:c r="K14" s="17" t="str">
        <x:f>IF($J$4&lt;=I14+3,"",IF($J$6=0,"",CORREL(INDEX(D$11:D$2009,I14+1):INDEX(D$11:D$2009,$J$4),D$11:INDEX(D$11:D$2009,$J$4-I14))))</x:f>
      </x:c>
      <x:c r="L14" s="17" t="str">
        <x:f>IF($J$4&lt;=I14+3,"",IF($J$6=0,"",CORREL(INDEX(E$11:E$2009,I14+1):INDEX(E$11:E$2009,$J$4),E$11:INDEX(E$11:E$2009,$J$4-I14))))</x:f>
      </x:c>
      <x:c r="M14" s="1"/>
      <x:c r="N14" s="1"/>
    </x:row>
    <x:row r="15" ht="22" customHeight="1">
      <x:c r="A15" s="14"/>
      <x:c r="B15" s="15"/>
      <x:c r="C15" s="16" t="str">
        <x:f>IF(AND(ISNUMBER(B15),ISNUMBER(B14),B15&gt;0,B14&gt;0),LN(B15/B14),"")</x:f>
      </x:c>
      <x:c r="D15" s="16" t="str">
        <x:f>IF(ISNUMBER(C15),ABS(C15),"")</x:f>
      </x:c>
      <x:c r="E15" s="16" t="str">
        <x:f>IF(ISNUMBER(C15),C15^2,"")</x:f>
      </x:c>
      <x:c r="F15" s="16" t="str">
        <x:f>IF(AND(ISNUMBER(C15),ISNUMBER($J$6),$J$6&gt;0),(C15-$J$5)/$J$6,"")</x:f>
      </x:c>
      <x:c r="G15" s="1" t="str">
        <x:f>IF(ISNUMBER(F15),IF(ABS(F15)&gt;3,1,0),"")</x:f>
      </x:c>
      <x:c r="H15" s="1" t="str">
        <x:f>IF(ISNUMBER(F15),F15^4,"")</x:f>
      </x:c>
      <x:c r="I15" s="1" t="n">
        <x:v>4</x:v>
      </x:c>
      <x:c r="J15" s="17" t="str">
        <x:f>IF($J$4&lt;=I15+3,"",IF($J$6=0,"",CORREL(INDEX(C$11:C$2009,I15+1):INDEX(C$11:C$2009,$J$4),C$11:INDEX(C$11:C$2009,$J$4-I15))))</x:f>
      </x:c>
      <x:c r="K15" s="17" t="str">
        <x:f>IF($J$4&lt;=I15+3,"",IF($J$6=0,"",CORREL(INDEX(D$11:D$2009,I15+1):INDEX(D$11:D$2009,$J$4),D$11:INDEX(D$11:D$2009,$J$4-I15))))</x:f>
      </x:c>
      <x:c r="L15" s="17" t="str">
        <x:f>IF($J$4&lt;=I15+3,"",IF($J$6=0,"",CORREL(INDEX(E$11:E$2009,I15+1):INDEX(E$11:E$2009,$J$4),E$11:INDEX(E$11:E$2009,$J$4-I15))))</x:f>
      </x:c>
      <x:c r="M15" s="1"/>
      <x:c r="N15" s="1"/>
    </x:row>
    <x:row r="16" ht="22" customHeight="1">
      <x:c r="A16" s="14"/>
      <x:c r="B16" s="15"/>
      <x:c r="C16" s="16" t="str">
        <x:f>IF(AND(ISNUMBER(B16),ISNUMBER(B15),B16&gt;0,B15&gt;0),LN(B16/B15),"")</x:f>
      </x:c>
      <x:c r="D16" s="16" t="str">
        <x:f>IF(ISNUMBER(C16),ABS(C16),"")</x:f>
      </x:c>
      <x:c r="E16" s="16" t="str">
        <x:f>IF(ISNUMBER(C16),C16^2,"")</x:f>
      </x:c>
      <x:c r="F16" s="16" t="str">
        <x:f>IF(AND(ISNUMBER(C16),ISNUMBER($J$6),$J$6&gt;0),(C16-$J$5)/$J$6,"")</x:f>
      </x:c>
      <x:c r="G16" s="1" t="str">
        <x:f>IF(ISNUMBER(F16),IF(ABS(F16)&gt;3,1,0),"")</x:f>
      </x:c>
      <x:c r="H16" s="1" t="str">
        <x:f>IF(ISNUMBER(F16),F16^4,"")</x:f>
      </x:c>
      <x:c r="I16" s="1" t="n">
        <x:v>5</x:v>
      </x:c>
      <x:c r="J16" s="17" t="str">
        <x:f>IF($J$4&lt;=I16+3,"",IF($J$6=0,"",CORREL(INDEX(C$11:C$2009,I16+1):INDEX(C$11:C$2009,$J$4),C$11:INDEX(C$11:C$2009,$J$4-I16))))</x:f>
      </x:c>
      <x:c r="K16" s="17" t="str">
        <x:f>IF($J$4&lt;=I16+3,"",IF($J$6=0,"",CORREL(INDEX(D$11:D$2009,I16+1):INDEX(D$11:D$2009,$J$4),D$11:INDEX(D$11:D$2009,$J$4-I16))))</x:f>
      </x:c>
      <x:c r="L16" s="17" t="str">
        <x:f>IF($J$4&lt;=I16+3,"",IF($J$6=0,"",CORREL(INDEX(E$11:E$2009,I16+1):INDEX(E$11:E$2009,$J$4),E$11:INDEX(E$11:E$2009,$J$4-I16))))</x:f>
      </x:c>
      <x:c r="M16" s="1"/>
      <x:c r="N16" s="1"/>
    </x:row>
    <x:row r="17" ht="22" customHeight="1">
      <x:c r="A17" s="14"/>
      <x:c r="B17" s="15"/>
      <x:c r="C17" s="16" t="str">
        <x:f>IF(AND(ISNUMBER(B17),ISNUMBER(B16),B17&gt;0,B16&gt;0),LN(B17/B16),"")</x:f>
      </x:c>
      <x:c r="D17" s="16" t="str">
        <x:f>IF(ISNUMBER(C17),ABS(C17),"")</x:f>
      </x:c>
      <x:c r="E17" s="16" t="str">
        <x:f>IF(ISNUMBER(C17),C17^2,"")</x:f>
      </x:c>
      <x:c r="F17" s="16" t="str">
        <x:f>IF(AND(ISNUMBER(C17),ISNUMBER($J$6),$J$6&gt;0),(C17-$J$5)/$J$6,"")</x:f>
      </x:c>
      <x:c r="G17" s="1" t="str">
        <x:f>IF(ISNUMBER(F17),IF(ABS(F17)&gt;3,1,0),"")</x:f>
      </x:c>
      <x:c r="H17" s="1" t="str">
        <x:f>IF(ISNUMBER(F17),F17^4,"")</x:f>
      </x:c>
      <x:c r="I17" s="1" t="n">
        <x:v>6</x:v>
      </x:c>
      <x:c r="J17" s="17" t="str">
        <x:f>IF($J$4&lt;=I17+3,"",IF($J$6=0,"",CORREL(INDEX(C$11:C$2009,I17+1):INDEX(C$11:C$2009,$J$4),C$11:INDEX(C$11:C$2009,$J$4-I17))))</x:f>
      </x:c>
      <x:c r="K17" s="17" t="str">
        <x:f>IF($J$4&lt;=I17+3,"",IF($J$6=0,"",CORREL(INDEX(D$11:D$2009,I17+1):INDEX(D$11:D$2009,$J$4),D$11:INDEX(D$11:D$2009,$J$4-I17))))</x:f>
      </x:c>
      <x:c r="L17" s="17" t="str">
        <x:f>IF($J$4&lt;=I17+3,"",IF($J$6=0,"",CORREL(INDEX(E$11:E$2009,I17+1):INDEX(E$11:E$2009,$J$4),E$11:INDEX(E$11:E$2009,$J$4-I17))))</x:f>
      </x:c>
      <x:c r="M17" s="1"/>
      <x:c r="N17" s="1"/>
    </x:row>
    <x:row r="18" ht="22" customHeight="1">
      <x:c r="A18" s="14"/>
      <x:c r="B18" s="15"/>
      <x:c r="C18" s="16" t="str">
        <x:f>IF(AND(ISNUMBER(B18),ISNUMBER(B17),B18&gt;0,B17&gt;0),LN(B18/B17),"")</x:f>
      </x:c>
      <x:c r="D18" s="16" t="str">
        <x:f>IF(ISNUMBER(C18),ABS(C18),"")</x:f>
      </x:c>
      <x:c r="E18" s="16" t="str">
        <x:f>IF(ISNUMBER(C18),C18^2,"")</x:f>
      </x:c>
      <x:c r="F18" s="16" t="str">
        <x:f>IF(AND(ISNUMBER(C18),ISNUMBER($J$6),$J$6&gt;0),(C18-$J$5)/$J$6,"")</x:f>
      </x:c>
      <x:c r="G18" s="1" t="str">
        <x:f>IF(ISNUMBER(F18),IF(ABS(F18)&gt;3,1,0),"")</x:f>
      </x:c>
      <x:c r="H18" s="1" t="str">
        <x:f>IF(ISNUMBER(F18),F18^4,"")</x:f>
      </x:c>
      <x:c r="I18" s="1" t="n">
        <x:v>7</x:v>
      </x:c>
      <x:c r="J18" s="17" t="str">
        <x:f>IF($J$4&lt;=I18+3,"",IF($J$6=0,"",CORREL(INDEX(C$11:C$2009,I18+1):INDEX(C$11:C$2009,$J$4),C$11:INDEX(C$11:C$2009,$J$4-I18))))</x:f>
      </x:c>
      <x:c r="K18" s="17" t="str">
        <x:f>IF($J$4&lt;=I18+3,"",IF($J$6=0,"",CORREL(INDEX(D$11:D$2009,I18+1):INDEX(D$11:D$2009,$J$4),D$11:INDEX(D$11:D$2009,$J$4-I18))))</x:f>
      </x:c>
      <x:c r="L18" s="17" t="str">
        <x:f>IF($J$4&lt;=I18+3,"",IF($J$6=0,"",CORREL(INDEX(E$11:E$2009,I18+1):INDEX(E$11:E$2009,$J$4),E$11:INDEX(E$11:E$2009,$J$4-I18))))</x:f>
      </x:c>
      <x:c r="M18" s="1"/>
      <x:c r="N18" s="1"/>
    </x:row>
    <x:row r="19" ht="22" customHeight="1">
      <x:c r="A19" s="14"/>
      <x:c r="B19" s="15"/>
      <x:c r="C19" s="16" t="str">
        <x:f>IF(AND(ISNUMBER(B19),ISNUMBER(B18),B19&gt;0,B18&gt;0),LN(B19/B18),"")</x:f>
      </x:c>
      <x:c r="D19" s="16" t="str">
        <x:f>IF(ISNUMBER(C19),ABS(C19),"")</x:f>
      </x:c>
      <x:c r="E19" s="16" t="str">
        <x:f>IF(ISNUMBER(C19),C19^2,"")</x:f>
      </x:c>
      <x:c r="F19" s="16" t="str">
        <x:f>IF(AND(ISNUMBER(C19),ISNUMBER($J$6),$J$6&gt;0),(C19-$J$5)/$J$6,"")</x:f>
      </x:c>
      <x:c r="G19" s="1" t="str">
        <x:f>IF(ISNUMBER(F19),IF(ABS(F19)&gt;3,1,0),"")</x:f>
      </x:c>
      <x:c r="H19" s="1" t="str">
        <x:f>IF(ISNUMBER(F19),F19^4,"")</x:f>
      </x:c>
      <x:c r="I19" s="1" t="n">
        <x:v>8</x:v>
      </x:c>
      <x:c r="J19" s="17" t="str">
        <x:f>IF($J$4&lt;=I19+3,"",IF($J$6=0,"",CORREL(INDEX(C$11:C$2009,I19+1):INDEX(C$11:C$2009,$J$4),C$11:INDEX(C$11:C$2009,$J$4-I19))))</x:f>
      </x:c>
      <x:c r="K19" s="17" t="str">
        <x:f>IF($J$4&lt;=I19+3,"",IF($J$6=0,"",CORREL(INDEX(D$11:D$2009,I19+1):INDEX(D$11:D$2009,$J$4),D$11:INDEX(D$11:D$2009,$J$4-I19))))</x:f>
      </x:c>
      <x:c r="L19" s="17" t="str">
        <x:f>IF($J$4&lt;=I19+3,"",IF($J$6=0,"",CORREL(INDEX(E$11:E$2009,I19+1):INDEX(E$11:E$2009,$J$4),E$11:INDEX(E$11:E$2009,$J$4-I19))))</x:f>
      </x:c>
      <x:c r="M19" s="1"/>
      <x:c r="N19" s="1"/>
    </x:row>
    <x:row r="20" ht="22" customHeight="1">
      <x:c r="A20" s="14"/>
      <x:c r="B20" s="15"/>
      <x:c r="C20" s="16" t="str">
        <x:f>IF(AND(ISNUMBER(B20),ISNUMBER(B19),B20&gt;0,B19&gt;0),LN(B20/B19),"")</x:f>
      </x:c>
      <x:c r="D20" s="16" t="str">
        <x:f>IF(ISNUMBER(C20),ABS(C20),"")</x:f>
      </x:c>
      <x:c r="E20" s="16" t="str">
        <x:f>IF(ISNUMBER(C20),C20^2,"")</x:f>
      </x:c>
      <x:c r="F20" s="16" t="str">
        <x:f>IF(AND(ISNUMBER(C20),ISNUMBER($J$6),$J$6&gt;0),(C20-$J$5)/$J$6,"")</x:f>
      </x:c>
      <x:c r="G20" s="1" t="str">
        <x:f>IF(ISNUMBER(F20),IF(ABS(F20)&gt;3,1,0),"")</x:f>
      </x:c>
      <x:c r="H20" s="1" t="str">
        <x:f>IF(ISNUMBER(F20),F20^4,"")</x:f>
      </x:c>
      <x:c r="I20" s="1" t="n">
        <x:v>9</x:v>
      </x:c>
      <x:c r="J20" s="17" t="str">
        <x:f>IF($J$4&lt;=I20+3,"",IF($J$6=0,"",CORREL(INDEX(C$11:C$2009,I20+1):INDEX(C$11:C$2009,$J$4),C$11:INDEX(C$11:C$2009,$J$4-I20))))</x:f>
      </x:c>
      <x:c r="K20" s="17" t="str">
        <x:f>IF($J$4&lt;=I20+3,"",IF($J$6=0,"",CORREL(INDEX(D$11:D$2009,I20+1):INDEX(D$11:D$2009,$J$4),D$11:INDEX(D$11:D$2009,$J$4-I20))))</x:f>
      </x:c>
      <x:c r="L20" s="17" t="str">
        <x:f>IF($J$4&lt;=I20+3,"",IF($J$6=0,"",CORREL(INDEX(E$11:E$2009,I20+1):INDEX(E$11:E$2009,$J$4),E$11:INDEX(E$11:E$2009,$J$4-I20))))</x:f>
      </x:c>
      <x:c r="M20" s="1"/>
      <x:c r="N20" s="1"/>
    </x:row>
    <x:row r="21" ht="22" customHeight="1">
      <x:c r="A21" s="14"/>
      <x:c r="B21" s="15"/>
      <x:c r="C21" s="16" t="str">
        <x:f>IF(AND(ISNUMBER(B21),ISNUMBER(B20),B21&gt;0,B20&gt;0),LN(B21/B20),"")</x:f>
      </x:c>
      <x:c r="D21" s="16" t="str">
        <x:f>IF(ISNUMBER(C21),ABS(C21),"")</x:f>
      </x:c>
      <x:c r="E21" s="16" t="str">
        <x:f>IF(ISNUMBER(C21),C21^2,"")</x:f>
      </x:c>
      <x:c r="F21" s="16" t="str">
        <x:f>IF(AND(ISNUMBER(C21),ISNUMBER($J$6),$J$6&gt;0),(C21-$J$5)/$J$6,"")</x:f>
      </x:c>
      <x:c r="G21" s="1" t="str">
        <x:f>IF(ISNUMBER(F21),IF(ABS(F21)&gt;3,1,0),"")</x:f>
      </x:c>
      <x:c r="H21" s="1" t="str">
        <x:f>IF(ISNUMBER(F21),F21^4,"")</x:f>
      </x:c>
      <x:c r="I21" s="1" t="n">
        <x:v>10</x:v>
      </x:c>
      <x:c r="J21" s="17" t="str">
        <x:f>IF($J$4&lt;=I21+3,"",IF($J$6=0,"",CORREL(INDEX(C$11:C$2009,I21+1):INDEX(C$11:C$2009,$J$4),C$11:INDEX(C$11:C$2009,$J$4-I21))))</x:f>
      </x:c>
      <x:c r="K21" s="17" t="str">
        <x:f>IF($J$4&lt;=I21+3,"",IF($J$6=0,"",CORREL(INDEX(D$11:D$2009,I21+1):INDEX(D$11:D$2009,$J$4),D$11:INDEX(D$11:D$2009,$J$4-I21))))</x:f>
      </x:c>
      <x:c r="L21" s="17" t="str">
        <x:f>IF($J$4&lt;=I21+3,"",IF($J$6=0,"",CORREL(INDEX(E$11:E$2009,I21+1):INDEX(E$11:E$2009,$J$4),E$11:INDEX(E$11:E$2009,$J$4-I21))))</x:f>
      </x:c>
      <x:c r="M21" s="1"/>
      <x:c r="N21" s="1"/>
    </x:row>
    <x:row r="22" ht="22" customHeight="1">
      <x:c r="A22" s="14"/>
      <x:c r="B22" s="15"/>
      <x:c r="C22" s="16" t="str">
        <x:f>IF(AND(ISNUMBER(B22),ISNUMBER(B21),B22&gt;0,B21&gt;0),LN(B22/B21),"")</x:f>
      </x:c>
      <x:c r="D22" s="16" t="str">
        <x:f>IF(ISNUMBER(C22),ABS(C22),"")</x:f>
      </x:c>
      <x:c r="E22" s="16" t="str">
        <x:f>IF(ISNUMBER(C22),C22^2,"")</x:f>
      </x:c>
      <x:c r="F22" s="16" t="str">
        <x:f>IF(AND(ISNUMBER(C22),ISNUMBER($J$6),$J$6&gt;0),(C22-$J$5)/$J$6,"")</x:f>
      </x:c>
      <x:c r="G22" s="1" t="str">
        <x:f>IF(ISNUMBER(F22),IF(ABS(F22)&gt;3,1,0),"")</x:f>
      </x:c>
      <x:c r="H22" s="1" t="str">
        <x:f>IF(ISNUMBER(F22),F22^4,"")</x:f>
      </x:c>
      <x:c r="I22" s="1" t="n">
        <x:v>11</x:v>
      </x:c>
      <x:c r="J22" s="17" t="str">
        <x:f>IF($J$4&lt;=I22+3,"",IF($J$6=0,"",CORREL(INDEX(C$11:C$2009,I22+1):INDEX(C$11:C$2009,$J$4),C$11:INDEX(C$11:C$2009,$J$4-I22))))</x:f>
      </x:c>
      <x:c r="K22" s="17" t="str">
        <x:f>IF($J$4&lt;=I22+3,"",IF($J$6=0,"",CORREL(INDEX(D$11:D$2009,I22+1):INDEX(D$11:D$2009,$J$4),D$11:INDEX(D$11:D$2009,$J$4-I22))))</x:f>
      </x:c>
      <x:c r="L22" s="17" t="str">
        <x:f>IF($J$4&lt;=I22+3,"",IF($J$6=0,"",CORREL(INDEX(E$11:E$2009,I22+1):INDEX(E$11:E$2009,$J$4),E$11:INDEX(E$11:E$2009,$J$4-I22))))</x:f>
      </x:c>
      <x:c r="M22" s="1"/>
      <x:c r="N22" s="1"/>
    </x:row>
    <x:row r="23" ht="22" customHeight="1">
      <x:c r="A23" s="14"/>
      <x:c r="B23" s="15"/>
      <x:c r="C23" s="16" t="str">
        <x:f>IF(AND(ISNUMBER(B23),ISNUMBER(B22),B23&gt;0,B22&gt;0),LN(B23/B22),"")</x:f>
      </x:c>
      <x:c r="D23" s="16" t="str">
        <x:f>IF(ISNUMBER(C23),ABS(C23),"")</x:f>
      </x:c>
      <x:c r="E23" s="16" t="str">
        <x:f>IF(ISNUMBER(C23),C23^2,"")</x:f>
      </x:c>
      <x:c r="F23" s="16" t="str">
        <x:f>IF(AND(ISNUMBER(C23),ISNUMBER($J$6),$J$6&gt;0),(C23-$J$5)/$J$6,"")</x:f>
      </x:c>
      <x:c r="G23" s="1" t="str">
        <x:f>IF(ISNUMBER(F23),IF(ABS(F23)&gt;3,1,0),"")</x:f>
      </x:c>
      <x:c r="H23" s="1" t="str">
        <x:f>IF(ISNUMBER(F23),F23^4,"")</x:f>
      </x:c>
      <x:c r="I23" s="1" t="n">
        <x:v>12</x:v>
      </x:c>
      <x:c r="J23" s="17" t="str">
        <x:f>IF($J$4&lt;=I23+3,"",IF($J$6=0,"",CORREL(INDEX(C$11:C$2009,I23+1):INDEX(C$11:C$2009,$J$4),C$11:INDEX(C$11:C$2009,$J$4-I23))))</x:f>
      </x:c>
      <x:c r="K23" s="17" t="str">
        <x:f>IF($J$4&lt;=I23+3,"",IF($J$6=0,"",CORREL(INDEX(D$11:D$2009,I23+1):INDEX(D$11:D$2009,$J$4),D$11:INDEX(D$11:D$2009,$J$4-I23))))</x:f>
      </x:c>
      <x:c r="L23" s="17" t="str">
        <x:f>IF($J$4&lt;=I23+3,"",IF($J$6=0,"",CORREL(INDEX(E$11:E$2009,I23+1):INDEX(E$11:E$2009,$J$4),E$11:INDEX(E$11:E$2009,$J$4-I23))))</x:f>
      </x:c>
      <x:c r="M23" s="1"/>
      <x:c r="N23" s="1"/>
    </x:row>
    <x:row r="24" ht="22" customHeight="1">
      <x:c r="A24" s="14"/>
      <x:c r="B24" s="15"/>
      <x:c r="C24" s="16" t="str">
        <x:f>IF(AND(ISNUMBER(B24),ISNUMBER(B23),B24&gt;0,B23&gt;0),LN(B24/B23),"")</x:f>
      </x:c>
      <x:c r="D24" s="16" t="str">
        <x:f>IF(ISNUMBER(C24),ABS(C24),"")</x:f>
      </x:c>
      <x:c r="E24" s="16" t="str">
        <x:f>IF(ISNUMBER(C24),C24^2,"")</x:f>
      </x:c>
      <x:c r="F24" s="16" t="str">
        <x:f>IF(AND(ISNUMBER(C24),ISNUMBER($J$6),$J$6&gt;0),(C24-$J$5)/$J$6,"")</x:f>
      </x:c>
      <x:c r="G24" s="1" t="str">
        <x:f>IF(ISNUMBER(F24),IF(ABS(F24)&gt;3,1,0),"")</x:f>
      </x:c>
      <x:c r="H24" s="1" t="str">
        <x:f>IF(ISNUMBER(F24),F24^4,"")</x:f>
      </x:c>
      <x:c r="I24" s="1" t="n">
        <x:v>13</x:v>
      </x:c>
      <x:c r="J24" s="17" t="str">
        <x:f>IF($J$4&lt;=I24+3,"",IF($J$6=0,"",CORREL(INDEX(C$11:C$2009,I24+1):INDEX(C$11:C$2009,$J$4),C$11:INDEX(C$11:C$2009,$J$4-I24))))</x:f>
      </x:c>
      <x:c r="K24" s="17" t="str">
        <x:f>IF($J$4&lt;=I24+3,"",IF($J$6=0,"",CORREL(INDEX(D$11:D$2009,I24+1):INDEX(D$11:D$2009,$J$4),D$11:INDEX(D$11:D$2009,$J$4-I24))))</x:f>
      </x:c>
      <x:c r="L24" s="17" t="str">
        <x:f>IF($J$4&lt;=I24+3,"",IF($J$6=0,"",CORREL(INDEX(E$11:E$2009,I24+1):INDEX(E$11:E$2009,$J$4),E$11:INDEX(E$11:E$2009,$J$4-I24))))</x:f>
      </x:c>
      <x:c r="M24" s="1"/>
      <x:c r="N24" s="1"/>
    </x:row>
    <x:row r="25" ht="22" customHeight="1">
      <x:c r="A25" s="14"/>
      <x:c r="B25" s="15"/>
      <x:c r="C25" s="16" t="str">
        <x:f>IF(AND(ISNUMBER(B25),ISNUMBER(B24),B25&gt;0,B24&gt;0),LN(B25/B24),"")</x:f>
      </x:c>
      <x:c r="D25" s="16" t="str">
        <x:f>IF(ISNUMBER(C25),ABS(C25),"")</x:f>
      </x:c>
      <x:c r="E25" s="16" t="str">
        <x:f>IF(ISNUMBER(C25),C25^2,"")</x:f>
      </x:c>
      <x:c r="F25" s="16" t="str">
        <x:f>IF(AND(ISNUMBER(C25),ISNUMBER($J$6),$J$6&gt;0),(C25-$J$5)/$J$6,"")</x:f>
      </x:c>
      <x:c r="G25" s="1" t="str">
        <x:f>IF(ISNUMBER(F25),IF(ABS(F25)&gt;3,1,0),"")</x:f>
      </x:c>
      <x:c r="H25" s="1" t="str">
        <x:f>IF(ISNUMBER(F25),F25^4,"")</x:f>
      </x:c>
      <x:c r="I25" s="1" t="n">
        <x:v>14</x:v>
      </x:c>
      <x:c r="J25" s="17" t="str">
        <x:f>IF($J$4&lt;=I25+3,"",IF($J$6=0,"",CORREL(INDEX(C$11:C$2009,I25+1):INDEX(C$11:C$2009,$J$4),C$11:INDEX(C$11:C$2009,$J$4-I25))))</x:f>
      </x:c>
      <x:c r="K25" s="17" t="str">
        <x:f>IF($J$4&lt;=I25+3,"",IF($J$6=0,"",CORREL(INDEX(D$11:D$2009,I25+1):INDEX(D$11:D$2009,$J$4),D$11:INDEX(D$11:D$2009,$J$4-I25))))</x:f>
      </x:c>
      <x:c r="L25" s="17" t="str">
        <x:f>IF($J$4&lt;=I25+3,"",IF($J$6=0,"",CORREL(INDEX(E$11:E$2009,I25+1):INDEX(E$11:E$2009,$J$4),E$11:INDEX(E$11:E$2009,$J$4-I25))))</x:f>
      </x:c>
      <x:c r="M25" s="1"/>
      <x:c r="N25" s="1"/>
    </x:row>
    <x:row r="26" ht="22" customHeight="1">
      <x:c r="A26" s="14"/>
      <x:c r="B26" s="15"/>
      <x:c r="C26" s="16" t="str">
        <x:f>IF(AND(ISNUMBER(B26),ISNUMBER(B25),B26&gt;0,B25&gt;0),LN(B26/B25),"")</x:f>
      </x:c>
      <x:c r="D26" s="16" t="str">
        <x:f>IF(ISNUMBER(C26),ABS(C26),"")</x:f>
      </x:c>
      <x:c r="E26" s="16" t="str">
        <x:f>IF(ISNUMBER(C26),C26^2,"")</x:f>
      </x:c>
      <x:c r="F26" s="16" t="str">
        <x:f>IF(AND(ISNUMBER(C26),ISNUMBER($J$6),$J$6&gt;0),(C26-$J$5)/$J$6,"")</x:f>
      </x:c>
      <x:c r="G26" s="1" t="str">
        <x:f>IF(ISNUMBER(F26),IF(ABS(F26)&gt;3,1,0),"")</x:f>
      </x:c>
      <x:c r="H26" s="1" t="str">
        <x:f>IF(ISNUMBER(F26),F26^4,"")</x:f>
      </x:c>
      <x:c r="I26" s="1" t="n">
        <x:v>15</x:v>
      </x:c>
      <x:c r="J26" s="17" t="str">
        <x:f>IF($J$4&lt;=I26+3,"",IF($J$6=0,"",CORREL(INDEX(C$11:C$2009,I26+1):INDEX(C$11:C$2009,$J$4),C$11:INDEX(C$11:C$2009,$J$4-I26))))</x:f>
      </x:c>
      <x:c r="K26" s="17" t="str">
        <x:f>IF($J$4&lt;=I26+3,"",IF($J$6=0,"",CORREL(INDEX(D$11:D$2009,I26+1):INDEX(D$11:D$2009,$J$4),D$11:INDEX(D$11:D$2009,$J$4-I26))))</x:f>
      </x:c>
      <x:c r="L26" s="17" t="str">
        <x:f>IF($J$4&lt;=I26+3,"",IF($J$6=0,"",CORREL(INDEX(E$11:E$2009,I26+1):INDEX(E$11:E$2009,$J$4),E$11:INDEX(E$11:E$2009,$J$4-I26))))</x:f>
      </x:c>
      <x:c r="M26" s="1"/>
      <x:c r="N26" s="1"/>
    </x:row>
    <x:row r="27" ht="22" customHeight="1">
      <x:c r="A27" s="14"/>
      <x:c r="B27" s="15"/>
      <x:c r="C27" s="16" t="str">
        <x:f>IF(AND(ISNUMBER(B27),ISNUMBER(B26),B27&gt;0,B26&gt;0),LN(B27/B26),"")</x:f>
      </x:c>
      <x:c r="D27" s="16" t="str">
        <x:f>IF(ISNUMBER(C27),ABS(C27),"")</x:f>
      </x:c>
      <x:c r="E27" s="16" t="str">
        <x:f>IF(ISNUMBER(C27),C27^2,"")</x:f>
      </x:c>
      <x:c r="F27" s="16" t="str">
        <x:f>IF(AND(ISNUMBER(C27),ISNUMBER($J$6),$J$6&gt;0),(C27-$J$5)/$J$6,"")</x:f>
      </x:c>
      <x:c r="G27" s="1" t="str">
        <x:f>IF(ISNUMBER(F27),IF(ABS(F27)&gt;3,1,0),"")</x:f>
      </x:c>
      <x:c r="H27" s="1" t="str">
        <x:f>IF(ISNUMBER(F27),F27^4,"")</x:f>
      </x:c>
      <x:c r="I27" s="1" t="n">
        <x:v>16</x:v>
      </x:c>
      <x:c r="J27" s="17" t="str">
        <x:f>IF($J$4&lt;=I27+3,"",IF($J$6=0,"",CORREL(INDEX(C$11:C$2009,I27+1):INDEX(C$11:C$2009,$J$4),C$11:INDEX(C$11:C$2009,$J$4-I27))))</x:f>
      </x:c>
      <x:c r="K27" s="17" t="str">
        <x:f>IF($J$4&lt;=I27+3,"",IF($J$6=0,"",CORREL(INDEX(D$11:D$2009,I27+1):INDEX(D$11:D$2009,$J$4),D$11:INDEX(D$11:D$2009,$J$4-I27))))</x:f>
      </x:c>
      <x:c r="L27" s="17" t="str">
        <x:f>IF($J$4&lt;=I27+3,"",IF($J$6=0,"",CORREL(INDEX(E$11:E$2009,I27+1):INDEX(E$11:E$2009,$J$4),E$11:INDEX(E$11:E$2009,$J$4-I27))))</x:f>
      </x:c>
      <x:c r="M27" s="1"/>
      <x:c r="N27" s="1"/>
    </x:row>
    <x:row r="28" ht="22" customHeight="1">
      <x:c r="A28" s="14"/>
      <x:c r="B28" s="15"/>
      <x:c r="C28" s="16" t="str">
        <x:f>IF(AND(ISNUMBER(B28),ISNUMBER(B27),B28&gt;0,B27&gt;0),LN(B28/B27),"")</x:f>
      </x:c>
      <x:c r="D28" s="16" t="str">
        <x:f>IF(ISNUMBER(C28),ABS(C28),"")</x:f>
      </x:c>
      <x:c r="E28" s="16" t="str">
        <x:f>IF(ISNUMBER(C28),C28^2,"")</x:f>
      </x:c>
      <x:c r="F28" s="16" t="str">
        <x:f>IF(AND(ISNUMBER(C28),ISNUMBER($J$6),$J$6&gt;0),(C28-$J$5)/$J$6,"")</x:f>
      </x:c>
      <x:c r="G28" s="1" t="str">
        <x:f>IF(ISNUMBER(F28),IF(ABS(F28)&gt;3,1,0),"")</x:f>
      </x:c>
      <x:c r="H28" s="1" t="str">
        <x:f>IF(ISNUMBER(F28),F28^4,"")</x:f>
      </x:c>
      <x:c r="I28" s="1" t="n">
        <x:v>17</x:v>
      </x:c>
      <x:c r="J28" s="17" t="str">
        <x:f>IF($J$4&lt;=I28+3,"",IF($J$6=0,"",CORREL(INDEX(C$11:C$2009,I28+1):INDEX(C$11:C$2009,$J$4),C$11:INDEX(C$11:C$2009,$J$4-I28))))</x:f>
      </x:c>
      <x:c r="K28" s="17" t="str">
        <x:f>IF($J$4&lt;=I28+3,"",IF($J$6=0,"",CORREL(INDEX(D$11:D$2009,I28+1):INDEX(D$11:D$2009,$J$4),D$11:INDEX(D$11:D$2009,$J$4-I28))))</x:f>
      </x:c>
      <x:c r="L28" s="17" t="str">
        <x:f>IF($J$4&lt;=I28+3,"",IF($J$6=0,"",CORREL(INDEX(E$11:E$2009,I28+1):INDEX(E$11:E$2009,$J$4),E$11:INDEX(E$11:E$2009,$J$4-I28))))</x:f>
      </x:c>
      <x:c r="M28" s="1"/>
      <x:c r="N28" s="1"/>
    </x:row>
    <x:row r="29" ht="22" customHeight="1">
      <x:c r="A29" s="14"/>
      <x:c r="B29" s="15"/>
      <x:c r="C29" s="16" t="str">
        <x:f>IF(AND(ISNUMBER(B29),ISNUMBER(B28),B29&gt;0,B28&gt;0),LN(B29/B28),"")</x:f>
      </x:c>
      <x:c r="D29" s="16" t="str">
        <x:f>IF(ISNUMBER(C29),ABS(C29),"")</x:f>
      </x:c>
      <x:c r="E29" s="16" t="str">
        <x:f>IF(ISNUMBER(C29),C29^2,"")</x:f>
      </x:c>
      <x:c r="F29" s="16" t="str">
        <x:f>IF(AND(ISNUMBER(C29),ISNUMBER($J$6),$J$6&gt;0),(C29-$J$5)/$J$6,"")</x:f>
      </x:c>
      <x:c r="G29" s="1" t="str">
        <x:f>IF(ISNUMBER(F29),IF(ABS(F29)&gt;3,1,0),"")</x:f>
      </x:c>
      <x:c r="H29" s="1" t="str">
        <x:f>IF(ISNUMBER(F29),F29^4,"")</x:f>
      </x:c>
      <x:c r="I29" s="1" t="n">
        <x:v>18</x:v>
      </x:c>
      <x:c r="J29" s="17" t="str">
        <x:f>IF($J$4&lt;=I29+3,"",IF($J$6=0,"",CORREL(INDEX(C$11:C$2009,I29+1):INDEX(C$11:C$2009,$J$4),C$11:INDEX(C$11:C$2009,$J$4-I29))))</x:f>
      </x:c>
      <x:c r="K29" s="17" t="str">
        <x:f>IF($J$4&lt;=I29+3,"",IF($J$6=0,"",CORREL(INDEX(D$11:D$2009,I29+1):INDEX(D$11:D$2009,$J$4),D$11:INDEX(D$11:D$2009,$J$4-I29))))</x:f>
      </x:c>
      <x:c r="L29" s="17" t="str">
        <x:f>IF($J$4&lt;=I29+3,"",IF($J$6=0,"",CORREL(INDEX(E$11:E$2009,I29+1):INDEX(E$11:E$2009,$J$4),E$11:INDEX(E$11:E$2009,$J$4-I29))))</x:f>
      </x:c>
      <x:c r="M29" s="1"/>
      <x:c r="N29" s="1"/>
    </x:row>
    <x:row r="30" ht="22" customHeight="1">
      <x:c r="A30" s="14"/>
      <x:c r="B30" s="15"/>
      <x:c r="C30" s="16" t="str">
        <x:f>IF(AND(ISNUMBER(B30),ISNUMBER(B29),B30&gt;0,B29&gt;0),LN(B30/B29),"")</x:f>
      </x:c>
      <x:c r="D30" s="16" t="str">
        <x:f>IF(ISNUMBER(C30),ABS(C30),"")</x:f>
      </x:c>
      <x:c r="E30" s="16" t="str">
        <x:f>IF(ISNUMBER(C30),C30^2,"")</x:f>
      </x:c>
      <x:c r="F30" s="16" t="str">
        <x:f>IF(AND(ISNUMBER(C30),ISNUMBER($J$6),$J$6&gt;0),(C30-$J$5)/$J$6,"")</x:f>
      </x:c>
      <x:c r="G30" s="1" t="str">
        <x:f>IF(ISNUMBER(F30),IF(ABS(F30)&gt;3,1,0),"")</x:f>
      </x:c>
      <x:c r="H30" s="1" t="str">
        <x:f>IF(ISNUMBER(F30),F30^4,"")</x:f>
      </x:c>
      <x:c r="I30" s="1" t="n">
        <x:v>19</x:v>
      </x:c>
      <x:c r="J30" s="17" t="str">
        <x:f>IF($J$4&lt;=I30+3,"",IF($J$6=0,"",CORREL(INDEX(C$11:C$2009,I30+1):INDEX(C$11:C$2009,$J$4),C$11:INDEX(C$11:C$2009,$J$4-I30))))</x:f>
      </x:c>
      <x:c r="K30" s="17" t="str">
        <x:f>IF($J$4&lt;=I30+3,"",IF($J$6=0,"",CORREL(INDEX(D$11:D$2009,I30+1):INDEX(D$11:D$2009,$J$4),D$11:INDEX(D$11:D$2009,$J$4-I30))))</x:f>
      </x:c>
      <x:c r="L30" s="17" t="str">
        <x:f>IF($J$4&lt;=I30+3,"",IF($J$6=0,"",CORREL(INDEX(E$11:E$2009,I30+1):INDEX(E$11:E$2009,$J$4),E$11:INDEX(E$11:E$2009,$J$4-I30))))</x:f>
      </x:c>
      <x:c r="M30" s="1"/>
      <x:c r="N30" s="1"/>
    </x:row>
    <x:row r="31" ht="22" customHeight="1">
      <x:c r="A31" s="14"/>
      <x:c r="B31" s="15"/>
      <x:c r="C31" s="16" t="str">
        <x:f>IF(AND(ISNUMBER(B31),ISNUMBER(B30),B31&gt;0,B30&gt;0),LN(B31/B30),"")</x:f>
      </x:c>
      <x:c r="D31" s="16" t="str">
        <x:f>IF(ISNUMBER(C31),ABS(C31),"")</x:f>
      </x:c>
      <x:c r="E31" s="16" t="str">
        <x:f>IF(ISNUMBER(C31),C31^2,"")</x:f>
      </x:c>
      <x:c r="F31" s="16" t="str">
        <x:f>IF(AND(ISNUMBER(C31),ISNUMBER($J$6),$J$6&gt;0),(C31-$J$5)/$J$6,"")</x:f>
      </x:c>
      <x:c r="G31" s="1" t="str">
        <x:f>IF(ISNUMBER(F31),IF(ABS(F31)&gt;3,1,0),"")</x:f>
      </x:c>
      <x:c r="H31" s="1" t="str">
        <x:f>IF(ISNUMBER(F31),F31^4,"")</x:f>
      </x:c>
      <x:c r="I31" s="1" t="n">
        <x:v>20</x:v>
      </x:c>
      <x:c r="J31" s="17" t="str">
        <x:f>IF($J$4&lt;=I31+3,"",IF($J$6=0,"",CORREL(INDEX(C$11:C$2009,I31+1):INDEX(C$11:C$2009,$J$4),C$11:INDEX(C$11:C$2009,$J$4-I31))))</x:f>
      </x:c>
      <x:c r="K31" s="17" t="str">
        <x:f>IF($J$4&lt;=I31+3,"",IF($J$6=0,"",CORREL(INDEX(D$11:D$2009,I31+1):INDEX(D$11:D$2009,$J$4),D$11:INDEX(D$11:D$2009,$J$4-I31))))</x:f>
      </x:c>
      <x:c r="L31" s="17" t="str">
        <x:f>IF($J$4&lt;=I31+3,"",IF($J$6=0,"",CORREL(INDEX(E$11:E$2009,I31+1):INDEX(E$11:E$2009,$J$4),E$11:INDEX(E$11:E$2009,$J$4-I31))))</x:f>
      </x:c>
      <x:c r="M31" s="1"/>
      <x:c r="N31" s="1"/>
    </x:row>
    <x:row r="32" ht="22" customHeight="1">
      <x:c r="A32" s="14"/>
      <x:c r="B32" s="15"/>
      <x:c r="C32" s="16" t="str">
        <x:f>IF(AND(ISNUMBER(B32),ISNUMBER(B31),B32&gt;0,B31&gt;0),LN(B32/B31),"")</x:f>
      </x:c>
      <x:c r="D32" s="16" t="str">
        <x:f>IF(ISNUMBER(C32),ABS(C32),"")</x:f>
      </x:c>
      <x:c r="E32" s="16" t="str">
        <x:f>IF(ISNUMBER(C32),C32^2,"")</x:f>
      </x:c>
      <x:c r="F32" s="16" t="str">
        <x:f>IF(AND(ISNUMBER(C32),ISNUMBER($J$6),$J$6&gt;0),(C32-$J$5)/$J$6,"")</x:f>
      </x:c>
      <x:c r="G32" s="1" t="str">
        <x:f>IF(ISNUMBER(F32),IF(ABS(F32)&gt;3,1,0),"")</x:f>
      </x:c>
      <x:c r="H32" s="1" t="str">
        <x:f>IF(ISNUMBER(F32),F32^4,"")</x:f>
      </x:c>
      <x:c r="I32" s="1"/>
      <x:c r="J32" s="1"/>
      <x:c r="K32" s="1"/>
      <x:c r="L32" s="1"/>
      <x:c r="M32" s="1"/>
      <x:c r="N32" s="1"/>
    </x:row>
    <x:row r="33" ht="22" customHeight="1">
      <x:c r="A33" s="14"/>
      <x:c r="B33" s="15"/>
      <x:c r="C33" s="16" t="str">
        <x:f>IF(AND(ISNUMBER(B33),ISNUMBER(B32),B33&gt;0,B32&gt;0),LN(B33/B32),"")</x:f>
      </x:c>
      <x:c r="D33" s="16" t="str">
        <x:f>IF(ISNUMBER(C33),ABS(C33),"")</x:f>
      </x:c>
      <x:c r="E33" s="16" t="str">
        <x:f>IF(ISNUMBER(C33),C33^2,"")</x:f>
      </x:c>
      <x:c r="F33" s="16" t="str">
        <x:f>IF(AND(ISNUMBER(C33),ISNUMBER($J$6),$J$6&gt;0),(C33-$J$5)/$J$6,"")</x:f>
      </x:c>
      <x:c r="G33" s="1" t="str">
        <x:f>IF(ISNUMBER(F33),IF(ABS(F33)&gt;3,1,0),"")</x:f>
      </x:c>
      <x:c r="H33" s="1" t="str">
        <x:f>IF(ISNUMBER(F33),F33^4,"")</x:f>
      </x:c>
      <x:c r="I33" s="1"/>
      <x:c r="J33" s="1"/>
      <x:c r="K33" s="1"/>
      <x:c r="L33" s="1"/>
      <x:c r="M33" s="1"/>
      <x:c r="N33" s="1"/>
    </x:row>
    <x:row r="34" ht="22" customHeight="1">
      <x:c r="A34" s="14"/>
      <x:c r="B34" s="15"/>
      <x:c r="C34" s="16" t="str">
        <x:f>IF(AND(ISNUMBER(B34),ISNUMBER(B33),B34&gt;0,B33&gt;0),LN(B34/B33),"")</x:f>
      </x:c>
      <x:c r="D34" s="16" t="str">
        <x:f>IF(ISNUMBER(C34),ABS(C34),"")</x:f>
      </x:c>
      <x:c r="E34" s="16" t="str">
        <x:f>IF(ISNUMBER(C34),C34^2,"")</x:f>
      </x:c>
      <x:c r="F34" s="16" t="str">
        <x:f>IF(AND(ISNUMBER(C34),ISNUMBER($J$6),$J$6&gt;0),(C34-$J$5)/$J$6,"")</x:f>
      </x:c>
      <x:c r="G34" s="1" t="str">
        <x:f>IF(ISNUMBER(F34),IF(ABS(F34)&gt;3,1,0),"")</x:f>
      </x:c>
      <x:c r="H34" s="1" t="str">
        <x:f>IF(ISNUMBER(F34),F34^4,"")</x:f>
      </x:c>
      <x:c r="I34" s="1"/>
      <x:c r="J34" s="1"/>
      <x:c r="K34" s="1"/>
      <x:c r="L34" s="1"/>
      <x:c r="M34" s="1"/>
      <x:c r="N34" s="1"/>
    </x:row>
    <x:row r="35" ht="22" customHeight="1">
      <x:c r="A35" s="14"/>
      <x:c r="B35" s="15"/>
      <x:c r="C35" s="16" t="str">
        <x:f>IF(AND(ISNUMBER(B35),ISNUMBER(B34),B35&gt;0,B34&gt;0),LN(B35/B34),"")</x:f>
      </x:c>
      <x:c r="D35" s="16" t="str">
        <x:f>IF(ISNUMBER(C35),ABS(C35),"")</x:f>
      </x:c>
      <x:c r="E35" s="16" t="str">
        <x:f>IF(ISNUMBER(C35),C35^2,"")</x:f>
      </x:c>
      <x:c r="F35" s="16" t="str">
        <x:f>IF(AND(ISNUMBER(C35),ISNUMBER($J$6),$J$6&gt;0),(C35-$J$5)/$J$6,"")</x:f>
      </x:c>
      <x:c r="G35" s="1" t="str">
        <x:f>IF(ISNUMBER(F35),IF(ABS(F35)&gt;3,1,0),"")</x:f>
      </x:c>
      <x:c r="H35" s="1" t="str">
        <x:f>IF(ISNUMBER(F35),F35^4,"")</x:f>
      </x:c>
      <x:c r="I35" s="1"/>
      <x:c r="J35" s="1"/>
      <x:c r="K35" s="1"/>
      <x:c r="L35" s="1"/>
      <x:c r="M35" s="1"/>
      <x:c r="N35" s="1"/>
    </x:row>
    <x:row r="36" ht="22" customHeight="1">
      <x:c r="A36" s="14"/>
      <x:c r="B36" s="15"/>
      <x:c r="C36" s="16" t="str">
        <x:f>IF(AND(ISNUMBER(B36),ISNUMBER(B35),B36&gt;0,B35&gt;0),LN(B36/B35),"")</x:f>
      </x:c>
      <x:c r="D36" s="16" t="str">
        <x:f>IF(ISNUMBER(C36),ABS(C36),"")</x:f>
      </x:c>
      <x:c r="E36" s="16" t="str">
        <x:f>IF(ISNUMBER(C36),C36^2,"")</x:f>
      </x:c>
      <x:c r="F36" s="16" t="str">
        <x:f>IF(AND(ISNUMBER(C36),ISNUMBER($J$6),$J$6&gt;0),(C36-$J$5)/$J$6,"")</x:f>
      </x:c>
      <x:c r="G36" s="1" t="str">
        <x:f>IF(ISNUMBER(F36),IF(ABS(F36)&gt;3,1,0),"")</x:f>
      </x:c>
      <x:c r="H36" s="1" t="str">
        <x:f>IF(ISNUMBER(F36),F36^4,"")</x:f>
      </x:c>
      <x:c r="I36" s="1"/>
      <x:c r="J36" s="1"/>
      <x:c r="K36" s="1"/>
      <x:c r="L36" s="1"/>
      <x:c r="M36" s="1"/>
      <x:c r="N36" s="1"/>
    </x:row>
    <x:row r="37" ht="22" customHeight="1">
      <x:c r="A37" s="14"/>
      <x:c r="B37" s="15"/>
      <x:c r="C37" s="16" t="str">
        <x:f>IF(AND(ISNUMBER(B37),ISNUMBER(B36),B37&gt;0,B36&gt;0),LN(B37/B36),"")</x:f>
      </x:c>
      <x:c r="D37" s="16" t="str">
        <x:f>IF(ISNUMBER(C37),ABS(C37),"")</x:f>
      </x:c>
      <x:c r="E37" s="16" t="str">
        <x:f>IF(ISNUMBER(C37),C37^2,"")</x:f>
      </x:c>
      <x:c r="F37" s="16" t="str">
        <x:f>IF(AND(ISNUMBER(C37),ISNUMBER($J$6),$J$6&gt;0),(C37-$J$5)/$J$6,"")</x:f>
      </x:c>
      <x:c r="G37" s="1" t="str">
        <x:f>IF(ISNUMBER(F37),IF(ABS(F37)&gt;3,1,0),"")</x:f>
      </x:c>
      <x:c r="H37" s="1" t="str">
        <x:f>IF(ISNUMBER(F37),F37^4,"")</x:f>
      </x:c>
      <x:c r="I37" s="1"/>
      <x:c r="J37" s="1"/>
      <x:c r="K37" s="1"/>
      <x:c r="L37" s="1"/>
      <x:c r="M37" s="1"/>
      <x:c r="N37" s="1"/>
    </x:row>
    <x:row r="38" ht="22" customHeight="1">
      <x:c r="A38" s="14"/>
      <x:c r="B38" s="15"/>
      <x:c r="C38" s="16" t="str">
        <x:f>IF(AND(ISNUMBER(B38),ISNUMBER(B37),B38&gt;0,B37&gt;0),LN(B38/B37),"")</x:f>
      </x:c>
      <x:c r="D38" s="16" t="str">
        <x:f>IF(ISNUMBER(C38),ABS(C38),"")</x:f>
      </x:c>
      <x:c r="E38" s="16" t="str">
        <x:f>IF(ISNUMBER(C38),C38^2,"")</x:f>
      </x:c>
      <x:c r="F38" s="16" t="str">
        <x:f>IF(AND(ISNUMBER(C38),ISNUMBER($J$6),$J$6&gt;0),(C38-$J$5)/$J$6,"")</x:f>
      </x:c>
      <x:c r="G38" s="1" t="str">
        <x:f>IF(ISNUMBER(F38),IF(ABS(F38)&gt;3,1,0),"")</x:f>
      </x:c>
      <x:c r="H38" s="1" t="str">
        <x:f>IF(ISNUMBER(F38),F38^4,"")</x:f>
      </x:c>
      <x:c r="I38" s="1"/>
      <x:c r="J38" s="1"/>
      <x:c r="K38" s="1"/>
      <x:c r="L38" s="1"/>
      <x:c r="M38" s="1"/>
      <x:c r="N38" s="1"/>
    </x:row>
    <x:row r="39" ht="22" customHeight="1">
      <x:c r="A39" s="14"/>
      <x:c r="B39" s="15"/>
      <x:c r="C39" s="16" t="str">
        <x:f>IF(AND(ISNUMBER(B39),ISNUMBER(B38),B39&gt;0,B38&gt;0),LN(B39/B38),"")</x:f>
      </x:c>
      <x:c r="D39" s="16" t="str">
        <x:f>IF(ISNUMBER(C39),ABS(C39),"")</x:f>
      </x:c>
      <x:c r="E39" s="16" t="str">
        <x:f>IF(ISNUMBER(C39),C39^2,"")</x:f>
      </x:c>
      <x:c r="F39" s="16" t="str">
        <x:f>IF(AND(ISNUMBER(C39),ISNUMBER($J$6),$J$6&gt;0),(C39-$J$5)/$J$6,"")</x:f>
      </x:c>
      <x:c r="G39" s="1" t="str">
        <x:f>IF(ISNUMBER(F39),IF(ABS(F39)&gt;3,1,0),"")</x:f>
      </x:c>
      <x:c r="H39" s="1" t="str">
        <x:f>IF(ISNUMBER(F39),F39^4,"")</x:f>
      </x:c>
      <x:c r="I39" s="1"/>
      <x:c r="J39" s="1"/>
      <x:c r="K39" s="1"/>
      <x:c r="L39" s="1"/>
      <x:c r="M39" s="1"/>
      <x:c r="N39" s="1"/>
    </x:row>
    <x:row r="40" ht="22" customHeight="1">
      <x:c r="A40" s="14"/>
      <x:c r="B40" s="15"/>
      <x:c r="C40" s="16" t="str">
        <x:f>IF(AND(ISNUMBER(B40),ISNUMBER(B39),B40&gt;0,B39&gt;0),LN(B40/B39),"")</x:f>
      </x:c>
      <x:c r="D40" s="16" t="str">
        <x:f>IF(ISNUMBER(C40),ABS(C40),"")</x:f>
      </x:c>
      <x:c r="E40" s="16" t="str">
        <x:f>IF(ISNUMBER(C40),C40^2,"")</x:f>
      </x:c>
      <x:c r="F40" s="16" t="str">
        <x:f>IF(AND(ISNUMBER(C40),ISNUMBER($J$6),$J$6&gt;0),(C40-$J$5)/$J$6,"")</x:f>
      </x:c>
      <x:c r="G40" s="1" t="str">
        <x:f>IF(ISNUMBER(F40),IF(ABS(F40)&gt;3,1,0),"")</x:f>
      </x:c>
      <x:c r="H40" s="1" t="str">
        <x:f>IF(ISNUMBER(F40),F40^4,"")</x:f>
      </x:c>
      <x:c r="I40" s="1"/>
      <x:c r="J40" s="1"/>
      <x:c r="K40" s="1"/>
      <x:c r="L40" s="1"/>
      <x:c r="M40" s="1"/>
      <x:c r="N40" s="1"/>
    </x:row>
    <x:row r="41" ht="22" customHeight="1">
      <x:c r="A41" s="14"/>
      <x:c r="B41" s="15"/>
      <x:c r="C41" s="16" t="str">
        <x:f>IF(AND(ISNUMBER(B41),ISNUMBER(B40),B41&gt;0,B40&gt;0),LN(B41/B40),"")</x:f>
      </x:c>
      <x:c r="D41" s="16" t="str">
        <x:f>IF(ISNUMBER(C41),ABS(C41),"")</x:f>
      </x:c>
      <x:c r="E41" s="16" t="str">
        <x:f>IF(ISNUMBER(C41),C41^2,"")</x:f>
      </x:c>
      <x:c r="F41" s="16" t="str">
        <x:f>IF(AND(ISNUMBER(C41),ISNUMBER($J$6),$J$6&gt;0),(C41-$J$5)/$J$6,"")</x:f>
      </x:c>
      <x:c r="G41" s="1" t="str">
        <x:f>IF(ISNUMBER(F41),IF(ABS(F41)&gt;3,1,0),"")</x:f>
      </x:c>
      <x:c r="H41" s="1" t="str">
        <x:f>IF(ISNUMBER(F41),F41^4,"")</x:f>
      </x:c>
      <x:c r="I41" s="1"/>
      <x:c r="J41" s="1"/>
      <x:c r="K41" s="1"/>
      <x:c r="L41" s="1"/>
      <x:c r="M41" s="1"/>
      <x:c r="N41" s="1"/>
    </x:row>
    <x:row r="42" ht="22" customHeight="1">
      <x:c r="A42" s="14"/>
      <x:c r="B42" s="15"/>
      <x:c r="C42" s="16" t="str">
        <x:f>IF(AND(ISNUMBER(B42),ISNUMBER(B41),B42&gt;0,B41&gt;0),LN(B42/B41),"")</x:f>
      </x:c>
      <x:c r="D42" s="16" t="str">
        <x:f>IF(ISNUMBER(C42),ABS(C42),"")</x:f>
      </x:c>
      <x:c r="E42" s="16" t="str">
        <x:f>IF(ISNUMBER(C42),C42^2,"")</x:f>
      </x:c>
      <x:c r="F42" s="16" t="str">
        <x:f>IF(AND(ISNUMBER(C42),ISNUMBER($J$6),$J$6&gt;0),(C42-$J$5)/$J$6,"")</x:f>
      </x:c>
      <x:c r="G42" s="1" t="str">
        <x:f>IF(ISNUMBER(F42),IF(ABS(F42)&gt;3,1,0),"")</x:f>
      </x:c>
      <x:c r="H42" s="1" t="str">
        <x:f>IF(ISNUMBER(F42),F42^4,"")</x:f>
      </x:c>
      <x:c r="I42" s="1"/>
      <x:c r="J42" s="1"/>
      <x:c r="K42" s="1"/>
      <x:c r="L42" s="1"/>
      <x:c r="M42" s="1"/>
      <x:c r="N42" s="1"/>
    </x:row>
    <x:row r="43" ht="22" customHeight="1">
      <x:c r="A43" s="14"/>
      <x:c r="B43" s="15"/>
      <x:c r="C43" s="16" t="str">
        <x:f>IF(AND(ISNUMBER(B43),ISNUMBER(B42),B43&gt;0,B42&gt;0),LN(B43/B42),"")</x:f>
      </x:c>
      <x:c r="D43" s="16" t="str">
        <x:f>IF(ISNUMBER(C43),ABS(C43),"")</x:f>
      </x:c>
      <x:c r="E43" s="16" t="str">
        <x:f>IF(ISNUMBER(C43),C43^2,"")</x:f>
      </x:c>
      <x:c r="F43" s="16" t="str">
        <x:f>IF(AND(ISNUMBER(C43),ISNUMBER($J$6),$J$6&gt;0),(C43-$J$5)/$J$6,"")</x:f>
      </x:c>
      <x:c r="G43" s="1" t="str">
        <x:f>IF(ISNUMBER(F43),IF(ABS(F43)&gt;3,1,0),"")</x:f>
      </x:c>
      <x:c r="H43" s="1" t="str">
        <x:f>IF(ISNUMBER(F43),F43^4,"")</x:f>
      </x:c>
      <x:c r="I43" s="1"/>
      <x:c r="J43" s="1"/>
      <x:c r="K43" s="1"/>
      <x:c r="L43" s="1"/>
      <x:c r="M43" s="1"/>
      <x:c r="N43" s="1"/>
    </x:row>
    <x:row r="44" ht="22" customHeight="1">
      <x:c r="A44" s="14"/>
      <x:c r="B44" s="15"/>
      <x:c r="C44" s="16" t="str">
        <x:f>IF(AND(ISNUMBER(B44),ISNUMBER(B43),B44&gt;0,B43&gt;0),LN(B44/B43),"")</x:f>
      </x:c>
      <x:c r="D44" s="16" t="str">
        <x:f>IF(ISNUMBER(C44),ABS(C44),"")</x:f>
      </x:c>
      <x:c r="E44" s="16" t="str">
        <x:f>IF(ISNUMBER(C44),C44^2,"")</x:f>
      </x:c>
      <x:c r="F44" s="16" t="str">
        <x:f>IF(AND(ISNUMBER(C44),ISNUMBER($J$6),$J$6&gt;0),(C44-$J$5)/$J$6,"")</x:f>
      </x:c>
      <x:c r="G44" s="1" t="str">
        <x:f>IF(ISNUMBER(F44),IF(ABS(F44)&gt;3,1,0),"")</x:f>
      </x:c>
      <x:c r="H44" s="1" t="str">
        <x:f>IF(ISNUMBER(F44),F44^4,"")</x:f>
      </x:c>
      <x:c r="I44" s="1"/>
      <x:c r="J44" s="1"/>
      <x:c r="K44" s="1"/>
      <x:c r="L44" s="1"/>
      <x:c r="M44" s="1"/>
      <x:c r="N44" s="1"/>
    </x:row>
    <x:row r="45" ht="22" customHeight="1">
      <x:c r="A45" s="14"/>
      <x:c r="B45" s="15"/>
      <x:c r="C45" s="16" t="str">
        <x:f>IF(AND(ISNUMBER(B45),ISNUMBER(B44),B45&gt;0,B44&gt;0),LN(B45/B44),"")</x:f>
      </x:c>
      <x:c r="D45" s="16" t="str">
        <x:f>IF(ISNUMBER(C45),ABS(C45),"")</x:f>
      </x:c>
      <x:c r="E45" s="16" t="str">
        <x:f>IF(ISNUMBER(C45),C45^2,"")</x:f>
      </x:c>
      <x:c r="F45" s="16" t="str">
        <x:f>IF(AND(ISNUMBER(C45),ISNUMBER($J$6),$J$6&gt;0),(C45-$J$5)/$J$6,"")</x:f>
      </x:c>
      <x:c r="G45" s="1" t="str">
        <x:f>IF(ISNUMBER(F45),IF(ABS(F45)&gt;3,1,0),"")</x:f>
      </x:c>
      <x:c r="H45" s="1" t="str">
        <x:f>IF(ISNUMBER(F45),F45^4,"")</x:f>
      </x:c>
      <x:c r="I45" s="1"/>
      <x:c r="J45" s="1"/>
      <x:c r="K45" s="1"/>
      <x:c r="L45" s="1"/>
      <x:c r="M45" s="1"/>
      <x:c r="N45" s="1"/>
    </x:row>
    <x:row r="46" ht="22" customHeight="1">
      <x:c r="A46" s="14"/>
      <x:c r="B46" s="15"/>
      <x:c r="C46" s="16" t="str">
        <x:f>IF(AND(ISNUMBER(B46),ISNUMBER(B45),B46&gt;0,B45&gt;0),LN(B46/B45),"")</x:f>
      </x:c>
      <x:c r="D46" s="16" t="str">
        <x:f>IF(ISNUMBER(C46),ABS(C46),"")</x:f>
      </x:c>
      <x:c r="E46" s="16" t="str">
        <x:f>IF(ISNUMBER(C46),C46^2,"")</x:f>
      </x:c>
      <x:c r="F46" s="16" t="str">
        <x:f>IF(AND(ISNUMBER(C46),ISNUMBER($J$6),$J$6&gt;0),(C46-$J$5)/$J$6,"")</x:f>
      </x:c>
      <x:c r="G46" s="1" t="str">
        <x:f>IF(ISNUMBER(F46),IF(ABS(F46)&gt;3,1,0),"")</x:f>
      </x:c>
      <x:c r="H46" s="1" t="str">
        <x:f>IF(ISNUMBER(F46),F46^4,"")</x:f>
      </x:c>
      <x:c r="I46" s="1"/>
      <x:c r="J46" s="1"/>
      <x:c r="K46" s="1"/>
      <x:c r="L46" s="1"/>
      <x:c r="M46" s="1"/>
      <x:c r="N46" s="1"/>
    </x:row>
    <x:row r="47" ht="22" customHeight="1">
      <x:c r="A47" s="14"/>
      <x:c r="B47" s="15"/>
      <x:c r="C47" s="16" t="str">
        <x:f>IF(AND(ISNUMBER(B47),ISNUMBER(B46),B47&gt;0,B46&gt;0),LN(B47/B46),"")</x:f>
      </x:c>
      <x:c r="D47" s="16" t="str">
        <x:f>IF(ISNUMBER(C47),ABS(C47),"")</x:f>
      </x:c>
      <x:c r="E47" s="16" t="str">
        <x:f>IF(ISNUMBER(C47),C47^2,"")</x:f>
      </x:c>
      <x:c r="F47" s="16" t="str">
        <x:f>IF(AND(ISNUMBER(C47),ISNUMBER($J$6),$J$6&gt;0),(C47-$J$5)/$J$6,"")</x:f>
      </x:c>
      <x:c r="G47" s="1" t="str">
        <x:f>IF(ISNUMBER(F47),IF(ABS(F47)&gt;3,1,0),"")</x:f>
      </x:c>
      <x:c r="H47" s="1" t="str">
        <x:f>IF(ISNUMBER(F47),F47^4,"")</x:f>
      </x:c>
      <x:c r="I47" s="1"/>
      <x:c r="J47" s="1"/>
      <x:c r="K47" s="1"/>
      <x:c r="L47" s="1"/>
      <x:c r="M47" s="1"/>
      <x:c r="N47" s="1"/>
    </x:row>
    <x:row r="48" ht="22" customHeight="1">
      <x:c r="A48" s="14"/>
      <x:c r="B48" s="15"/>
      <x:c r="C48" s="16" t="str">
        <x:f>IF(AND(ISNUMBER(B48),ISNUMBER(B47),B48&gt;0,B47&gt;0),LN(B48/B47),"")</x:f>
      </x:c>
      <x:c r="D48" s="16" t="str">
        <x:f>IF(ISNUMBER(C48),ABS(C48),"")</x:f>
      </x:c>
      <x:c r="E48" s="16" t="str">
        <x:f>IF(ISNUMBER(C48),C48^2,"")</x:f>
      </x:c>
      <x:c r="F48" s="16" t="str">
        <x:f>IF(AND(ISNUMBER(C48),ISNUMBER($J$6),$J$6&gt;0),(C48-$J$5)/$J$6,"")</x:f>
      </x:c>
      <x:c r="G48" s="1" t="str">
        <x:f>IF(ISNUMBER(F48),IF(ABS(F48)&gt;3,1,0),"")</x:f>
      </x:c>
      <x:c r="H48" s="1" t="str">
        <x:f>IF(ISNUMBER(F48),F48^4,"")</x:f>
      </x:c>
      <x:c r="I48" s="1"/>
      <x:c r="J48" s="1"/>
      <x:c r="K48" s="1"/>
      <x:c r="L48" s="1"/>
      <x:c r="M48" s="1"/>
      <x:c r="N48" s="1"/>
    </x:row>
    <x:row r="49" ht="22" customHeight="1">
      <x:c r="A49" s="14"/>
      <x:c r="B49" s="15"/>
      <x:c r="C49" s="16" t="str">
        <x:f>IF(AND(ISNUMBER(B49),ISNUMBER(B48),B49&gt;0,B48&gt;0),LN(B49/B48),"")</x:f>
      </x:c>
      <x:c r="D49" s="16" t="str">
        <x:f>IF(ISNUMBER(C49),ABS(C49),"")</x:f>
      </x:c>
      <x:c r="E49" s="16" t="str">
        <x:f>IF(ISNUMBER(C49),C49^2,"")</x:f>
      </x:c>
      <x:c r="F49" s="16" t="str">
        <x:f>IF(AND(ISNUMBER(C49),ISNUMBER($J$6),$J$6&gt;0),(C49-$J$5)/$J$6,"")</x:f>
      </x:c>
      <x:c r="G49" s="1" t="str">
        <x:f>IF(ISNUMBER(F49),IF(ABS(F49)&gt;3,1,0),"")</x:f>
      </x:c>
      <x:c r="H49" s="1" t="str">
        <x:f>IF(ISNUMBER(F49),F49^4,"")</x:f>
      </x:c>
      <x:c r="I49" s="1"/>
      <x:c r="J49" s="1"/>
      <x:c r="K49" s="1"/>
      <x:c r="L49" s="1"/>
      <x:c r="M49" s="1"/>
      <x:c r="N49" s="1"/>
    </x:row>
    <x:row r="50" ht="22" customHeight="1">
      <x:c r="A50" s="14"/>
      <x:c r="B50" s="15"/>
      <x:c r="C50" s="16" t="str">
        <x:f>IF(AND(ISNUMBER(B50),ISNUMBER(B49),B50&gt;0,B49&gt;0),LN(B50/B49),"")</x:f>
      </x:c>
      <x:c r="D50" s="16" t="str">
        <x:f>IF(ISNUMBER(C50),ABS(C50),"")</x:f>
      </x:c>
      <x:c r="E50" s="16" t="str">
        <x:f>IF(ISNUMBER(C50),C50^2,"")</x:f>
      </x:c>
      <x:c r="F50" s="16" t="str">
        <x:f>IF(AND(ISNUMBER(C50),ISNUMBER($J$6),$J$6&gt;0),(C50-$J$5)/$J$6,"")</x:f>
      </x:c>
      <x:c r="G50" s="1" t="str">
        <x:f>IF(ISNUMBER(F50),IF(ABS(F50)&gt;3,1,0),"")</x:f>
      </x:c>
      <x:c r="H50" s="1" t="str">
        <x:f>IF(ISNUMBER(F50),F50^4,"")</x:f>
      </x:c>
      <x:c r="I50" s="1"/>
      <x:c r="J50" s="1"/>
      <x:c r="K50" s="1"/>
      <x:c r="L50" s="1"/>
      <x:c r="M50" s="1"/>
      <x:c r="N50" s="1"/>
    </x:row>
    <x:row r="51" ht="22" customHeight="1">
      <x:c r="A51" s="14"/>
      <x:c r="B51" s="15"/>
      <x:c r="C51" s="16" t="str">
        <x:f>IF(AND(ISNUMBER(B51),ISNUMBER(B50),B51&gt;0,B50&gt;0),LN(B51/B50),"")</x:f>
      </x:c>
      <x:c r="D51" s="16" t="str">
        <x:f>IF(ISNUMBER(C51),ABS(C51),"")</x:f>
      </x:c>
      <x:c r="E51" s="16" t="str">
        <x:f>IF(ISNUMBER(C51),C51^2,"")</x:f>
      </x:c>
      <x:c r="F51" s="16" t="str">
        <x:f>IF(AND(ISNUMBER(C51),ISNUMBER($J$6),$J$6&gt;0),(C51-$J$5)/$J$6,"")</x:f>
      </x:c>
      <x:c r="G51" s="1" t="str">
        <x:f>IF(ISNUMBER(F51),IF(ABS(F51)&gt;3,1,0),"")</x:f>
      </x:c>
      <x:c r="H51" s="1" t="str">
        <x:f>IF(ISNUMBER(F51),F51^4,"")</x:f>
      </x:c>
      <x:c r="I51" s="1"/>
      <x:c r="J51" s="1"/>
      <x:c r="K51" s="1"/>
      <x:c r="L51" s="1"/>
      <x:c r="M51" s="1"/>
      <x:c r="N51" s="1"/>
    </x:row>
    <x:row r="52" ht="22" customHeight="1">
      <x:c r="A52" s="14"/>
      <x:c r="B52" s="15"/>
      <x:c r="C52" s="16" t="str">
        <x:f>IF(AND(ISNUMBER(B52),ISNUMBER(B51),B52&gt;0,B51&gt;0),LN(B52/B51),"")</x:f>
      </x:c>
      <x:c r="D52" s="16" t="str">
        <x:f>IF(ISNUMBER(C52),ABS(C52),"")</x:f>
      </x:c>
      <x:c r="E52" s="16" t="str">
        <x:f>IF(ISNUMBER(C52),C52^2,"")</x:f>
      </x:c>
      <x:c r="F52" s="16" t="str">
        <x:f>IF(AND(ISNUMBER(C52),ISNUMBER($J$6),$J$6&gt;0),(C52-$J$5)/$J$6,"")</x:f>
      </x:c>
      <x:c r="G52" s="1" t="str">
        <x:f>IF(ISNUMBER(F52),IF(ABS(F52)&gt;3,1,0),"")</x:f>
      </x:c>
      <x:c r="H52" s="1" t="str">
        <x:f>IF(ISNUMBER(F52),F52^4,"")</x:f>
      </x:c>
      <x:c r="I52" s="1"/>
      <x:c r="J52" s="1"/>
      <x:c r="K52" s="1"/>
      <x:c r="L52" s="1"/>
      <x:c r="M52" s="1"/>
      <x:c r="N52" s="1"/>
    </x:row>
    <x:row r="53" ht="22" customHeight="1">
      <x:c r="A53" s="14"/>
      <x:c r="B53" s="15"/>
      <x:c r="C53" s="16" t="str">
        <x:f>IF(AND(ISNUMBER(B53),ISNUMBER(B52),B53&gt;0,B52&gt;0),LN(B53/B52),"")</x:f>
      </x:c>
      <x:c r="D53" s="16" t="str">
        <x:f>IF(ISNUMBER(C53),ABS(C53),"")</x:f>
      </x:c>
      <x:c r="E53" s="16" t="str">
        <x:f>IF(ISNUMBER(C53),C53^2,"")</x:f>
      </x:c>
      <x:c r="F53" s="16" t="str">
        <x:f>IF(AND(ISNUMBER(C53),ISNUMBER($J$6),$J$6&gt;0),(C53-$J$5)/$J$6,"")</x:f>
      </x:c>
      <x:c r="G53" s="1" t="str">
        <x:f>IF(ISNUMBER(F53),IF(ABS(F53)&gt;3,1,0),"")</x:f>
      </x:c>
      <x:c r="H53" s="1" t="str">
        <x:f>IF(ISNUMBER(F53),F53^4,"")</x:f>
      </x:c>
      <x:c r="I53" s="1"/>
      <x:c r="J53" s="1"/>
      <x:c r="K53" s="1"/>
      <x:c r="L53" s="1"/>
      <x:c r="M53" s="1"/>
      <x:c r="N53" s="1"/>
    </x:row>
    <x:row r="54" ht="22" customHeight="1">
      <x:c r="A54" s="14"/>
      <x:c r="B54" s="15"/>
      <x:c r="C54" s="16" t="str">
        <x:f>IF(AND(ISNUMBER(B54),ISNUMBER(B53),B54&gt;0,B53&gt;0),LN(B54/B53),"")</x:f>
      </x:c>
      <x:c r="D54" s="16" t="str">
        <x:f>IF(ISNUMBER(C54),ABS(C54),"")</x:f>
      </x:c>
      <x:c r="E54" s="16" t="str">
        <x:f>IF(ISNUMBER(C54),C54^2,"")</x:f>
      </x:c>
      <x:c r="F54" s="16" t="str">
        <x:f>IF(AND(ISNUMBER(C54),ISNUMBER($J$6),$J$6&gt;0),(C54-$J$5)/$J$6,"")</x:f>
      </x:c>
      <x:c r="G54" s="1" t="str">
        <x:f>IF(ISNUMBER(F54),IF(ABS(F54)&gt;3,1,0),"")</x:f>
      </x:c>
      <x:c r="H54" s="1" t="str">
        <x:f>IF(ISNUMBER(F54),F54^4,"")</x:f>
      </x:c>
      <x:c r="I54" s="1"/>
      <x:c r="J54" s="1"/>
      <x:c r="K54" s="1"/>
      <x:c r="L54" s="1"/>
      <x:c r="M54" s="1"/>
      <x:c r="N54" s="1"/>
    </x:row>
    <x:row r="55" ht="22" customHeight="1">
      <x:c r="A55" s="14"/>
      <x:c r="B55" s="15"/>
      <x:c r="C55" s="16" t="str">
        <x:f>IF(AND(ISNUMBER(B55),ISNUMBER(B54),B55&gt;0,B54&gt;0),LN(B55/B54),"")</x:f>
      </x:c>
      <x:c r="D55" s="16" t="str">
        <x:f>IF(ISNUMBER(C55),ABS(C55),"")</x:f>
      </x:c>
      <x:c r="E55" s="16" t="str">
        <x:f>IF(ISNUMBER(C55),C55^2,"")</x:f>
      </x:c>
      <x:c r="F55" s="16" t="str">
        <x:f>IF(AND(ISNUMBER(C55),ISNUMBER($J$6),$J$6&gt;0),(C55-$J$5)/$J$6,"")</x:f>
      </x:c>
      <x:c r="G55" s="1" t="str">
        <x:f>IF(ISNUMBER(F55),IF(ABS(F55)&gt;3,1,0),"")</x:f>
      </x:c>
      <x:c r="H55" s="1" t="str">
        <x:f>IF(ISNUMBER(F55),F55^4,"")</x:f>
      </x:c>
      <x:c r="I55" s="1"/>
      <x:c r="J55" s="1"/>
      <x:c r="K55" s="1"/>
      <x:c r="L55" s="1"/>
      <x:c r="M55" s="1"/>
      <x:c r="N55" s="1"/>
    </x:row>
    <x:row r="56" ht="22" customHeight="1">
      <x:c r="A56" s="14"/>
      <x:c r="B56" s="15"/>
      <x:c r="C56" s="16" t="str">
        <x:f>IF(AND(ISNUMBER(B56),ISNUMBER(B55),B56&gt;0,B55&gt;0),LN(B56/B55),"")</x:f>
      </x:c>
      <x:c r="D56" s="16" t="str">
        <x:f>IF(ISNUMBER(C56),ABS(C56),"")</x:f>
      </x:c>
      <x:c r="E56" s="16" t="str">
        <x:f>IF(ISNUMBER(C56),C56^2,"")</x:f>
      </x:c>
      <x:c r="F56" s="16" t="str">
        <x:f>IF(AND(ISNUMBER(C56),ISNUMBER($J$6),$J$6&gt;0),(C56-$J$5)/$J$6,"")</x:f>
      </x:c>
      <x:c r="G56" s="1" t="str">
        <x:f>IF(ISNUMBER(F56),IF(ABS(F56)&gt;3,1,0),"")</x:f>
      </x:c>
      <x:c r="H56" s="1" t="str">
        <x:f>IF(ISNUMBER(F56),F56^4,"")</x:f>
      </x:c>
      <x:c r="I56" s="1"/>
      <x:c r="J56" s="1"/>
      <x:c r="K56" s="1"/>
      <x:c r="L56" s="1"/>
      <x:c r="M56" s="1"/>
      <x:c r="N56" s="1"/>
    </x:row>
    <x:row r="57" ht="22" customHeight="1">
      <x:c r="A57" s="14"/>
      <x:c r="B57" s="15"/>
      <x:c r="C57" s="16" t="str">
        <x:f>IF(AND(ISNUMBER(B57),ISNUMBER(B56),B57&gt;0,B56&gt;0),LN(B57/B56),"")</x:f>
      </x:c>
      <x:c r="D57" s="16" t="str">
        <x:f>IF(ISNUMBER(C57),ABS(C57),"")</x:f>
      </x:c>
      <x:c r="E57" s="16" t="str">
        <x:f>IF(ISNUMBER(C57),C57^2,"")</x:f>
      </x:c>
      <x:c r="F57" s="16" t="str">
        <x:f>IF(AND(ISNUMBER(C57),ISNUMBER($J$6),$J$6&gt;0),(C57-$J$5)/$J$6,"")</x:f>
      </x:c>
      <x:c r="G57" s="1" t="str">
        <x:f>IF(ISNUMBER(F57),IF(ABS(F57)&gt;3,1,0),"")</x:f>
      </x:c>
      <x:c r="H57" s="1" t="str">
        <x:f>IF(ISNUMBER(F57),F57^4,"")</x:f>
      </x:c>
      <x:c r="I57" s="1"/>
      <x:c r="J57" s="1"/>
      <x:c r="K57" s="1"/>
      <x:c r="L57" s="1"/>
      <x:c r="M57" s="1"/>
      <x:c r="N57" s="1"/>
    </x:row>
    <x:row r="58" ht="22" customHeight="1">
      <x:c r="A58" s="14"/>
      <x:c r="B58" s="15"/>
      <x:c r="C58" s="16" t="str">
        <x:f>IF(AND(ISNUMBER(B58),ISNUMBER(B57),B58&gt;0,B57&gt;0),LN(B58/B57),"")</x:f>
      </x:c>
      <x:c r="D58" s="16" t="str">
        <x:f>IF(ISNUMBER(C58),ABS(C58),"")</x:f>
      </x:c>
      <x:c r="E58" s="16" t="str">
        <x:f>IF(ISNUMBER(C58),C58^2,"")</x:f>
      </x:c>
      <x:c r="F58" s="16" t="str">
        <x:f>IF(AND(ISNUMBER(C58),ISNUMBER($J$6),$J$6&gt;0),(C58-$J$5)/$J$6,"")</x:f>
      </x:c>
      <x:c r="G58" s="1" t="str">
        <x:f>IF(ISNUMBER(F58),IF(ABS(F58)&gt;3,1,0),"")</x:f>
      </x:c>
      <x:c r="H58" s="1" t="str">
        <x:f>IF(ISNUMBER(F58),F58^4,"")</x:f>
      </x:c>
      <x:c r="I58" s="1"/>
      <x:c r="J58" s="1"/>
      <x:c r="K58" s="1"/>
      <x:c r="L58" s="1"/>
      <x:c r="M58" s="1"/>
      <x:c r="N58" s="1"/>
    </x:row>
    <x:row r="59" ht="22" customHeight="1">
      <x:c r="A59" s="14"/>
      <x:c r="B59" s="15"/>
      <x:c r="C59" s="16" t="str">
        <x:f>IF(AND(ISNUMBER(B59),ISNUMBER(B58),B59&gt;0,B58&gt;0),LN(B59/B58),"")</x:f>
      </x:c>
      <x:c r="D59" s="16" t="str">
        <x:f>IF(ISNUMBER(C59),ABS(C59),"")</x:f>
      </x:c>
      <x:c r="E59" s="16" t="str">
        <x:f>IF(ISNUMBER(C59),C59^2,"")</x:f>
      </x:c>
      <x:c r="F59" s="16" t="str">
        <x:f>IF(AND(ISNUMBER(C59),ISNUMBER($J$6),$J$6&gt;0),(C59-$J$5)/$J$6,"")</x:f>
      </x:c>
      <x:c r="G59" s="1" t="str">
        <x:f>IF(ISNUMBER(F59),IF(ABS(F59)&gt;3,1,0),"")</x:f>
      </x:c>
      <x:c r="H59" s="1" t="str">
        <x:f>IF(ISNUMBER(F59),F59^4,"")</x:f>
      </x:c>
      <x:c r="I59" s="1"/>
      <x:c r="J59" s="1"/>
      <x:c r="K59" s="1"/>
      <x:c r="L59" s="1"/>
      <x:c r="M59" s="1"/>
      <x:c r="N59" s="1"/>
    </x:row>
    <x:row r="60" ht="22" customHeight="1">
      <x:c r="A60" s="14"/>
      <x:c r="B60" s="15"/>
      <x:c r="C60" s="16" t="str">
        <x:f>IF(AND(ISNUMBER(B60),ISNUMBER(B59),B60&gt;0,B59&gt;0),LN(B60/B59),"")</x:f>
      </x:c>
      <x:c r="D60" s="16" t="str">
        <x:f>IF(ISNUMBER(C60),ABS(C60),"")</x:f>
      </x:c>
      <x:c r="E60" s="16" t="str">
        <x:f>IF(ISNUMBER(C60),C60^2,"")</x:f>
      </x:c>
      <x:c r="F60" s="16" t="str">
        <x:f>IF(AND(ISNUMBER(C60),ISNUMBER($J$6),$J$6&gt;0),(C60-$J$5)/$J$6,"")</x:f>
      </x:c>
      <x:c r="G60" s="1" t="str">
        <x:f>IF(ISNUMBER(F60),IF(ABS(F60)&gt;3,1,0),"")</x:f>
      </x:c>
      <x:c r="H60" s="1" t="str">
        <x:f>IF(ISNUMBER(F60),F60^4,"")</x:f>
      </x:c>
      <x:c r="I60" s="1"/>
      <x:c r="J60" s="1"/>
      <x:c r="K60" s="1"/>
      <x:c r="L60" s="1"/>
      <x:c r="M60" s="1"/>
      <x:c r="N60" s="1"/>
    </x:row>
    <x:row r="61" ht="22" customHeight="1">
      <x:c r="A61" s="14"/>
      <x:c r="B61" s="15"/>
      <x:c r="C61" s="16" t="str">
        <x:f>IF(AND(ISNUMBER(B61),ISNUMBER(B60),B61&gt;0,B60&gt;0),LN(B61/B60),"")</x:f>
      </x:c>
      <x:c r="D61" s="16" t="str">
        <x:f>IF(ISNUMBER(C61),ABS(C61),"")</x:f>
      </x:c>
      <x:c r="E61" s="16" t="str">
        <x:f>IF(ISNUMBER(C61),C61^2,"")</x:f>
      </x:c>
      <x:c r="F61" s="16" t="str">
        <x:f>IF(AND(ISNUMBER(C61),ISNUMBER($J$6),$J$6&gt;0),(C61-$J$5)/$J$6,"")</x:f>
      </x:c>
      <x:c r="G61" s="1" t="str">
        <x:f>IF(ISNUMBER(F61),IF(ABS(F61)&gt;3,1,0),"")</x:f>
      </x:c>
      <x:c r="H61" s="1" t="str">
        <x:f>IF(ISNUMBER(F61),F61^4,"")</x:f>
      </x:c>
      <x:c r="I61" s="1"/>
      <x:c r="J61" s="1"/>
      <x:c r="K61" s="1"/>
      <x:c r="L61" s="1"/>
      <x:c r="M61" s="1"/>
      <x:c r="N61" s="1"/>
    </x:row>
    <x:row r="62" ht="22" customHeight="1">
      <x:c r="A62" s="14"/>
      <x:c r="B62" s="15"/>
      <x:c r="C62" s="16" t="str">
        <x:f>IF(AND(ISNUMBER(B62),ISNUMBER(B61),B62&gt;0,B61&gt;0),LN(B62/B61),"")</x:f>
      </x:c>
      <x:c r="D62" s="16" t="str">
        <x:f>IF(ISNUMBER(C62),ABS(C62),"")</x:f>
      </x:c>
      <x:c r="E62" s="16" t="str">
        <x:f>IF(ISNUMBER(C62),C62^2,"")</x:f>
      </x:c>
      <x:c r="F62" s="16" t="str">
        <x:f>IF(AND(ISNUMBER(C62),ISNUMBER($J$6),$J$6&gt;0),(C62-$J$5)/$J$6,"")</x:f>
      </x:c>
      <x:c r="G62" s="1" t="str">
        <x:f>IF(ISNUMBER(F62),IF(ABS(F62)&gt;3,1,0),"")</x:f>
      </x:c>
      <x:c r="H62" s="1" t="str">
        <x:f>IF(ISNUMBER(F62),F62^4,"")</x:f>
      </x:c>
      <x:c r="I62" s="1"/>
      <x:c r="J62" s="1"/>
      <x:c r="K62" s="1"/>
      <x:c r="L62" s="1"/>
      <x:c r="M62" s="1"/>
      <x:c r="N62" s="1"/>
    </x:row>
    <x:row r="63" ht="22" customHeight="1">
      <x:c r="A63" s="14"/>
      <x:c r="B63" s="15"/>
      <x:c r="C63" s="16" t="str">
        <x:f>IF(AND(ISNUMBER(B63),ISNUMBER(B62),B63&gt;0,B62&gt;0),LN(B63/B62),"")</x:f>
      </x:c>
      <x:c r="D63" s="16" t="str">
        <x:f>IF(ISNUMBER(C63),ABS(C63),"")</x:f>
      </x:c>
      <x:c r="E63" s="16" t="str">
        <x:f>IF(ISNUMBER(C63),C63^2,"")</x:f>
      </x:c>
      <x:c r="F63" s="16" t="str">
        <x:f>IF(AND(ISNUMBER(C63),ISNUMBER($J$6),$J$6&gt;0),(C63-$J$5)/$J$6,"")</x:f>
      </x:c>
      <x:c r="G63" s="1" t="str">
        <x:f>IF(ISNUMBER(F63),IF(ABS(F63)&gt;3,1,0),"")</x:f>
      </x:c>
      <x:c r="H63" s="1" t="str">
        <x:f>IF(ISNUMBER(F63),F63^4,"")</x:f>
      </x:c>
      <x:c r="I63" s="1"/>
      <x:c r="J63" s="1"/>
      <x:c r="K63" s="1"/>
      <x:c r="L63" s="1"/>
      <x:c r="M63" s="1"/>
      <x:c r="N63" s="1"/>
    </x:row>
    <x:row r="64" ht="22" customHeight="1">
      <x:c r="A64" s="14"/>
      <x:c r="B64" s="15"/>
      <x:c r="C64" s="16" t="str">
        <x:f>IF(AND(ISNUMBER(B64),ISNUMBER(B63),B64&gt;0,B63&gt;0),LN(B64/B63),"")</x:f>
      </x:c>
      <x:c r="D64" s="16" t="str">
        <x:f>IF(ISNUMBER(C64),ABS(C64),"")</x:f>
      </x:c>
      <x:c r="E64" s="16" t="str">
        <x:f>IF(ISNUMBER(C64),C64^2,"")</x:f>
      </x:c>
      <x:c r="F64" s="16" t="str">
        <x:f>IF(AND(ISNUMBER(C64),ISNUMBER($J$6),$J$6&gt;0),(C64-$J$5)/$J$6,"")</x:f>
      </x:c>
      <x:c r="G64" s="1" t="str">
        <x:f>IF(ISNUMBER(F64),IF(ABS(F64)&gt;3,1,0),"")</x:f>
      </x:c>
      <x:c r="H64" s="1" t="str">
        <x:f>IF(ISNUMBER(F64),F64^4,"")</x:f>
      </x:c>
      <x:c r="I64" s="1"/>
      <x:c r="J64" s="1"/>
      <x:c r="K64" s="1"/>
      <x:c r="L64" s="1"/>
      <x:c r="M64" s="1"/>
      <x:c r="N64" s="1"/>
    </x:row>
    <x:row r="65" ht="22" customHeight="1">
      <x:c r="A65" s="14"/>
      <x:c r="B65" s="15"/>
      <x:c r="C65" s="16" t="str">
        <x:f>IF(AND(ISNUMBER(B65),ISNUMBER(B64),B65&gt;0,B64&gt;0),LN(B65/B64),"")</x:f>
      </x:c>
      <x:c r="D65" s="16" t="str">
        <x:f>IF(ISNUMBER(C65),ABS(C65),"")</x:f>
      </x:c>
      <x:c r="E65" s="16" t="str">
        <x:f>IF(ISNUMBER(C65),C65^2,"")</x:f>
      </x:c>
      <x:c r="F65" s="16" t="str">
        <x:f>IF(AND(ISNUMBER(C65),ISNUMBER($J$6),$J$6&gt;0),(C65-$J$5)/$J$6,"")</x:f>
      </x:c>
      <x:c r="G65" s="1" t="str">
        <x:f>IF(ISNUMBER(F65),IF(ABS(F65)&gt;3,1,0),"")</x:f>
      </x:c>
      <x:c r="H65" s="1" t="str">
        <x:f>IF(ISNUMBER(F65),F65^4,"")</x:f>
      </x:c>
      <x:c r="I65" s="1"/>
      <x:c r="J65" s="1"/>
      <x:c r="K65" s="1"/>
      <x:c r="L65" s="1"/>
      <x:c r="M65" s="1"/>
      <x:c r="N65" s="1"/>
    </x:row>
    <x:row r="66" ht="22" customHeight="1">
      <x:c r="A66" s="14"/>
      <x:c r="B66" s="15"/>
      <x:c r="C66" s="16" t="str">
        <x:f>IF(AND(ISNUMBER(B66),ISNUMBER(B65),B66&gt;0,B65&gt;0),LN(B66/B65),"")</x:f>
      </x:c>
      <x:c r="D66" s="16" t="str">
        <x:f>IF(ISNUMBER(C66),ABS(C66),"")</x:f>
      </x:c>
      <x:c r="E66" s="16" t="str">
        <x:f>IF(ISNUMBER(C66),C66^2,"")</x:f>
      </x:c>
      <x:c r="F66" s="16" t="str">
        <x:f>IF(AND(ISNUMBER(C66),ISNUMBER($J$6),$J$6&gt;0),(C66-$J$5)/$J$6,"")</x:f>
      </x:c>
      <x:c r="G66" s="1" t="str">
        <x:f>IF(ISNUMBER(F66),IF(ABS(F66)&gt;3,1,0),"")</x:f>
      </x:c>
      <x:c r="H66" s="1" t="str">
        <x:f>IF(ISNUMBER(F66),F66^4,"")</x:f>
      </x:c>
      <x:c r="I66" s="1"/>
      <x:c r="J66" s="1"/>
      <x:c r="K66" s="1"/>
      <x:c r="L66" s="1"/>
      <x:c r="M66" s="1"/>
      <x:c r="N66" s="1"/>
    </x:row>
    <x:row r="67" ht="22" customHeight="1">
      <x:c r="A67" s="14"/>
      <x:c r="B67" s="15"/>
      <x:c r="C67" s="16" t="str">
        <x:f>IF(AND(ISNUMBER(B67),ISNUMBER(B66),B67&gt;0,B66&gt;0),LN(B67/B66),"")</x:f>
      </x:c>
      <x:c r="D67" s="16" t="str">
        <x:f>IF(ISNUMBER(C67),ABS(C67),"")</x:f>
      </x:c>
      <x:c r="E67" s="16" t="str">
        <x:f>IF(ISNUMBER(C67),C67^2,"")</x:f>
      </x:c>
      <x:c r="F67" s="16" t="str">
        <x:f>IF(AND(ISNUMBER(C67),ISNUMBER($J$6),$J$6&gt;0),(C67-$J$5)/$J$6,"")</x:f>
      </x:c>
      <x:c r="G67" s="1" t="str">
        <x:f>IF(ISNUMBER(F67),IF(ABS(F67)&gt;3,1,0),"")</x:f>
      </x:c>
      <x:c r="H67" s="1" t="str">
        <x:f>IF(ISNUMBER(F67),F67^4,"")</x:f>
      </x:c>
      <x:c r="I67" s="1"/>
      <x:c r="J67" s="1"/>
      <x:c r="K67" s="1"/>
      <x:c r="L67" s="1"/>
      <x:c r="M67" s="1"/>
      <x:c r="N67" s="1"/>
    </x:row>
    <x:row r="68" ht="22" customHeight="1">
      <x:c r="A68" s="14"/>
      <x:c r="B68" s="15"/>
      <x:c r="C68" s="16" t="str">
        <x:f>IF(AND(ISNUMBER(B68),ISNUMBER(B67),B68&gt;0,B67&gt;0),LN(B68/B67),"")</x:f>
      </x:c>
      <x:c r="D68" s="16" t="str">
        <x:f>IF(ISNUMBER(C68),ABS(C68),"")</x:f>
      </x:c>
      <x:c r="E68" s="16" t="str">
        <x:f>IF(ISNUMBER(C68),C68^2,"")</x:f>
      </x:c>
      <x:c r="F68" s="16" t="str">
        <x:f>IF(AND(ISNUMBER(C68),ISNUMBER($J$6),$J$6&gt;0),(C68-$J$5)/$J$6,"")</x:f>
      </x:c>
      <x:c r="G68" s="1" t="str">
        <x:f>IF(ISNUMBER(F68),IF(ABS(F68)&gt;3,1,0),"")</x:f>
      </x:c>
      <x:c r="H68" s="1" t="str">
        <x:f>IF(ISNUMBER(F68),F68^4,"")</x:f>
      </x:c>
      <x:c r="I68" s="1"/>
      <x:c r="J68" s="1"/>
      <x:c r="K68" s="1"/>
      <x:c r="L68" s="1"/>
      <x:c r="M68" s="1"/>
      <x:c r="N68" s="1"/>
    </x:row>
    <x:row r="69" ht="22" customHeight="1">
      <x:c r="A69" s="14"/>
      <x:c r="B69" s="15"/>
      <x:c r="C69" s="16" t="str">
        <x:f>IF(AND(ISNUMBER(B69),ISNUMBER(B68),B69&gt;0,B68&gt;0),LN(B69/B68),"")</x:f>
      </x:c>
      <x:c r="D69" s="16" t="str">
        <x:f>IF(ISNUMBER(C69),ABS(C69),"")</x:f>
      </x:c>
      <x:c r="E69" s="16" t="str">
        <x:f>IF(ISNUMBER(C69),C69^2,"")</x:f>
      </x:c>
      <x:c r="F69" s="16" t="str">
        <x:f>IF(AND(ISNUMBER(C69),ISNUMBER($J$6),$J$6&gt;0),(C69-$J$5)/$J$6,"")</x:f>
      </x:c>
      <x:c r="G69" s="1" t="str">
        <x:f>IF(ISNUMBER(F69),IF(ABS(F69)&gt;3,1,0),"")</x:f>
      </x:c>
      <x:c r="H69" s="1" t="str">
        <x:f>IF(ISNUMBER(F69),F69^4,"")</x:f>
      </x:c>
      <x:c r="I69" s="1"/>
      <x:c r="J69" s="1"/>
      <x:c r="K69" s="1"/>
      <x:c r="L69" s="1"/>
      <x:c r="M69" s="1"/>
      <x:c r="N69" s="1"/>
    </x:row>
    <x:row r="70" ht="22" customHeight="1">
      <x:c r="A70" s="14"/>
      <x:c r="B70" s="15"/>
      <x:c r="C70" s="16" t="str">
        <x:f>IF(AND(ISNUMBER(B70),ISNUMBER(B69),B70&gt;0,B69&gt;0),LN(B70/B69),"")</x:f>
      </x:c>
      <x:c r="D70" s="16" t="str">
        <x:f>IF(ISNUMBER(C70),ABS(C70),"")</x:f>
      </x:c>
      <x:c r="E70" s="16" t="str">
        <x:f>IF(ISNUMBER(C70),C70^2,"")</x:f>
      </x:c>
      <x:c r="F70" s="16" t="str">
        <x:f>IF(AND(ISNUMBER(C70),ISNUMBER($J$6),$J$6&gt;0),(C70-$J$5)/$J$6,"")</x:f>
      </x:c>
      <x:c r="G70" s="1" t="str">
        <x:f>IF(ISNUMBER(F70),IF(ABS(F70)&gt;3,1,0),"")</x:f>
      </x:c>
      <x:c r="H70" s="1" t="str">
        <x:f>IF(ISNUMBER(F70),F70^4,"")</x:f>
      </x:c>
      <x:c r="I70" s="1"/>
      <x:c r="J70" s="1"/>
      <x:c r="K70" s="1"/>
      <x:c r="L70" s="1"/>
      <x:c r="M70" s="1"/>
      <x:c r="N70" s="1"/>
    </x:row>
    <x:row r="71" ht="22" customHeight="1">
      <x:c r="A71" s="14"/>
      <x:c r="B71" s="15"/>
      <x:c r="C71" s="16" t="str">
        <x:f>IF(AND(ISNUMBER(B71),ISNUMBER(B70),B71&gt;0,B70&gt;0),LN(B71/B70),"")</x:f>
      </x:c>
      <x:c r="D71" s="16" t="str">
        <x:f>IF(ISNUMBER(C71),ABS(C71),"")</x:f>
      </x:c>
      <x:c r="E71" s="16" t="str">
        <x:f>IF(ISNUMBER(C71),C71^2,"")</x:f>
      </x:c>
      <x:c r="F71" s="16" t="str">
        <x:f>IF(AND(ISNUMBER(C71),ISNUMBER($J$6),$J$6&gt;0),(C71-$J$5)/$J$6,"")</x:f>
      </x:c>
      <x:c r="G71" s="1" t="str">
        <x:f>IF(ISNUMBER(F71),IF(ABS(F71)&gt;3,1,0),"")</x:f>
      </x:c>
      <x:c r="H71" s="1" t="str">
        <x:f>IF(ISNUMBER(F71),F71^4,"")</x:f>
      </x:c>
      <x:c r="I71" s="1"/>
      <x:c r="J71" s="1"/>
      <x:c r="K71" s="1"/>
      <x:c r="L71" s="1"/>
      <x:c r="M71" s="1"/>
      <x:c r="N71" s="1"/>
    </x:row>
    <x:row r="72" ht="22" customHeight="1">
      <x:c r="A72" s="14"/>
      <x:c r="B72" s="15"/>
      <x:c r="C72" s="16" t="str">
        <x:f>IF(AND(ISNUMBER(B72),ISNUMBER(B71),B72&gt;0,B71&gt;0),LN(B72/B71),"")</x:f>
      </x:c>
      <x:c r="D72" s="16" t="str">
        <x:f>IF(ISNUMBER(C72),ABS(C72),"")</x:f>
      </x:c>
      <x:c r="E72" s="16" t="str">
        <x:f>IF(ISNUMBER(C72),C72^2,"")</x:f>
      </x:c>
      <x:c r="F72" s="16" t="str">
        <x:f>IF(AND(ISNUMBER(C72),ISNUMBER($J$6),$J$6&gt;0),(C72-$J$5)/$J$6,"")</x:f>
      </x:c>
      <x:c r="G72" s="1" t="str">
        <x:f>IF(ISNUMBER(F72),IF(ABS(F72)&gt;3,1,0),"")</x:f>
      </x:c>
      <x:c r="H72" s="1" t="str">
        <x:f>IF(ISNUMBER(F72),F72^4,"")</x:f>
      </x:c>
      <x:c r="I72" s="1"/>
      <x:c r="J72" s="1"/>
      <x:c r="K72" s="1"/>
      <x:c r="L72" s="1"/>
      <x:c r="M72" s="1"/>
      <x:c r="N72" s="1"/>
    </x:row>
    <x:row r="73" ht="22" customHeight="1">
      <x:c r="A73" s="14"/>
      <x:c r="B73" s="15"/>
      <x:c r="C73" s="16" t="str">
        <x:f>IF(AND(ISNUMBER(B73),ISNUMBER(B72),B73&gt;0,B72&gt;0),LN(B73/B72),"")</x:f>
      </x:c>
      <x:c r="D73" s="16" t="str">
        <x:f>IF(ISNUMBER(C73),ABS(C73),"")</x:f>
      </x:c>
      <x:c r="E73" s="16" t="str">
        <x:f>IF(ISNUMBER(C73),C73^2,"")</x:f>
      </x:c>
      <x:c r="F73" s="16" t="str">
        <x:f>IF(AND(ISNUMBER(C73),ISNUMBER($J$6),$J$6&gt;0),(C73-$J$5)/$J$6,"")</x:f>
      </x:c>
      <x:c r="G73" s="1" t="str">
        <x:f>IF(ISNUMBER(F73),IF(ABS(F73)&gt;3,1,0),"")</x:f>
      </x:c>
      <x:c r="H73" s="1" t="str">
        <x:f>IF(ISNUMBER(F73),F73^4,"")</x:f>
      </x:c>
      <x:c r="I73" s="1"/>
      <x:c r="J73" s="1"/>
      <x:c r="K73" s="1"/>
      <x:c r="L73" s="1"/>
      <x:c r="M73" s="1"/>
      <x:c r="N73" s="1"/>
    </x:row>
    <x:row r="74" ht="22" customHeight="1">
      <x:c r="A74" s="14"/>
      <x:c r="B74" s="15"/>
      <x:c r="C74" s="16" t="str">
        <x:f>IF(AND(ISNUMBER(B74),ISNUMBER(B73),B74&gt;0,B73&gt;0),LN(B74/B73),"")</x:f>
      </x:c>
      <x:c r="D74" s="16" t="str">
        <x:f>IF(ISNUMBER(C74),ABS(C74),"")</x:f>
      </x:c>
      <x:c r="E74" s="16" t="str">
        <x:f>IF(ISNUMBER(C74),C74^2,"")</x:f>
      </x:c>
      <x:c r="F74" s="16" t="str">
        <x:f>IF(AND(ISNUMBER(C74),ISNUMBER($J$6),$J$6&gt;0),(C74-$J$5)/$J$6,"")</x:f>
      </x:c>
      <x:c r="G74" s="1" t="str">
        <x:f>IF(ISNUMBER(F74),IF(ABS(F74)&gt;3,1,0),"")</x:f>
      </x:c>
      <x:c r="H74" s="1" t="str">
        <x:f>IF(ISNUMBER(F74),F74^4,"")</x:f>
      </x:c>
      <x:c r="I74" s="1"/>
      <x:c r="J74" s="1"/>
      <x:c r="K74" s="1"/>
      <x:c r="L74" s="1"/>
      <x:c r="M74" s="1"/>
      <x:c r="N74" s="1"/>
    </x:row>
    <x:row r="75" ht="22" customHeight="1">
      <x:c r="A75" s="14"/>
      <x:c r="B75" s="15"/>
      <x:c r="C75" s="16" t="str">
        <x:f>IF(AND(ISNUMBER(B75),ISNUMBER(B74),B75&gt;0,B74&gt;0),LN(B75/B74),"")</x:f>
      </x:c>
      <x:c r="D75" s="16" t="str">
        <x:f>IF(ISNUMBER(C75),ABS(C75),"")</x:f>
      </x:c>
      <x:c r="E75" s="16" t="str">
        <x:f>IF(ISNUMBER(C75),C75^2,"")</x:f>
      </x:c>
      <x:c r="F75" s="16" t="str">
        <x:f>IF(AND(ISNUMBER(C75),ISNUMBER($J$6),$J$6&gt;0),(C75-$J$5)/$J$6,"")</x:f>
      </x:c>
      <x:c r="G75" s="1" t="str">
        <x:f>IF(ISNUMBER(F75),IF(ABS(F75)&gt;3,1,0),"")</x:f>
      </x:c>
      <x:c r="H75" s="1" t="str">
        <x:f>IF(ISNUMBER(F75),F75^4,"")</x:f>
      </x:c>
      <x:c r="I75" s="1"/>
      <x:c r="J75" s="1"/>
      <x:c r="K75" s="1"/>
      <x:c r="L75" s="1"/>
      <x:c r="M75" s="1"/>
      <x:c r="N75" s="1"/>
    </x:row>
    <x:row r="76" ht="22" customHeight="1">
      <x:c r="A76" s="14"/>
      <x:c r="B76" s="15"/>
      <x:c r="C76" s="16" t="str">
        <x:f>IF(AND(ISNUMBER(B76),ISNUMBER(B75),B76&gt;0,B75&gt;0),LN(B76/B75),"")</x:f>
      </x:c>
      <x:c r="D76" s="16" t="str">
        <x:f>IF(ISNUMBER(C76),ABS(C76),"")</x:f>
      </x:c>
      <x:c r="E76" s="16" t="str">
        <x:f>IF(ISNUMBER(C76),C76^2,"")</x:f>
      </x:c>
      <x:c r="F76" s="16" t="str">
        <x:f>IF(AND(ISNUMBER(C76),ISNUMBER($J$6),$J$6&gt;0),(C76-$J$5)/$J$6,"")</x:f>
      </x:c>
      <x:c r="G76" s="1" t="str">
        <x:f>IF(ISNUMBER(F76),IF(ABS(F76)&gt;3,1,0),"")</x:f>
      </x:c>
      <x:c r="H76" s="1" t="str">
        <x:f>IF(ISNUMBER(F76),F76^4,"")</x:f>
      </x:c>
      <x:c r="I76" s="1"/>
      <x:c r="J76" s="1"/>
      <x:c r="K76" s="1"/>
      <x:c r="L76" s="1"/>
      <x:c r="M76" s="1"/>
      <x:c r="N76" s="1"/>
    </x:row>
    <x:row r="77" ht="22" customHeight="1">
      <x:c r="A77" s="14"/>
      <x:c r="B77" s="15"/>
      <x:c r="C77" s="16" t="str">
        <x:f>IF(AND(ISNUMBER(B77),ISNUMBER(B76),B77&gt;0,B76&gt;0),LN(B77/B76),"")</x:f>
      </x:c>
      <x:c r="D77" s="16" t="str">
        <x:f>IF(ISNUMBER(C77),ABS(C77),"")</x:f>
      </x:c>
      <x:c r="E77" s="16" t="str">
        <x:f>IF(ISNUMBER(C77),C77^2,"")</x:f>
      </x:c>
      <x:c r="F77" s="16" t="str">
        <x:f>IF(AND(ISNUMBER(C77),ISNUMBER($J$6),$J$6&gt;0),(C77-$J$5)/$J$6,"")</x:f>
      </x:c>
      <x:c r="G77" s="1" t="str">
        <x:f>IF(ISNUMBER(F77),IF(ABS(F77)&gt;3,1,0),"")</x:f>
      </x:c>
      <x:c r="H77" s="1" t="str">
        <x:f>IF(ISNUMBER(F77),F77^4,"")</x:f>
      </x:c>
      <x:c r="I77" s="1"/>
      <x:c r="J77" s="1"/>
      <x:c r="K77" s="1"/>
      <x:c r="L77" s="1"/>
      <x:c r="M77" s="1"/>
      <x:c r="N77" s="1"/>
    </x:row>
    <x:row r="78" ht="22" customHeight="1">
      <x:c r="A78" s="14"/>
      <x:c r="B78" s="15"/>
      <x:c r="C78" s="16" t="str">
        <x:f>IF(AND(ISNUMBER(B78),ISNUMBER(B77),B78&gt;0,B77&gt;0),LN(B78/B77),"")</x:f>
      </x:c>
      <x:c r="D78" s="16" t="str">
        <x:f>IF(ISNUMBER(C78),ABS(C78),"")</x:f>
      </x:c>
      <x:c r="E78" s="16" t="str">
        <x:f>IF(ISNUMBER(C78),C78^2,"")</x:f>
      </x:c>
      <x:c r="F78" s="16" t="str">
        <x:f>IF(AND(ISNUMBER(C78),ISNUMBER($J$6),$J$6&gt;0),(C78-$J$5)/$J$6,"")</x:f>
      </x:c>
      <x:c r="G78" s="1" t="str">
        <x:f>IF(ISNUMBER(F78),IF(ABS(F78)&gt;3,1,0),"")</x:f>
      </x:c>
      <x:c r="H78" s="1" t="str">
        <x:f>IF(ISNUMBER(F78),F78^4,"")</x:f>
      </x:c>
      <x:c r="I78" s="1"/>
      <x:c r="J78" s="1"/>
      <x:c r="K78" s="1"/>
      <x:c r="L78" s="1"/>
      <x:c r="M78" s="1"/>
      <x:c r="N78" s="1"/>
    </x:row>
    <x:row r="79" ht="22" customHeight="1">
      <x:c r="A79" s="14"/>
      <x:c r="B79" s="15"/>
      <x:c r="C79" s="16" t="str">
        <x:f>IF(AND(ISNUMBER(B79),ISNUMBER(B78),B79&gt;0,B78&gt;0),LN(B79/B78),"")</x:f>
      </x:c>
      <x:c r="D79" s="16" t="str">
        <x:f>IF(ISNUMBER(C79),ABS(C79),"")</x:f>
      </x:c>
      <x:c r="E79" s="16" t="str">
        <x:f>IF(ISNUMBER(C79),C79^2,"")</x:f>
      </x:c>
      <x:c r="F79" s="16" t="str">
        <x:f>IF(AND(ISNUMBER(C79),ISNUMBER($J$6),$J$6&gt;0),(C79-$J$5)/$J$6,"")</x:f>
      </x:c>
      <x:c r="G79" s="1" t="str">
        <x:f>IF(ISNUMBER(F79),IF(ABS(F79)&gt;3,1,0),"")</x:f>
      </x:c>
      <x:c r="H79" s="1" t="str">
        <x:f>IF(ISNUMBER(F79),F79^4,"")</x:f>
      </x:c>
      <x:c r="I79" s="1"/>
      <x:c r="J79" s="1"/>
      <x:c r="K79" s="1"/>
      <x:c r="L79" s="1"/>
      <x:c r="M79" s="1"/>
      <x:c r="N79" s="1"/>
    </x:row>
    <x:row r="80" ht="22" customHeight="1">
      <x:c r="A80" s="14"/>
      <x:c r="B80" s="15"/>
      <x:c r="C80" s="16" t="str">
        <x:f>IF(AND(ISNUMBER(B80),ISNUMBER(B79),B80&gt;0,B79&gt;0),LN(B80/B79),"")</x:f>
      </x:c>
      <x:c r="D80" s="16" t="str">
        <x:f>IF(ISNUMBER(C80),ABS(C80),"")</x:f>
      </x:c>
      <x:c r="E80" s="16" t="str">
        <x:f>IF(ISNUMBER(C80),C80^2,"")</x:f>
      </x:c>
      <x:c r="F80" s="16" t="str">
        <x:f>IF(AND(ISNUMBER(C80),ISNUMBER($J$6),$J$6&gt;0),(C80-$J$5)/$J$6,"")</x:f>
      </x:c>
      <x:c r="G80" s="1" t="str">
        <x:f>IF(ISNUMBER(F80),IF(ABS(F80)&gt;3,1,0),"")</x:f>
      </x:c>
      <x:c r="H80" s="1" t="str">
        <x:f>IF(ISNUMBER(F80),F80^4,"")</x:f>
      </x:c>
      <x:c r="I80" s="1"/>
      <x:c r="J80" s="1"/>
      <x:c r="K80" s="1"/>
      <x:c r="L80" s="1"/>
      <x:c r="M80" s="1"/>
      <x:c r="N80" s="1"/>
    </x:row>
    <x:row r="81" ht="22" customHeight="1">
      <x:c r="A81" s="14"/>
      <x:c r="B81" s="15"/>
      <x:c r="C81" s="16" t="str">
        <x:f>IF(AND(ISNUMBER(B81),ISNUMBER(B80),B81&gt;0,B80&gt;0),LN(B81/B80),"")</x:f>
      </x:c>
      <x:c r="D81" s="16" t="str">
        <x:f>IF(ISNUMBER(C81),ABS(C81),"")</x:f>
      </x:c>
      <x:c r="E81" s="16" t="str">
        <x:f>IF(ISNUMBER(C81),C81^2,"")</x:f>
      </x:c>
      <x:c r="F81" s="16" t="str">
        <x:f>IF(AND(ISNUMBER(C81),ISNUMBER($J$6),$J$6&gt;0),(C81-$J$5)/$J$6,"")</x:f>
      </x:c>
      <x:c r="G81" s="1" t="str">
        <x:f>IF(ISNUMBER(F81),IF(ABS(F81)&gt;3,1,0),"")</x:f>
      </x:c>
      <x:c r="H81" s="1" t="str">
        <x:f>IF(ISNUMBER(F81),F81^4,"")</x:f>
      </x:c>
      <x:c r="I81" s="1"/>
      <x:c r="J81" s="1"/>
      <x:c r="K81" s="1"/>
      <x:c r="L81" s="1"/>
      <x:c r="M81" s="1"/>
      <x:c r="N81" s="1"/>
    </x:row>
    <x:row r="82" ht="22" customHeight="1">
      <x:c r="A82" s="14"/>
      <x:c r="B82" s="15"/>
      <x:c r="C82" s="16" t="str">
        <x:f>IF(AND(ISNUMBER(B82),ISNUMBER(B81),B82&gt;0,B81&gt;0),LN(B82/B81),"")</x:f>
      </x:c>
      <x:c r="D82" s="16" t="str">
        <x:f>IF(ISNUMBER(C82),ABS(C82),"")</x:f>
      </x:c>
      <x:c r="E82" s="16" t="str">
        <x:f>IF(ISNUMBER(C82),C82^2,"")</x:f>
      </x:c>
      <x:c r="F82" s="16" t="str">
        <x:f>IF(AND(ISNUMBER(C82),ISNUMBER($J$6),$J$6&gt;0),(C82-$J$5)/$J$6,"")</x:f>
      </x:c>
      <x:c r="G82" s="1" t="str">
        <x:f>IF(ISNUMBER(F82),IF(ABS(F82)&gt;3,1,0),"")</x:f>
      </x:c>
      <x:c r="H82" s="1" t="str">
        <x:f>IF(ISNUMBER(F82),F82^4,"")</x:f>
      </x:c>
      <x:c r="I82" s="1"/>
      <x:c r="J82" s="1"/>
      <x:c r="K82" s="1"/>
      <x:c r="L82" s="1"/>
      <x:c r="M82" s="1"/>
      <x:c r="N82" s="1"/>
    </x:row>
    <x:row r="83" ht="22" customHeight="1">
      <x:c r="A83" s="14"/>
      <x:c r="B83" s="15"/>
      <x:c r="C83" s="16" t="str">
        <x:f>IF(AND(ISNUMBER(B83),ISNUMBER(B82),B83&gt;0,B82&gt;0),LN(B83/B82),"")</x:f>
      </x:c>
      <x:c r="D83" s="16" t="str">
        <x:f>IF(ISNUMBER(C83),ABS(C83),"")</x:f>
      </x:c>
      <x:c r="E83" s="16" t="str">
        <x:f>IF(ISNUMBER(C83),C83^2,"")</x:f>
      </x:c>
      <x:c r="F83" s="16" t="str">
        <x:f>IF(AND(ISNUMBER(C83),ISNUMBER($J$6),$J$6&gt;0),(C83-$J$5)/$J$6,"")</x:f>
      </x:c>
      <x:c r="G83" s="1" t="str">
        <x:f>IF(ISNUMBER(F83),IF(ABS(F83)&gt;3,1,0),"")</x:f>
      </x:c>
      <x:c r="H83" s="1" t="str">
        <x:f>IF(ISNUMBER(F83),F83^4,"")</x:f>
      </x:c>
      <x:c r="I83" s="1"/>
      <x:c r="J83" s="1"/>
      <x:c r="K83" s="1"/>
      <x:c r="L83" s="1"/>
      <x:c r="M83" s="1"/>
      <x:c r="N83" s="1"/>
    </x:row>
    <x:row r="84" ht="22" customHeight="1">
      <x:c r="A84" s="14"/>
      <x:c r="B84" s="15"/>
      <x:c r="C84" s="16" t="str">
        <x:f>IF(AND(ISNUMBER(B84),ISNUMBER(B83),B84&gt;0,B83&gt;0),LN(B84/B83),"")</x:f>
      </x:c>
      <x:c r="D84" s="16" t="str">
        <x:f>IF(ISNUMBER(C84),ABS(C84),"")</x:f>
      </x:c>
      <x:c r="E84" s="16" t="str">
        <x:f>IF(ISNUMBER(C84),C84^2,"")</x:f>
      </x:c>
      <x:c r="F84" s="16" t="str">
        <x:f>IF(AND(ISNUMBER(C84),ISNUMBER($J$6),$J$6&gt;0),(C84-$J$5)/$J$6,"")</x:f>
      </x:c>
      <x:c r="G84" s="1" t="str">
        <x:f>IF(ISNUMBER(F84),IF(ABS(F84)&gt;3,1,0),"")</x:f>
      </x:c>
      <x:c r="H84" s="1" t="str">
        <x:f>IF(ISNUMBER(F84),F84^4,"")</x:f>
      </x:c>
      <x:c r="I84" s="1"/>
      <x:c r="J84" s="1"/>
      <x:c r="K84" s="1"/>
      <x:c r="L84" s="1"/>
      <x:c r="M84" s="1"/>
      <x:c r="N84" s="1"/>
    </x:row>
    <x:row r="85" ht="22" customHeight="1">
      <x:c r="A85" s="14"/>
      <x:c r="B85" s="15"/>
      <x:c r="C85" s="16" t="str">
        <x:f>IF(AND(ISNUMBER(B85),ISNUMBER(B84),B85&gt;0,B84&gt;0),LN(B85/B84),"")</x:f>
      </x:c>
      <x:c r="D85" s="16" t="str">
        <x:f>IF(ISNUMBER(C85),ABS(C85),"")</x:f>
      </x:c>
      <x:c r="E85" s="16" t="str">
        <x:f>IF(ISNUMBER(C85),C85^2,"")</x:f>
      </x:c>
      <x:c r="F85" s="16" t="str">
        <x:f>IF(AND(ISNUMBER(C85),ISNUMBER($J$6),$J$6&gt;0),(C85-$J$5)/$J$6,"")</x:f>
      </x:c>
      <x:c r="G85" s="1" t="str">
        <x:f>IF(ISNUMBER(F85),IF(ABS(F85)&gt;3,1,0),"")</x:f>
      </x:c>
      <x:c r="H85" s="1" t="str">
        <x:f>IF(ISNUMBER(F85),F85^4,"")</x:f>
      </x:c>
      <x:c r="I85" s="1"/>
      <x:c r="J85" s="1"/>
      <x:c r="K85" s="1"/>
      <x:c r="L85" s="1"/>
      <x:c r="M85" s="1"/>
      <x:c r="N85" s="1"/>
    </x:row>
    <x:row r="86" ht="22" customHeight="1">
      <x:c r="A86" s="14"/>
      <x:c r="B86" s="15"/>
      <x:c r="C86" s="16" t="str">
        <x:f>IF(AND(ISNUMBER(B86),ISNUMBER(B85),B86&gt;0,B85&gt;0),LN(B86/B85),"")</x:f>
      </x:c>
      <x:c r="D86" s="16" t="str">
        <x:f>IF(ISNUMBER(C86),ABS(C86),"")</x:f>
      </x:c>
      <x:c r="E86" s="16" t="str">
        <x:f>IF(ISNUMBER(C86),C86^2,"")</x:f>
      </x:c>
      <x:c r="F86" s="16" t="str">
        <x:f>IF(AND(ISNUMBER(C86),ISNUMBER($J$6),$J$6&gt;0),(C86-$J$5)/$J$6,"")</x:f>
      </x:c>
      <x:c r="G86" s="1" t="str">
        <x:f>IF(ISNUMBER(F86),IF(ABS(F86)&gt;3,1,0),"")</x:f>
      </x:c>
      <x:c r="H86" s="1" t="str">
        <x:f>IF(ISNUMBER(F86),F86^4,"")</x:f>
      </x:c>
      <x:c r="I86" s="1"/>
      <x:c r="J86" s="1"/>
      <x:c r="K86" s="1"/>
      <x:c r="L86" s="1"/>
      <x:c r="M86" s="1"/>
      <x:c r="N86" s="1"/>
    </x:row>
    <x:row r="87" ht="22" customHeight="1">
      <x:c r="A87" s="14"/>
      <x:c r="B87" s="15"/>
      <x:c r="C87" s="16" t="str">
        <x:f>IF(AND(ISNUMBER(B87),ISNUMBER(B86),B87&gt;0,B86&gt;0),LN(B87/B86),"")</x:f>
      </x:c>
      <x:c r="D87" s="16" t="str">
        <x:f>IF(ISNUMBER(C87),ABS(C87),"")</x:f>
      </x:c>
      <x:c r="E87" s="16" t="str">
        <x:f>IF(ISNUMBER(C87),C87^2,"")</x:f>
      </x:c>
      <x:c r="F87" s="16" t="str">
        <x:f>IF(AND(ISNUMBER(C87),ISNUMBER($J$6),$J$6&gt;0),(C87-$J$5)/$J$6,"")</x:f>
      </x:c>
      <x:c r="G87" s="1" t="str">
        <x:f>IF(ISNUMBER(F87),IF(ABS(F87)&gt;3,1,0),"")</x:f>
      </x:c>
      <x:c r="H87" s="1" t="str">
        <x:f>IF(ISNUMBER(F87),F87^4,"")</x:f>
      </x:c>
      <x:c r="I87" s="1"/>
      <x:c r="J87" s="1"/>
      <x:c r="K87" s="1"/>
      <x:c r="L87" s="1"/>
      <x:c r="M87" s="1"/>
      <x:c r="N87" s="1"/>
    </x:row>
    <x:row r="88" ht="22" customHeight="1">
      <x:c r="A88" s="14"/>
      <x:c r="B88" s="15"/>
      <x:c r="C88" s="16" t="str">
        <x:f>IF(AND(ISNUMBER(B88),ISNUMBER(B87),B88&gt;0,B87&gt;0),LN(B88/B87),"")</x:f>
      </x:c>
      <x:c r="D88" s="16" t="str">
        <x:f>IF(ISNUMBER(C88),ABS(C88),"")</x:f>
      </x:c>
      <x:c r="E88" s="16" t="str">
        <x:f>IF(ISNUMBER(C88),C88^2,"")</x:f>
      </x:c>
      <x:c r="F88" s="16" t="str">
        <x:f>IF(AND(ISNUMBER(C88),ISNUMBER($J$6),$J$6&gt;0),(C88-$J$5)/$J$6,"")</x:f>
      </x:c>
      <x:c r="G88" s="1" t="str">
        <x:f>IF(ISNUMBER(F88),IF(ABS(F88)&gt;3,1,0),"")</x:f>
      </x:c>
      <x:c r="H88" s="1" t="str">
        <x:f>IF(ISNUMBER(F88),F88^4,"")</x:f>
      </x:c>
      <x:c r="I88" s="1"/>
      <x:c r="J88" s="1"/>
      <x:c r="K88" s="1"/>
      <x:c r="L88" s="1"/>
      <x:c r="M88" s="1"/>
      <x:c r="N88" s="1"/>
    </x:row>
    <x:row r="89" ht="22" customHeight="1">
      <x:c r="A89" s="14"/>
      <x:c r="B89" s="15"/>
      <x:c r="C89" s="16" t="str">
        <x:f>IF(AND(ISNUMBER(B89),ISNUMBER(B88),B89&gt;0,B88&gt;0),LN(B89/B88),"")</x:f>
      </x:c>
      <x:c r="D89" s="16" t="str">
        <x:f>IF(ISNUMBER(C89),ABS(C89),"")</x:f>
      </x:c>
      <x:c r="E89" s="16" t="str">
        <x:f>IF(ISNUMBER(C89),C89^2,"")</x:f>
      </x:c>
      <x:c r="F89" s="16" t="str">
        <x:f>IF(AND(ISNUMBER(C89),ISNUMBER($J$6),$J$6&gt;0),(C89-$J$5)/$J$6,"")</x:f>
      </x:c>
      <x:c r="G89" s="1" t="str">
        <x:f>IF(ISNUMBER(F89),IF(ABS(F89)&gt;3,1,0),"")</x:f>
      </x:c>
      <x:c r="H89" s="1" t="str">
        <x:f>IF(ISNUMBER(F89),F89^4,"")</x:f>
      </x:c>
      <x:c r="I89" s="1"/>
      <x:c r="J89" s="1"/>
      <x:c r="K89" s="1"/>
      <x:c r="L89" s="1"/>
      <x:c r="M89" s="1"/>
      <x:c r="N89" s="1"/>
    </x:row>
    <x:row r="90" ht="22" customHeight="1">
      <x:c r="A90" s="14"/>
      <x:c r="B90" s="15"/>
      <x:c r="C90" s="16" t="str">
        <x:f>IF(AND(ISNUMBER(B90),ISNUMBER(B89),B90&gt;0,B89&gt;0),LN(B90/B89),"")</x:f>
      </x:c>
      <x:c r="D90" s="16" t="str">
        <x:f>IF(ISNUMBER(C90),ABS(C90),"")</x:f>
      </x:c>
      <x:c r="E90" s="16" t="str">
        <x:f>IF(ISNUMBER(C90),C90^2,"")</x:f>
      </x:c>
      <x:c r="F90" s="16" t="str">
        <x:f>IF(AND(ISNUMBER(C90),ISNUMBER($J$6),$J$6&gt;0),(C90-$J$5)/$J$6,"")</x:f>
      </x:c>
      <x:c r="G90" s="1" t="str">
        <x:f>IF(ISNUMBER(F90),IF(ABS(F90)&gt;3,1,0),"")</x:f>
      </x:c>
      <x:c r="H90" s="1" t="str">
        <x:f>IF(ISNUMBER(F90),F90^4,"")</x:f>
      </x:c>
      <x:c r="I90" s="1"/>
      <x:c r="J90" s="1"/>
      <x:c r="K90" s="1"/>
      <x:c r="L90" s="1"/>
      <x:c r="M90" s="1"/>
      <x:c r="N90" s="1"/>
    </x:row>
    <x:row r="91" ht="22" customHeight="1">
      <x:c r="A91" s="14"/>
      <x:c r="B91" s="15"/>
      <x:c r="C91" s="16" t="str">
        <x:f>IF(AND(ISNUMBER(B91),ISNUMBER(B90),B91&gt;0,B90&gt;0),LN(B91/B90),"")</x:f>
      </x:c>
      <x:c r="D91" s="16" t="str">
        <x:f>IF(ISNUMBER(C91),ABS(C91),"")</x:f>
      </x:c>
      <x:c r="E91" s="16" t="str">
        <x:f>IF(ISNUMBER(C91),C91^2,"")</x:f>
      </x:c>
      <x:c r="F91" s="16" t="str">
        <x:f>IF(AND(ISNUMBER(C91),ISNUMBER($J$6),$J$6&gt;0),(C91-$J$5)/$J$6,"")</x:f>
      </x:c>
      <x:c r="G91" s="1" t="str">
        <x:f>IF(ISNUMBER(F91),IF(ABS(F91)&gt;3,1,0),"")</x:f>
      </x:c>
      <x:c r="H91" s="1" t="str">
        <x:f>IF(ISNUMBER(F91),F91^4,"")</x:f>
      </x:c>
      <x:c r="I91" s="1"/>
      <x:c r="J91" s="1"/>
      <x:c r="K91" s="1"/>
      <x:c r="L91" s="1"/>
      <x:c r="M91" s="1"/>
      <x:c r="N91" s="1"/>
    </x:row>
    <x:row r="92" ht="22" customHeight="1">
      <x:c r="A92" s="14"/>
      <x:c r="B92" s="15"/>
      <x:c r="C92" s="16" t="str">
        <x:f>IF(AND(ISNUMBER(B92),ISNUMBER(B91),B92&gt;0,B91&gt;0),LN(B92/B91),"")</x:f>
      </x:c>
      <x:c r="D92" s="16" t="str">
        <x:f>IF(ISNUMBER(C92),ABS(C92),"")</x:f>
      </x:c>
      <x:c r="E92" s="16" t="str">
        <x:f>IF(ISNUMBER(C92),C92^2,"")</x:f>
      </x:c>
      <x:c r="F92" s="16" t="str">
        <x:f>IF(AND(ISNUMBER(C92),ISNUMBER($J$6),$J$6&gt;0),(C92-$J$5)/$J$6,"")</x:f>
      </x:c>
      <x:c r="G92" s="1" t="str">
        <x:f>IF(ISNUMBER(F92),IF(ABS(F92)&gt;3,1,0),"")</x:f>
      </x:c>
      <x:c r="H92" s="1" t="str">
        <x:f>IF(ISNUMBER(F92),F92^4,"")</x:f>
      </x:c>
      <x:c r="I92" s="1"/>
      <x:c r="J92" s="1"/>
      <x:c r="K92" s="1"/>
      <x:c r="L92" s="1"/>
      <x:c r="M92" s="1"/>
      <x:c r="N92" s="1"/>
    </x:row>
    <x:row r="93" ht="22" customHeight="1">
      <x:c r="A93" s="14"/>
      <x:c r="B93" s="15"/>
      <x:c r="C93" s="16" t="str">
        <x:f>IF(AND(ISNUMBER(B93),ISNUMBER(B92),B93&gt;0,B92&gt;0),LN(B93/B92),"")</x:f>
      </x:c>
      <x:c r="D93" s="16" t="str">
        <x:f>IF(ISNUMBER(C93),ABS(C93),"")</x:f>
      </x:c>
      <x:c r="E93" s="16" t="str">
        <x:f>IF(ISNUMBER(C93),C93^2,"")</x:f>
      </x:c>
      <x:c r="F93" s="16" t="str">
        <x:f>IF(AND(ISNUMBER(C93),ISNUMBER($J$6),$J$6&gt;0),(C93-$J$5)/$J$6,"")</x:f>
      </x:c>
      <x:c r="G93" s="1" t="str">
        <x:f>IF(ISNUMBER(F93),IF(ABS(F93)&gt;3,1,0),"")</x:f>
      </x:c>
      <x:c r="H93" s="1" t="str">
        <x:f>IF(ISNUMBER(F93),F93^4,"")</x:f>
      </x:c>
      <x:c r="I93" s="1"/>
      <x:c r="J93" s="1"/>
      <x:c r="K93" s="1"/>
      <x:c r="L93" s="1"/>
      <x:c r="M93" s="1"/>
      <x:c r="N93" s="1"/>
    </x:row>
    <x:row r="94" ht="22" customHeight="1">
      <x:c r="A94" s="14"/>
      <x:c r="B94" s="15"/>
      <x:c r="C94" s="16" t="str">
        <x:f>IF(AND(ISNUMBER(B94),ISNUMBER(B93),B94&gt;0,B93&gt;0),LN(B94/B93),"")</x:f>
      </x:c>
      <x:c r="D94" s="16" t="str">
        <x:f>IF(ISNUMBER(C94),ABS(C94),"")</x:f>
      </x:c>
      <x:c r="E94" s="16" t="str">
        <x:f>IF(ISNUMBER(C94),C94^2,"")</x:f>
      </x:c>
      <x:c r="F94" s="16" t="str">
        <x:f>IF(AND(ISNUMBER(C94),ISNUMBER($J$6),$J$6&gt;0),(C94-$J$5)/$J$6,"")</x:f>
      </x:c>
      <x:c r="G94" s="1" t="str">
        <x:f>IF(ISNUMBER(F94),IF(ABS(F94)&gt;3,1,0),"")</x:f>
      </x:c>
      <x:c r="H94" s="1" t="str">
        <x:f>IF(ISNUMBER(F94),F94^4,"")</x:f>
      </x:c>
      <x:c r="I94" s="1"/>
      <x:c r="J94" s="1"/>
      <x:c r="K94" s="1"/>
      <x:c r="L94" s="1"/>
      <x:c r="M94" s="1"/>
      <x:c r="N94" s="1"/>
    </x:row>
    <x:row r="95" ht="22" customHeight="1">
      <x:c r="A95" s="14"/>
      <x:c r="B95" s="15"/>
      <x:c r="C95" s="16" t="str">
        <x:f>IF(AND(ISNUMBER(B95),ISNUMBER(B94),B95&gt;0,B94&gt;0),LN(B95/B94),"")</x:f>
      </x:c>
      <x:c r="D95" s="16" t="str">
        <x:f>IF(ISNUMBER(C95),ABS(C95),"")</x:f>
      </x:c>
      <x:c r="E95" s="16" t="str">
        <x:f>IF(ISNUMBER(C95),C95^2,"")</x:f>
      </x:c>
      <x:c r="F95" s="16" t="str">
        <x:f>IF(AND(ISNUMBER(C95),ISNUMBER($J$6),$J$6&gt;0),(C95-$J$5)/$J$6,"")</x:f>
      </x:c>
      <x:c r="G95" s="1" t="str">
        <x:f>IF(ISNUMBER(F95),IF(ABS(F95)&gt;3,1,0),"")</x:f>
      </x:c>
      <x:c r="H95" s="1" t="str">
        <x:f>IF(ISNUMBER(F95),F95^4,"")</x:f>
      </x:c>
      <x:c r="I95" s="1"/>
      <x:c r="J95" s="1"/>
      <x:c r="K95" s="1"/>
      <x:c r="L95" s="1"/>
      <x:c r="M95" s="1"/>
      <x:c r="N95" s="1"/>
    </x:row>
    <x:row r="96" ht="22" customHeight="1">
      <x:c r="A96" s="14"/>
      <x:c r="B96" s="15"/>
      <x:c r="C96" s="16" t="str">
        <x:f>IF(AND(ISNUMBER(B96),ISNUMBER(B95),B96&gt;0,B95&gt;0),LN(B96/B95),"")</x:f>
      </x:c>
      <x:c r="D96" s="16" t="str">
        <x:f>IF(ISNUMBER(C96),ABS(C96),"")</x:f>
      </x:c>
      <x:c r="E96" s="16" t="str">
        <x:f>IF(ISNUMBER(C96),C96^2,"")</x:f>
      </x:c>
      <x:c r="F96" s="16" t="str">
        <x:f>IF(AND(ISNUMBER(C96),ISNUMBER($J$6),$J$6&gt;0),(C96-$J$5)/$J$6,"")</x:f>
      </x:c>
      <x:c r="G96" s="1" t="str">
        <x:f>IF(ISNUMBER(F96),IF(ABS(F96)&gt;3,1,0),"")</x:f>
      </x:c>
      <x:c r="H96" s="1" t="str">
        <x:f>IF(ISNUMBER(F96),F96^4,"")</x:f>
      </x:c>
      <x:c r="I96" s="1"/>
      <x:c r="J96" s="1"/>
      <x:c r="K96" s="1"/>
      <x:c r="L96" s="1"/>
      <x:c r="M96" s="1"/>
      <x:c r="N96" s="1"/>
    </x:row>
    <x:row r="97" ht="22" customHeight="1">
      <x:c r="A97" s="14"/>
      <x:c r="B97" s="15"/>
      <x:c r="C97" s="16" t="str">
        <x:f>IF(AND(ISNUMBER(B97),ISNUMBER(B96),B97&gt;0,B96&gt;0),LN(B97/B96),"")</x:f>
      </x:c>
      <x:c r="D97" s="16" t="str">
        <x:f>IF(ISNUMBER(C97),ABS(C97),"")</x:f>
      </x:c>
      <x:c r="E97" s="16" t="str">
        <x:f>IF(ISNUMBER(C97),C97^2,"")</x:f>
      </x:c>
      <x:c r="F97" s="16" t="str">
        <x:f>IF(AND(ISNUMBER(C97),ISNUMBER($J$6),$J$6&gt;0),(C97-$J$5)/$J$6,"")</x:f>
      </x:c>
      <x:c r="G97" s="1" t="str">
        <x:f>IF(ISNUMBER(F97),IF(ABS(F97)&gt;3,1,0),"")</x:f>
      </x:c>
      <x:c r="H97" s="1" t="str">
        <x:f>IF(ISNUMBER(F97),F97^4,"")</x:f>
      </x:c>
      <x:c r="I97" s="1"/>
      <x:c r="J97" s="1"/>
      <x:c r="K97" s="1"/>
      <x:c r="L97" s="1"/>
      <x:c r="M97" s="1"/>
      <x:c r="N97" s="1"/>
    </x:row>
    <x:row r="98" ht="22" customHeight="1">
      <x:c r="A98" s="14"/>
      <x:c r="B98" s="15"/>
      <x:c r="C98" s="16" t="str">
        <x:f>IF(AND(ISNUMBER(B98),ISNUMBER(B97),B98&gt;0,B97&gt;0),LN(B98/B97),"")</x:f>
      </x:c>
      <x:c r="D98" s="16" t="str">
        <x:f>IF(ISNUMBER(C98),ABS(C98),"")</x:f>
      </x:c>
      <x:c r="E98" s="16" t="str">
        <x:f>IF(ISNUMBER(C98),C98^2,"")</x:f>
      </x:c>
      <x:c r="F98" s="16" t="str">
        <x:f>IF(AND(ISNUMBER(C98),ISNUMBER($J$6),$J$6&gt;0),(C98-$J$5)/$J$6,"")</x:f>
      </x:c>
      <x:c r="G98" s="1" t="str">
        <x:f>IF(ISNUMBER(F98),IF(ABS(F98)&gt;3,1,0),"")</x:f>
      </x:c>
      <x:c r="H98" s="1" t="str">
        <x:f>IF(ISNUMBER(F98),F98^4,"")</x:f>
      </x:c>
      <x:c r="I98" s="1"/>
      <x:c r="J98" s="1"/>
      <x:c r="K98" s="1"/>
      <x:c r="L98" s="1"/>
      <x:c r="M98" s="1"/>
      <x:c r="N98" s="1"/>
    </x:row>
    <x:row r="99" ht="22" customHeight="1">
      <x:c r="A99" s="14"/>
      <x:c r="B99" s="15"/>
      <x:c r="C99" s="16" t="str">
        <x:f>IF(AND(ISNUMBER(B99),ISNUMBER(B98),B99&gt;0,B98&gt;0),LN(B99/B98),"")</x:f>
      </x:c>
      <x:c r="D99" s="16" t="str">
        <x:f>IF(ISNUMBER(C99),ABS(C99),"")</x:f>
      </x:c>
      <x:c r="E99" s="16" t="str">
        <x:f>IF(ISNUMBER(C99),C99^2,"")</x:f>
      </x:c>
      <x:c r="F99" s="16" t="str">
        <x:f>IF(AND(ISNUMBER(C99),ISNUMBER($J$6),$J$6&gt;0),(C99-$J$5)/$J$6,"")</x:f>
      </x:c>
      <x:c r="G99" s="1" t="str">
        <x:f>IF(ISNUMBER(F99),IF(ABS(F99)&gt;3,1,0),"")</x:f>
      </x:c>
      <x:c r="H99" s="1" t="str">
        <x:f>IF(ISNUMBER(F99),F99^4,"")</x:f>
      </x:c>
      <x:c r="I99" s="1"/>
      <x:c r="J99" s="1"/>
      <x:c r="K99" s="1"/>
      <x:c r="L99" s="1"/>
      <x:c r="M99" s="1"/>
      <x:c r="N99" s="1"/>
    </x:row>
    <x:row r="100" ht="22" customHeight="1">
      <x:c r="A100" s="14"/>
      <x:c r="B100" s="15"/>
      <x:c r="C100" s="16" t="str">
        <x:f>IF(AND(ISNUMBER(B100),ISNUMBER(B99),B100&gt;0,B99&gt;0),LN(B100/B99),"")</x:f>
      </x:c>
      <x:c r="D100" s="16" t="str">
        <x:f>IF(ISNUMBER(C100),ABS(C100),"")</x:f>
      </x:c>
      <x:c r="E100" s="16" t="str">
        <x:f>IF(ISNUMBER(C100),C100^2,"")</x:f>
      </x:c>
      <x:c r="F100" s="16" t="str">
        <x:f>IF(AND(ISNUMBER(C100),ISNUMBER($J$6),$J$6&gt;0),(C100-$J$5)/$J$6,"")</x:f>
      </x:c>
      <x:c r="G100" s="1" t="str">
        <x:f>IF(ISNUMBER(F100),IF(ABS(F100)&gt;3,1,0),"")</x:f>
      </x:c>
      <x:c r="H100" s="1" t="str">
        <x:f>IF(ISNUMBER(F100),F100^4,"")</x:f>
      </x:c>
      <x:c r="I100" s="1"/>
      <x:c r="J100" s="1"/>
      <x:c r="K100" s="1"/>
      <x:c r="L100" s="1"/>
      <x:c r="M100" s="1"/>
      <x:c r="N100" s="1"/>
    </x:row>
    <x:row r="101" ht="22" customHeight="1">
      <x:c r="A101" s="14"/>
      <x:c r="B101" s="15"/>
      <x:c r="C101" s="16" t="str">
        <x:f>IF(AND(ISNUMBER(B101),ISNUMBER(B100),B101&gt;0,B100&gt;0),LN(B101/B100),"")</x:f>
      </x:c>
      <x:c r="D101" s="16" t="str">
        <x:f>IF(ISNUMBER(C101),ABS(C101),"")</x:f>
      </x:c>
      <x:c r="E101" s="16" t="str">
        <x:f>IF(ISNUMBER(C101),C101^2,"")</x:f>
      </x:c>
      <x:c r="F101" s="16" t="str">
        <x:f>IF(AND(ISNUMBER(C101),ISNUMBER($J$6),$J$6&gt;0),(C101-$J$5)/$J$6,"")</x:f>
      </x:c>
      <x:c r="G101" s="1" t="str">
        <x:f>IF(ISNUMBER(F101),IF(ABS(F101)&gt;3,1,0),"")</x:f>
      </x:c>
      <x:c r="H101" s="1" t="str">
        <x:f>IF(ISNUMBER(F101),F101^4,"")</x:f>
      </x:c>
      <x:c r="I101" s="1"/>
      <x:c r="J101" s="1"/>
      <x:c r="K101" s="1"/>
      <x:c r="L101" s="1"/>
      <x:c r="M101" s="1"/>
      <x:c r="N101" s="1"/>
    </x:row>
    <x:row r="102" ht="22" customHeight="1">
      <x:c r="A102" s="14"/>
      <x:c r="B102" s="15"/>
      <x:c r="C102" s="16" t="str">
        <x:f>IF(AND(ISNUMBER(B102),ISNUMBER(B101),B102&gt;0,B101&gt;0),LN(B102/B101),"")</x:f>
      </x:c>
      <x:c r="D102" s="16" t="str">
        <x:f>IF(ISNUMBER(C102),ABS(C102),"")</x:f>
      </x:c>
      <x:c r="E102" s="16" t="str">
        <x:f>IF(ISNUMBER(C102),C102^2,"")</x:f>
      </x:c>
      <x:c r="F102" s="16" t="str">
        <x:f>IF(AND(ISNUMBER(C102),ISNUMBER($J$6),$J$6&gt;0),(C102-$J$5)/$J$6,"")</x:f>
      </x:c>
      <x:c r="G102" s="1" t="str">
        <x:f>IF(ISNUMBER(F102),IF(ABS(F102)&gt;3,1,0),"")</x:f>
      </x:c>
      <x:c r="H102" s="1" t="str">
        <x:f>IF(ISNUMBER(F102),F102^4,"")</x:f>
      </x:c>
      <x:c r="I102" s="1"/>
      <x:c r="J102" s="1"/>
      <x:c r="K102" s="1"/>
      <x:c r="L102" s="1"/>
      <x:c r="M102" s="1"/>
      <x:c r="N102" s="1"/>
    </x:row>
    <x:row r="103" ht="22" customHeight="1">
      <x:c r="A103" s="14"/>
      <x:c r="B103" s="15"/>
      <x:c r="C103" s="16" t="str">
        <x:f>IF(AND(ISNUMBER(B103),ISNUMBER(B102),B103&gt;0,B102&gt;0),LN(B103/B102),"")</x:f>
      </x:c>
      <x:c r="D103" s="16" t="str">
        <x:f>IF(ISNUMBER(C103),ABS(C103),"")</x:f>
      </x:c>
      <x:c r="E103" s="16" t="str">
        <x:f>IF(ISNUMBER(C103),C103^2,"")</x:f>
      </x:c>
      <x:c r="F103" s="16" t="str">
        <x:f>IF(AND(ISNUMBER(C103),ISNUMBER($J$6),$J$6&gt;0),(C103-$J$5)/$J$6,"")</x:f>
      </x:c>
      <x:c r="G103" s="1" t="str">
        <x:f>IF(ISNUMBER(F103),IF(ABS(F103)&gt;3,1,0),"")</x:f>
      </x:c>
      <x:c r="H103" s="1" t="str">
        <x:f>IF(ISNUMBER(F103),F103^4,"")</x:f>
      </x:c>
      <x:c r="I103" s="1"/>
      <x:c r="J103" s="1"/>
      <x:c r="K103" s="1"/>
      <x:c r="L103" s="1"/>
      <x:c r="M103" s="1"/>
      <x:c r="N103" s="1"/>
    </x:row>
    <x:row r="104" ht="22" customHeight="1">
      <x:c r="A104" s="14"/>
      <x:c r="B104" s="15"/>
      <x:c r="C104" s="16" t="str">
        <x:f>IF(AND(ISNUMBER(B104),ISNUMBER(B103),B104&gt;0,B103&gt;0),LN(B104/B103),"")</x:f>
      </x:c>
      <x:c r="D104" s="16" t="str">
        <x:f>IF(ISNUMBER(C104),ABS(C104),"")</x:f>
      </x:c>
      <x:c r="E104" s="16" t="str">
        <x:f>IF(ISNUMBER(C104),C104^2,"")</x:f>
      </x:c>
      <x:c r="F104" s="16" t="str">
        <x:f>IF(AND(ISNUMBER(C104),ISNUMBER($J$6),$J$6&gt;0),(C104-$J$5)/$J$6,"")</x:f>
      </x:c>
      <x:c r="G104" s="1" t="str">
        <x:f>IF(ISNUMBER(F104),IF(ABS(F104)&gt;3,1,0),"")</x:f>
      </x:c>
      <x:c r="H104" s="1" t="str">
        <x:f>IF(ISNUMBER(F104),F104^4,"")</x:f>
      </x:c>
      <x:c r="I104" s="1"/>
      <x:c r="J104" s="1"/>
      <x:c r="K104" s="1"/>
      <x:c r="L104" s="1"/>
      <x:c r="M104" s="1"/>
      <x:c r="N104" s="1"/>
    </x:row>
    <x:row r="105" ht="22" customHeight="1">
      <x:c r="A105" s="14"/>
      <x:c r="B105" s="15"/>
      <x:c r="C105" s="16" t="str">
        <x:f>IF(AND(ISNUMBER(B105),ISNUMBER(B104),B105&gt;0,B104&gt;0),LN(B105/B104),"")</x:f>
      </x:c>
      <x:c r="D105" s="16" t="str">
        <x:f>IF(ISNUMBER(C105),ABS(C105),"")</x:f>
      </x:c>
      <x:c r="E105" s="16" t="str">
        <x:f>IF(ISNUMBER(C105),C105^2,"")</x:f>
      </x:c>
      <x:c r="F105" s="16" t="str">
        <x:f>IF(AND(ISNUMBER(C105),ISNUMBER($J$6),$J$6&gt;0),(C105-$J$5)/$J$6,"")</x:f>
      </x:c>
      <x:c r="G105" s="1" t="str">
        <x:f>IF(ISNUMBER(F105),IF(ABS(F105)&gt;3,1,0),"")</x:f>
      </x:c>
      <x:c r="H105" s="1" t="str">
        <x:f>IF(ISNUMBER(F105),F105^4,"")</x:f>
      </x:c>
      <x:c r="I105" s="1"/>
      <x:c r="J105" s="1"/>
      <x:c r="K105" s="1"/>
      <x:c r="L105" s="1"/>
      <x:c r="M105" s="1"/>
      <x:c r="N105" s="1"/>
    </x:row>
    <x:row r="106" ht="22" customHeight="1">
      <x:c r="A106" s="14"/>
      <x:c r="B106" s="15"/>
      <x:c r="C106" s="16" t="str">
        <x:f>IF(AND(ISNUMBER(B106),ISNUMBER(B105),B106&gt;0,B105&gt;0),LN(B106/B105),"")</x:f>
      </x:c>
      <x:c r="D106" s="16" t="str">
        <x:f>IF(ISNUMBER(C106),ABS(C106),"")</x:f>
      </x:c>
      <x:c r="E106" s="16" t="str">
        <x:f>IF(ISNUMBER(C106),C106^2,"")</x:f>
      </x:c>
      <x:c r="F106" s="16" t="str">
        <x:f>IF(AND(ISNUMBER(C106),ISNUMBER($J$6),$J$6&gt;0),(C106-$J$5)/$J$6,"")</x:f>
      </x:c>
      <x:c r="G106" s="1" t="str">
        <x:f>IF(ISNUMBER(F106),IF(ABS(F106)&gt;3,1,0),"")</x:f>
      </x:c>
      <x:c r="H106" s="1" t="str">
        <x:f>IF(ISNUMBER(F106),F106^4,"")</x:f>
      </x:c>
      <x:c r="I106" s="1"/>
      <x:c r="J106" s="1"/>
      <x:c r="K106" s="1"/>
      <x:c r="L106" s="1"/>
      <x:c r="M106" s="1"/>
      <x:c r="N106" s="1"/>
    </x:row>
    <x:row r="107" ht="22" customHeight="1">
      <x:c r="A107" s="14"/>
      <x:c r="B107" s="15"/>
      <x:c r="C107" s="16" t="str">
        <x:f>IF(AND(ISNUMBER(B107),ISNUMBER(B106),B107&gt;0,B106&gt;0),LN(B107/B106),"")</x:f>
      </x:c>
      <x:c r="D107" s="16" t="str">
        <x:f>IF(ISNUMBER(C107),ABS(C107),"")</x:f>
      </x:c>
      <x:c r="E107" s="16" t="str">
        <x:f>IF(ISNUMBER(C107),C107^2,"")</x:f>
      </x:c>
      <x:c r="F107" s="16" t="str">
        <x:f>IF(AND(ISNUMBER(C107),ISNUMBER($J$6),$J$6&gt;0),(C107-$J$5)/$J$6,"")</x:f>
      </x:c>
      <x:c r="G107" s="1" t="str">
        <x:f>IF(ISNUMBER(F107),IF(ABS(F107)&gt;3,1,0),"")</x:f>
      </x:c>
      <x:c r="H107" s="1" t="str">
        <x:f>IF(ISNUMBER(F107),F107^4,"")</x:f>
      </x:c>
      <x:c r="I107" s="1"/>
      <x:c r="J107" s="1"/>
      <x:c r="K107" s="1"/>
      <x:c r="L107" s="1"/>
      <x:c r="M107" s="1"/>
      <x:c r="N107" s="1"/>
    </x:row>
    <x:row r="108" ht="22" customHeight="1">
      <x:c r="A108" s="14"/>
      <x:c r="B108" s="15"/>
      <x:c r="C108" s="16" t="str">
        <x:f>IF(AND(ISNUMBER(B108),ISNUMBER(B107),B108&gt;0,B107&gt;0),LN(B108/B107),"")</x:f>
      </x:c>
      <x:c r="D108" s="16" t="str">
        <x:f>IF(ISNUMBER(C108),ABS(C108),"")</x:f>
      </x:c>
      <x:c r="E108" s="16" t="str">
        <x:f>IF(ISNUMBER(C108),C108^2,"")</x:f>
      </x:c>
      <x:c r="F108" s="16" t="str">
        <x:f>IF(AND(ISNUMBER(C108),ISNUMBER($J$6),$J$6&gt;0),(C108-$J$5)/$J$6,"")</x:f>
      </x:c>
      <x:c r="G108" s="1" t="str">
        <x:f>IF(ISNUMBER(F108),IF(ABS(F108)&gt;3,1,0),"")</x:f>
      </x:c>
      <x:c r="H108" s="1" t="str">
        <x:f>IF(ISNUMBER(F108),F108^4,"")</x:f>
      </x:c>
      <x:c r="I108" s="1"/>
      <x:c r="J108" s="1"/>
      <x:c r="K108" s="1"/>
      <x:c r="L108" s="1"/>
      <x:c r="M108" s="1"/>
      <x:c r="N108" s="1"/>
    </x:row>
    <x:row r="109" ht="22" customHeight="1">
      <x:c r="A109" s="14"/>
      <x:c r="B109" s="15"/>
      <x:c r="C109" s="16" t="str">
        <x:f>IF(AND(ISNUMBER(B109),ISNUMBER(B108),B109&gt;0,B108&gt;0),LN(B109/B108),"")</x:f>
      </x:c>
      <x:c r="D109" s="16" t="str">
        <x:f>IF(ISNUMBER(C109),ABS(C109),"")</x:f>
      </x:c>
      <x:c r="E109" s="16" t="str">
        <x:f>IF(ISNUMBER(C109),C109^2,"")</x:f>
      </x:c>
      <x:c r="F109" s="16" t="str">
        <x:f>IF(AND(ISNUMBER(C109),ISNUMBER($J$6),$J$6&gt;0),(C109-$J$5)/$J$6,"")</x:f>
      </x:c>
      <x:c r="G109" s="1" t="str">
        <x:f>IF(ISNUMBER(F109),IF(ABS(F109)&gt;3,1,0),"")</x:f>
      </x:c>
      <x:c r="H109" s="1" t="str">
        <x:f>IF(ISNUMBER(F109),F109^4,"")</x:f>
      </x:c>
      <x:c r="I109" s="1"/>
      <x:c r="J109" s="1"/>
      <x:c r="K109" s="1"/>
      <x:c r="L109" s="1"/>
      <x:c r="M109" s="1"/>
      <x:c r="N109" s="1"/>
    </x:row>
    <x:row r="110" ht="22" customHeight="1">
      <x:c r="A110" s="14"/>
      <x:c r="B110" s="15"/>
      <x:c r="C110" s="16" t="str">
        <x:f>IF(AND(ISNUMBER(B110),ISNUMBER(B109),B110&gt;0,B109&gt;0),LN(B110/B109),"")</x:f>
      </x:c>
      <x:c r="D110" s="16" t="str">
        <x:f>IF(ISNUMBER(C110),ABS(C110),"")</x:f>
      </x:c>
      <x:c r="E110" s="16" t="str">
        <x:f>IF(ISNUMBER(C110),C110^2,"")</x:f>
      </x:c>
      <x:c r="F110" s="16" t="str">
        <x:f>IF(AND(ISNUMBER(C110),ISNUMBER($J$6),$J$6&gt;0),(C110-$J$5)/$J$6,"")</x:f>
      </x:c>
      <x:c r="G110" s="1" t="str">
        <x:f>IF(ISNUMBER(F110),IF(ABS(F110)&gt;3,1,0),"")</x:f>
      </x:c>
      <x:c r="H110" s="1" t="str">
        <x:f>IF(ISNUMBER(F110),F110^4,"")</x:f>
      </x:c>
      <x:c r="I110" s="1"/>
      <x:c r="J110" s="1"/>
      <x:c r="K110" s="1"/>
      <x:c r="L110" s="1"/>
      <x:c r="M110" s="1"/>
      <x:c r="N110" s="1"/>
    </x:row>
    <x:row r="111" ht="22" customHeight="1">
      <x:c r="A111" s="14"/>
      <x:c r="B111" s="15"/>
      <x:c r="C111" s="16" t="str">
        <x:f>IF(AND(ISNUMBER(B111),ISNUMBER(B110),B111&gt;0,B110&gt;0),LN(B111/B110),"")</x:f>
      </x:c>
      <x:c r="D111" s="16" t="str">
        <x:f>IF(ISNUMBER(C111),ABS(C111),"")</x:f>
      </x:c>
      <x:c r="E111" s="16" t="str">
        <x:f>IF(ISNUMBER(C111),C111^2,"")</x:f>
      </x:c>
      <x:c r="F111" s="16" t="str">
        <x:f>IF(AND(ISNUMBER(C111),ISNUMBER($J$6),$J$6&gt;0),(C111-$J$5)/$J$6,"")</x:f>
      </x:c>
      <x:c r="G111" s="1" t="str">
        <x:f>IF(ISNUMBER(F111),IF(ABS(F111)&gt;3,1,0),"")</x:f>
      </x:c>
      <x:c r="H111" s="1" t="str">
        <x:f>IF(ISNUMBER(F111),F111^4,"")</x:f>
      </x:c>
      <x:c r="I111" s="1"/>
      <x:c r="J111" s="1"/>
      <x:c r="K111" s="1"/>
      <x:c r="L111" s="1"/>
      <x:c r="M111" s="1"/>
      <x:c r="N111" s="1"/>
    </x:row>
    <x:row r="112" ht="22" customHeight="1">
      <x:c r="A112" s="14"/>
      <x:c r="B112" s="15"/>
      <x:c r="C112" s="16" t="str">
        <x:f>IF(AND(ISNUMBER(B112),ISNUMBER(B111),B112&gt;0,B111&gt;0),LN(B112/B111),"")</x:f>
      </x:c>
      <x:c r="D112" s="16" t="str">
        <x:f>IF(ISNUMBER(C112),ABS(C112),"")</x:f>
      </x:c>
      <x:c r="E112" s="16" t="str">
        <x:f>IF(ISNUMBER(C112),C112^2,"")</x:f>
      </x:c>
      <x:c r="F112" s="16" t="str">
        <x:f>IF(AND(ISNUMBER(C112),ISNUMBER($J$6),$J$6&gt;0),(C112-$J$5)/$J$6,"")</x:f>
      </x:c>
      <x:c r="G112" s="1" t="str">
        <x:f>IF(ISNUMBER(F112),IF(ABS(F112)&gt;3,1,0),"")</x:f>
      </x:c>
      <x:c r="H112" s="1" t="str">
        <x:f>IF(ISNUMBER(F112),F112^4,"")</x:f>
      </x:c>
      <x:c r="I112" s="1"/>
      <x:c r="J112" s="1"/>
      <x:c r="K112" s="1"/>
      <x:c r="L112" s="1"/>
      <x:c r="M112" s="1"/>
      <x:c r="N112" s="1"/>
    </x:row>
    <x:row r="113" ht="22" customHeight="1">
      <x:c r="A113" s="14"/>
      <x:c r="B113" s="15"/>
      <x:c r="C113" s="16" t="str">
        <x:f>IF(AND(ISNUMBER(B113),ISNUMBER(B112),B113&gt;0,B112&gt;0),LN(B113/B112),"")</x:f>
      </x:c>
      <x:c r="D113" s="16" t="str">
        <x:f>IF(ISNUMBER(C113),ABS(C113),"")</x:f>
      </x:c>
      <x:c r="E113" s="16" t="str">
        <x:f>IF(ISNUMBER(C113),C113^2,"")</x:f>
      </x:c>
      <x:c r="F113" s="16" t="str">
        <x:f>IF(AND(ISNUMBER(C113),ISNUMBER($J$6),$J$6&gt;0),(C113-$J$5)/$J$6,"")</x:f>
      </x:c>
      <x:c r="G113" s="1" t="str">
        <x:f>IF(ISNUMBER(F113),IF(ABS(F113)&gt;3,1,0),"")</x:f>
      </x:c>
      <x:c r="H113" s="1" t="str">
        <x:f>IF(ISNUMBER(F113),F113^4,"")</x:f>
      </x:c>
      <x:c r="I113" s="1"/>
      <x:c r="J113" s="1"/>
      <x:c r="K113" s="1"/>
      <x:c r="L113" s="1"/>
      <x:c r="M113" s="1"/>
      <x:c r="N113" s="1"/>
    </x:row>
    <x:row r="114" ht="22" customHeight="1">
      <x:c r="A114" s="14"/>
      <x:c r="B114" s="15"/>
      <x:c r="C114" s="16" t="str">
        <x:f>IF(AND(ISNUMBER(B114),ISNUMBER(B113),B114&gt;0,B113&gt;0),LN(B114/B113),"")</x:f>
      </x:c>
      <x:c r="D114" s="16" t="str">
        <x:f>IF(ISNUMBER(C114),ABS(C114),"")</x:f>
      </x:c>
      <x:c r="E114" s="16" t="str">
        <x:f>IF(ISNUMBER(C114),C114^2,"")</x:f>
      </x:c>
      <x:c r="F114" s="16" t="str">
        <x:f>IF(AND(ISNUMBER(C114),ISNUMBER($J$6),$J$6&gt;0),(C114-$J$5)/$J$6,"")</x:f>
      </x:c>
      <x:c r="G114" s="1" t="str">
        <x:f>IF(ISNUMBER(F114),IF(ABS(F114)&gt;3,1,0),"")</x:f>
      </x:c>
      <x:c r="H114" s="1" t="str">
        <x:f>IF(ISNUMBER(F114),F114^4,"")</x:f>
      </x:c>
      <x:c r="I114" s="1"/>
      <x:c r="J114" s="1"/>
      <x:c r="K114" s="1"/>
      <x:c r="L114" s="1"/>
      <x:c r="M114" s="1"/>
      <x:c r="N114" s="1"/>
    </x:row>
    <x:row r="115" ht="22" customHeight="1">
      <x:c r="A115" s="14"/>
      <x:c r="B115" s="15"/>
      <x:c r="C115" s="16" t="str">
        <x:f>IF(AND(ISNUMBER(B115),ISNUMBER(B114),B115&gt;0,B114&gt;0),LN(B115/B114),"")</x:f>
      </x:c>
      <x:c r="D115" s="16" t="str">
        <x:f>IF(ISNUMBER(C115),ABS(C115),"")</x:f>
      </x:c>
      <x:c r="E115" s="16" t="str">
        <x:f>IF(ISNUMBER(C115),C115^2,"")</x:f>
      </x:c>
      <x:c r="F115" s="16" t="str">
        <x:f>IF(AND(ISNUMBER(C115),ISNUMBER($J$6),$J$6&gt;0),(C115-$J$5)/$J$6,"")</x:f>
      </x:c>
      <x:c r="G115" s="1" t="str">
        <x:f>IF(ISNUMBER(F115),IF(ABS(F115)&gt;3,1,0),"")</x:f>
      </x:c>
      <x:c r="H115" s="1" t="str">
        <x:f>IF(ISNUMBER(F115),F115^4,"")</x:f>
      </x:c>
      <x:c r="I115" s="1"/>
      <x:c r="J115" s="1"/>
      <x:c r="K115" s="1"/>
      <x:c r="L115" s="1"/>
      <x:c r="M115" s="1"/>
      <x:c r="N115" s="1"/>
    </x:row>
    <x:row r="116" ht="22" customHeight="1">
      <x:c r="A116" s="14"/>
      <x:c r="B116" s="15"/>
      <x:c r="C116" s="16" t="str">
        <x:f>IF(AND(ISNUMBER(B116),ISNUMBER(B115),B116&gt;0,B115&gt;0),LN(B116/B115),"")</x:f>
      </x:c>
      <x:c r="D116" s="16" t="str">
        <x:f>IF(ISNUMBER(C116),ABS(C116),"")</x:f>
      </x:c>
      <x:c r="E116" s="16" t="str">
        <x:f>IF(ISNUMBER(C116),C116^2,"")</x:f>
      </x:c>
      <x:c r="F116" s="16" t="str">
        <x:f>IF(AND(ISNUMBER(C116),ISNUMBER($J$6),$J$6&gt;0),(C116-$J$5)/$J$6,"")</x:f>
      </x:c>
      <x:c r="G116" s="1" t="str">
        <x:f>IF(ISNUMBER(F116),IF(ABS(F116)&gt;3,1,0),"")</x:f>
      </x:c>
      <x:c r="H116" s="1" t="str">
        <x:f>IF(ISNUMBER(F116),F116^4,"")</x:f>
      </x:c>
      <x:c r="I116" s="1"/>
      <x:c r="J116" s="1"/>
      <x:c r="K116" s="1"/>
      <x:c r="L116" s="1"/>
      <x:c r="M116" s="1"/>
      <x:c r="N116" s="1"/>
    </x:row>
    <x:row r="117" ht="22" customHeight="1">
      <x:c r="A117" s="14"/>
      <x:c r="B117" s="15"/>
      <x:c r="C117" s="16" t="str">
        <x:f>IF(AND(ISNUMBER(B117),ISNUMBER(B116),B117&gt;0,B116&gt;0),LN(B117/B116),"")</x:f>
      </x:c>
      <x:c r="D117" s="16" t="str">
        <x:f>IF(ISNUMBER(C117),ABS(C117),"")</x:f>
      </x:c>
      <x:c r="E117" s="16" t="str">
        <x:f>IF(ISNUMBER(C117),C117^2,"")</x:f>
      </x:c>
      <x:c r="F117" s="16" t="str">
        <x:f>IF(AND(ISNUMBER(C117),ISNUMBER($J$6),$J$6&gt;0),(C117-$J$5)/$J$6,"")</x:f>
      </x:c>
      <x:c r="G117" s="1" t="str">
        <x:f>IF(ISNUMBER(F117),IF(ABS(F117)&gt;3,1,0),"")</x:f>
      </x:c>
      <x:c r="H117" s="1" t="str">
        <x:f>IF(ISNUMBER(F117),F117^4,"")</x:f>
      </x:c>
      <x:c r="I117" s="1"/>
      <x:c r="J117" s="1"/>
      <x:c r="K117" s="1"/>
      <x:c r="L117" s="1"/>
      <x:c r="M117" s="1"/>
      <x:c r="N117" s="1"/>
    </x:row>
    <x:row r="118" ht="22" customHeight="1">
      <x:c r="A118" s="14"/>
      <x:c r="B118" s="15"/>
      <x:c r="C118" s="16" t="str">
        <x:f>IF(AND(ISNUMBER(B118),ISNUMBER(B117),B118&gt;0,B117&gt;0),LN(B118/B117),"")</x:f>
      </x:c>
      <x:c r="D118" s="16" t="str">
        <x:f>IF(ISNUMBER(C118),ABS(C118),"")</x:f>
      </x:c>
      <x:c r="E118" s="16" t="str">
        <x:f>IF(ISNUMBER(C118),C118^2,"")</x:f>
      </x:c>
      <x:c r="F118" s="16" t="str">
        <x:f>IF(AND(ISNUMBER(C118),ISNUMBER($J$6),$J$6&gt;0),(C118-$J$5)/$J$6,"")</x:f>
      </x:c>
      <x:c r="G118" s="1" t="str">
        <x:f>IF(ISNUMBER(F118),IF(ABS(F118)&gt;3,1,0),"")</x:f>
      </x:c>
      <x:c r="H118" s="1" t="str">
        <x:f>IF(ISNUMBER(F118),F118^4,"")</x:f>
      </x:c>
      <x:c r="I118" s="1"/>
      <x:c r="J118" s="1"/>
      <x:c r="K118" s="1"/>
      <x:c r="L118" s="1"/>
      <x:c r="M118" s="1"/>
      <x:c r="N118" s="1"/>
    </x:row>
    <x:row r="119" ht="22" customHeight="1">
      <x:c r="A119" s="14"/>
      <x:c r="B119" s="15"/>
      <x:c r="C119" s="16" t="str">
        <x:f>IF(AND(ISNUMBER(B119),ISNUMBER(B118),B119&gt;0,B118&gt;0),LN(B119/B118),"")</x:f>
      </x:c>
      <x:c r="D119" s="16" t="str">
        <x:f>IF(ISNUMBER(C119),ABS(C119),"")</x:f>
      </x:c>
      <x:c r="E119" s="16" t="str">
        <x:f>IF(ISNUMBER(C119),C119^2,"")</x:f>
      </x:c>
      <x:c r="F119" s="16" t="str">
        <x:f>IF(AND(ISNUMBER(C119),ISNUMBER($J$6),$J$6&gt;0),(C119-$J$5)/$J$6,"")</x:f>
      </x:c>
      <x:c r="G119" s="1" t="str">
        <x:f>IF(ISNUMBER(F119),IF(ABS(F119)&gt;3,1,0),"")</x:f>
      </x:c>
      <x:c r="H119" s="1" t="str">
        <x:f>IF(ISNUMBER(F119),F119^4,"")</x:f>
      </x:c>
      <x:c r="I119" s="1"/>
      <x:c r="J119" s="1"/>
      <x:c r="K119" s="1"/>
      <x:c r="L119" s="1"/>
      <x:c r="M119" s="1"/>
      <x:c r="N119" s="1"/>
    </x:row>
    <x:row r="120" ht="22" customHeight="1">
      <x:c r="A120" s="14"/>
      <x:c r="B120" s="15"/>
      <x:c r="C120" s="16" t="str">
        <x:f>IF(AND(ISNUMBER(B120),ISNUMBER(B119),B120&gt;0,B119&gt;0),LN(B120/B119),"")</x:f>
      </x:c>
      <x:c r="D120" s="16" t="str">
        <x:f>IF(ISNUMBER(C120),ABS(C120),"")</x:f>
      </x:c>
      <x:c r="E120" s="16" t="str">
        <x:f>IF(ISNUMBER(C120),C120^2,"")</x:f>
      </x:c>
      <x:c r="F120" s="16" t="str">
        <x:f>IF(AND(ISNUMBER(C120),ISNUMBER($J$6),$J$6&gt;0),(C120-$J$5)/$J$6,"")</x:f>
      </x:c>
      <x:c r="G120" s="1" t="str">
        <x:f>IF(ISNUMBER(F120),IF(ABS(F120)&gt;3,1,0),"")</x:f>
      </x:c>
      <x:c r="H120" s="1" t="str">
        <x:f>IF(ISNUMBER(F120),F120^4,"")</x:f>
      </x:c>
      <x:c r="I120" s="1"/>
      <x:c r="J120" s="1"/>
      <x:c r="K120" s="1"/>
      <x:c r="L120" s="1"/>
      <x:c r="M120" s="1"/>
      <x:c r="N120" s="1"/>
    </x:row>
    <x:row r="121" ht="22" customHeight="1">
      <x:c r="A121" s="14"/>
      <x:c r="B121" s="15"/>
      <x:c r="C121" s="16" t="str">
        <x:f>IF(AND(ISNUMBER(B121),ISNUMBER(B120),B121&gt;0,B120&gt;0),LN(B121/B120),"")</x:f>
      </x:c>
      <x:c r="D121" s="16" t="str">
        <x:f>IF(ISNUMBER(C121),ABS(C121),"")</x:f>
      </x:c>
      <x:c r="E121" s="16" t="str">
        <x:f>IF(ISNUMBER(C121),C121^2,"")</x:f>
      </x:c>
      <x:c r="F121" s="16" t="str">
        <x:f>IF(AND(ISNUMBER(C121),ISNUMBER($J$6),$J$6&gt;0),(C121-$J$5)/$J$6,"")</x:f>
      </x:c>
      <x:c r="G121" s="1" t="str">
        <x:f>IF(ISNUMBER(F121),IF(ABS(F121)&gt;3,1,0),"")</x:f>
      </x:c>
      <x:c r="H121" s="1" t="str">
        <x:f>IF(ISNUMBER(F121),F121^4,"")</x:f>
      </x:c>
      <x:c r="I121" s="1"/>
      <x:c r="J121" s="1"/>
      <x:c r="K121" s="1"/>
      <x:c r="L121" s="1"/>
      <x:c r="M121" s="1"/>
      <x:c r="N121" s="1"/>
    </x:row>
    <x:row r="122" ht="22" customHeight="1">
      <x:c r="A122" s="14"/>
      <x:c r="B122" s="15"/>
      <x:c r="C122" s="16" t="str">
        <x:f>IF(AND(ISNUMBER(B122),ISNUMBER(B121),B122&gt;0,B121&gt;0),LN(B122/B121),"")</x:f>
      </x:c>
      <x:c r="D122" s="16" t="str">
        <x:f>IF(ISNUMBER(C122),ABS(C122),"")</x:f>
      </x:c>
      <x:c r="E122" s="16" t="str">
        <x:f>IF(ISNUMBER(C122),C122^2,"")</x:f>
      </x:c>
      <x:c r="F122" s="16" t="str">
        <x:f>IF(AND(ISNUMBER(C122),ISNUMBER($J$6),$J$6&gt;0),(C122-$J$5)/$J$6,"")</x:f>
      </x:c>
      <x:c r="G122" s="1" t="str">
        <x:f>IF(ISNUMBER(F122),IF(ABS(F122)&gt;3,1,0),"")</x:f>
      </x:c>
      <x:c r="H122" s="1" t="str">
        <x:f>IF(ISNUMBER(F122),F122^4,"")</x:f>
      </x:c>
      <x:c r="I122" s="1"/>
      <x:c r="J122" s="1"/>
      <x:c r="K122" s="1"/>
      <x:c r="L122" s="1"/>
      <x:c r="M122" s="1"/>
      <x:c r="N122" s="1"/>
    </x:row>
    <x:row r="123" ht="22" customHeight="1">
      <x:c r="A123" s="14"/>
      <x:c r="B123" s="15"/>
      <x:c r="C123" s="16" t="str">
        <x:f>IF(AND(ISNUMBER(B123),ISNUMBER(B122),B123&gt;0,B122&gt;0),LN(B123/B122),"")</x:f>
      </x:c>
      <x:c r="D123" s="16" t="str">
        <x:f>IF(ISNUMBER(C123),ABS(C123),"")</x:f>
      </x:c>
      <x:c r="E123" s="16" t="str">
        <x:f>IF(ISNUMBER(C123),C123^2,"")</x:f>
      </x:c>
      <x:c r="F123" s="16" t="str">
        <x:f>IF(AND(ISNUMBER(C123),ISNUMBER($J$6),$J$6&gt;0),(C123-$J$5)/$J$6,"")</x:f>
      </x:c>
      <x:c r="G123" s="1" t="str">
        <x:f>IF(ISNUMBER(F123),IF(ABS(F123)&gt;3,1,0),"")</x:f>
      </x:c>
      <x:c r="H123" s="1" t="str">
        <x:f>IF(ISNUMBER(F123),F123^4,"")</x:f>
      </x:c>
      <x:c r="I123" s="1"/>
      <x:c r="J123" s="1"/>
      <x:c r="K123" s="1"/>
      <x:c r="L123" s="1"/>
      <x:c r="M123" s="1"/>
      <x:c r="N123" s="1"/>
    </x:row>
    <x:row r="124" ht="22" customHeight="1">
      <x:c r="A124" s="14"/>
      <x:c r="B124" s="15"/>
      <x:c r="C124" s="16" t="str">
        <x:f>IF(AND(ISNUMBER(B124),ISNUMBER(B123),B124&gt;0,B123&gt;0),LN(B124/B123),"")</x:f>
      </x:c>
      <x:c r="D124" s="16" t="str">
        <x:f>IF(ISNUMBER(C124),ABS(C124),"")</x:f>
      </x:c>
      <x:c r="E124" s="16" t="str">
        <x:f>IF(ISNUMBER(C124),C124^2,"")</x:f>
      </x:c>
      <x:c r="F124" s="16" t="str">
        <x:f>IF(AND(ISNUMBER(C124),ISNUMBER($J$6),$J$6&gt;0),(C124-$J$5)/$J$6,"")</x:f>
      </x:c>
      <x:c r="G124" s="1" t="str">
        <x:f>IF(ISNUMBER(F124),IF(ABS(F124)&gt;3,1,0),"")</x:f>
      </x:c>
      <x:c r="H124" s="1" t="str">
        <x:f>IF(ISNUMBER(F124),F124^4,"")</x:f>
      </x:c>
      <x:c r="I124" s="1"/>
      <x:c r="J124" s="1"/>
      <x:c r="K124" s="1"/>
      <x:c r="L124" s="1"/>
      <x:c r="M124" s="1"/>
      <x:c r="N124" s="1"/>
    </x:row>
    <x:row r="125" ht="22" customHeight="1">
      <x:c r="A125" s="14"/>
      <x:c r="B125" s="15"/>
      <x:c r="C125" s="16" t="str">
        <x:f>IF(AND(ISNUMBER(B125),ISNUMBER(B124),B125&gt;0,B124&gt;0),LN(B125/B124),"")</x:f>
      </x:c>
      <x:c r="D125" s="16" t="str">
        <x:f>IF(ISNUMBER(C125),ABS(C125),"")</x:f>
      </x:c>
      <x:c r="E125" s="16" t="str">
        <x:f>IF(ISNUMBER(C125),C125^2,"")</x:f>
      </x:c>
      <x:c r="F125" s="16" t="str">
        <x:f>IF(AND(ISNUMBER(C125),ISNUMBER($J$6),$J$6&gt;0),(C125-$J$5)/$J$6,"")</x:f>
      </x:c>
      <x:c r="G125" s="1" t="str">
        <x:f>IF(ISNUMBER(F125),IF(ABS(F125)&gt;3,1,0),"")</x:f>
      </x:c>
      <x:c r="H125" s="1" t="str">
        <x:f>IF(ISNUMBER(F125),F125^4,"")</x:f>
      </x:c>
      <x:c r="I125" s="1"/>
      <x:c r="J125" s="1"/>
      <x:c r="K125" s="1"/>
      <x:c r="L125" s="1"/>
      <x:c r="M125" s="1"/>
      <x:c r="N125" s="1"/>
    </x:row>
    <x:row r="126" ht="22" customHeight="1">
      <x:c r="A126" s="14"/>
      <x:c r="B126" s="15"/>
      <x:c r="C126" s="16" t="str">
        <x:f>IF(AND(ISNUMBER(B126),ISNUMBER(B125),B126&gt;0,B125&gt;0),LN(B126/B125),"")</x:f>
      </x:c>
      <x:c r="D126" s="16" t="str">
        <x:f>IF(ISNUMBER(C126),ABS(C126),"")</x:f>
      </x:c>
      <x:c r="E126" s="16" t="str">
        <x:f>IF(ISNUMBER(C126),C126^2,"")</x:f>
      </x:c>
      <x:c r="F126" s="16" t="str">
        <x:f>IF(AND(ISNUMBER(C126),ISNUMBER($J$6),$J$6&gt;0),(C126-$J$5)/$J$6,"")</x:f>
      </x:c>
      <x:c r="G126" s="1" t="str">
        <x:f>IF(ISNUMBER(F126),IF(ABS(F126)&gt;3,1,0),"")</x:f>
      </x:c>
      <x:c r="H126" s="1" t="str">
        <x:f>IF(ISNUMBER(F126),F126^4,"")</x:f>
      </x:c>
      <x:c r="I126" s="1"/>
      <x:c r="J126" s="1"/>
      <x:c r="K126" s="1"/>
      <x:c r="L126" s="1"/>
      <x:c r="M126" s="1"/>
      <x:c r="N126" s="1"/>
    </x:row>
    <x:row r="127" ht="22" customHeight="1">
      <x:c r="A127" s="14"/>
      <x:c r="B127" s="15"/>
      <x:c r="C127" s="16" t="str">
        <x:f>IF(AND(ISNUMBER(B127),ISNUMBER(B126),B127&gt;0,B126&gt;0),LN(B127/B126),"")</x:f>
      </x:c>
      <x:c r="D127" s="16" t="str">
        <x:f>IF(ISNUMBER(C127),ABS(C127),"")</x:f>
      </x:c>
      <x:c r="E127" s="16" t="str">
        <x:f>IF(ISNUMBER(C127),C127^2,"")</x:f>
      </x:c>
      <x:c r="F127" s="16" t="str">
        <x:f>IF(AND(ISNUMBER(C127),ISNUMBER($J$6),$J$6&gt;0),(C127-$J$5)/$J$6,"")</x:f>
      </x:c>
      <x:c r="G127" s="1" t="str">
        <x:f>IF(ISNUMBER(F127),IF(ABS(F127)&gt;3,1,0),"")</x:f>
      </x:c>
      <x:c r="H127" s="1" t="str">
        <x:f>IF(ISNUMBER(F127),F127^4,"")</x:f>
      </x:c>
      <x:c r="I127" s="1"/>
      <x:c r="J127" s="1"/>
      <x:c r="K127" s="1"/>
      <x:c r="L127" s="1"/>
      <x:c r="M127" s="1"/>
      <x:c r="N127" s="1"/>
    </x:row>
    <x:row r="128" ht="22" customHeight="1">
      <x:c r="A128" s="14"/>
      <x:c r="B128" s="15"/>
      <x:c r="C128" s="16" t="str">
        <x:f>IF(AND(ISNUMBER(B128),ISNUMBER(B127),B128&gt;0,B127&gt;0),LN(B128/B127),"")</x:f>
      </x:c>
      <x:c r="D128" s="16" t="str">
        <x:f>IF(ISNUMBER(C128),ABS(C128),"")</x:f>
      </x:c>
      <x:c r="E128" s="16" t="str">
        <x:f>IF(ISNUMBER(C128),C128^2,"")</x:f>
      </x:c>
      <x:c r="F128" s="16" t="str">
        <x:f>IF(AND(ISNUMBER(C128),ISNUMBER($J$6),$J$6&gt;0),(C128-$J$5)/$J$6,"")</x:f>
      </x:c>
      <x:c r="G128" s="1" t="str">
        <x:f>IF(ISNUMBER(F128),IF(ABS(F128)&gt;3,1,0),"")</x:f>
      </x:c>
      <x:c r="H128" s="1" t="str">
        <x:f>IF(ISNUMBER(F128),F128^4,"")</x:f>
      </x:c>
      <x:c r="I128" s="1"/>
      <x:c r="J128" s="1"/>
      <x:c r="K128" s="1"/>
      <x:c r="L128" s="1"/>
      <x:c r="M128" s="1"/>
      <x:c r="N128" s="1"/>
    </x:row>
    <x:row r="129" ht="22" customHeight="1">
      <x:c r="A129" s="14"/>
      <x:c r="B129" s="15"/>
      <x:c r="C129" s="16" t="str">
        <x:f>IF(AND(ISNUMBER(B129),ISNUMBER(B128),B129&gt;0,B128&gt;0),LN(B129/B128),"")</x:f>
      </x:c>
      <x:c r="D129" s="16" t="str">
        <x:f>IF(ISNUMBER(C129),ABS(C129),"")</x:f>
      </x:c>
      <x:c r="E129" s="16" t="str">
        <x:f>IF(ISNUMBER(C129),C129^2,"")</x:f>
      </x:c>
      <x:c r="F129" s="16" t="str">
        <x:f>IF(AND(ISNUMBER(C129),ISNUMBER($J$6),$J$6&gt;0),(C129-$J$5)/$J$6,"")</x:f>
      </x:c>
      <x:c r="G129" s="1" t="str">
        <x:f>IF(ISNUMBER(F129),IF(ABS(F129)&gt;3,1,0),"")</x:f>
      </x:c>
      <x:c r="H129" s="1" t="str">
        <x:f>IF(ISNUMBER(F129),F129^4,"")</x:f>
      </x:c>
      <x:c r="I129" s="1"/>
      <x:c r="J129" s="1"/>
      <x:c r="K129" s="1"/>
      <x:c r="L129" s="1"/>
      <x:c r="M129" s="1"/>
      <x:c r="N129" s="1"/>
    </x:row>
    <x:row r="130" ht="22" customHeight="1">
      <x:c r="A130" s="14"/>
      <x:c r="B130" s="15"/>
      <x:c r="C130" s="16" t="str">
        <x:f>IF(AND(ISNUMBER(B130),ISNUMBER(B129),B130&gt;0,B129&gt;0),LN(B130/B129),"")</x:f>
      </x:c>
      <x:c r="D130" s="16" t="str">
        <x:f>IF(ISNUMBER(C130),ABS(C130),"")</x:f>
      </x:c>
      <x:c r="E130" s="16" t="str">
        <x:f>IF(ISNUMBER(C130),C130^2,"")</x:f>
      </x:c>
      <x:c r="F130" s="16" t="str">
        <x:f>IF(AND(ISNUMBER(C130),ISNUMBER($J$6),$J$6&gt;0),(C130-$J$5)/$J$6,"")</x:f>
      </x:c>
      <x:c r="G130" s="1" t="str">
        <x:f>IF(ISNUMBER(F130),IF(ABS(F130)&gt;3,1,0),"")</x:f>
      </x:c>
      <x:c r="H130" s="1" t="str">
        <x:f>IF(ISNUMBER(F130),F130^4,"")</x:f>
      </x:c>
      <x:c r="I130" s="1"/>
      <x:c r="J130" s="1"/>
      <x:c r="K130" s="1"/>
      <x:c r="L130" s="1"/>
      <x:c r="M130" s="1"/>
      <x:c r="N130" s="1"/>
    </x:row>
    <x:row r="131" ht="22" customHeight="1">
      <x:c r="A131" s="14"/>
      <x:c r="B131" s="15"/>
      <x:c r="C131" s="16" t="str">
        <x:f>IF(AND(ISNUMBER(B131),ISNUMBER(B130),B131&gt;0,B130&gt;0),LN(B131/B130),"")</x:f>
      </x:c>
      <x:c r="D131" s="16" t="str">
        <x:f>IF(ISNUMBER(C131),ABS(C131),"")</x:f>
      </x:c>
      <x:c r="E131" s="16" t="str">
        <x:f>IF(ISNUMBER(C131),C131^2,"")</x:f>
      </x:c>
      <x:c r="F131" s="16" t="str">
        <x:f>IF(AND(ISNUMBER(C131),ISNUMBER($J$6),$J$6&gt;0),(C131-$J$5)/$J$6,"")</x:f>
      </x:c>
      <x:c r="G131" s="1" t="str">
        <x:f>IF(ISNUMBER(F131),IF(ABS(F131)&gt;3,1,0),"")</x:f>
      </x:c>
      <x:c r="H131" s="1" t="str">
        <x:f>IF(ISNUMBER(F131),F131^4,"")</x:f>
      </x:c>
      <x:c r="I131" s="1"/>
      <x:c r="J131" s="1"/>
      <x:c r="K131" s="1"/>
      <x:c r="L131" s="1"/>
      <x:c r="M131" s="1"/>
      <x:c r="N131" s="1"/>
    </x:row>
    <x:row r="132" ht="22" customHeight="1">
      <x:c r="A132" s="14"/>
      <x:c r="B132" s="15"/>
      <x:c r="C132" s="16" t="str">
        <x:f>IF(AND(ISNUMBER(B132),ISNUMBER(B131),B132&gt;0,B131&gt;0),LN(B132/B131),"")</x:f>
      </x:c>
      <x:c r="D132" s="16" t="str">
        <x:f>IF(ISNUMBER(C132),ABS(C132),"")</x:f>
      </x:c>
      <x:c r="E132" s="16" t="str">
        <x:f>IF(ISNUMBER(C132),C132^2,"")</x:f>
      </x:c>
      <x:c r="F132" s="16" t="str">
        <x:f>IF(AND(ISNUMBER(C132),ISNUMBER($J$6),$J$6&gt;0),(C132-$J$5)/$J$6,"")</x:f>
      </x:c>
      <x:c r="G132" s="1" t="str">
        <x:f>IF(ISNUMBER(F132),IF(ABS(F132)&gt;3,1,0),"")</x:f>
      </x:c>
      <x:c r="H132" s="1" t="str">
        <x:f>IF(ISNUMBER(F132),F132^4,"")</x:f>
      </x:c>
      <x:c r="I132" s="1"/>
      <x:c r="J132" s="1"/>
      <x:c r="K132" s="1"/>
      <x:c r="L132" s="1"/>
      <x:c r="M132" s="1"/>
      <x:c r="N132" s="1"/>
    </x:row>
    <x:row r="133" ht="22" customHeight="1">
      <x:c r="A133" s="14"/>
      <x:c r="B133" s="15"/>
      <x:c r="C133" s="16" t="str">
        <x:f>IF(AND(ISNUMBER(B133),ISNUMBER(B132),B133&gt;0,B132&gt;0),LN(B133/B132),"")</x:f>
      </x:c>
      <x:c r="D133" s="16" t="str">
        <x:f>IF(ISNUMBER(C133),ABS(C133),"")</x:f>
      </x:c>
      <x:c r="E133" s="16" t="str">
        <x:f>IF(ISNUMBER(C133),C133^2,"")</x:f>
      </x:c>
      <x:c r="F133" s="16" t="str">
        <x:f>IF(AND(ISNUMBER(C133),ISNUMBER($J$6),$J$6&gt;0),(C133-$J$5)/$J$6,"")</x:f>
      </x:c>
      <x:c r="G133" s="1" t="str">
        <x:f>IF(ISNUMBER(F133),IF(ABS(F133)&gt;3,1,0),"")</x:f>
      </x:c>
      <x:c r="H133" s="1" t="str">
        <x:f>IF(ISNUMBER(F133),F133^4,"")</x:f>
      </x:c>
      <x:c r="I133" s="1"/>
      <x:c r="J133" s="1"/>
      <x:c r="K133" s="1"/>
      <x:c r="L133" s="1"/>
      <x:c r="M133" s="1"/>
      <x:c r="N133" s="1"/>
    </x:row>
    <x:row r="134" ht="22" customHeight="1">
      <x:c r="A134" s="14"/>
      <x:c r="B134" s="15"/>
      <x:c r="C134" s="16" t="str">
        <x:f>IF(AND(ISNUMBER(B134),ISNUMBER(B133),B134&gt;0,B133&gt;0),LN(B134/B133),"")</x:f>
      </x:c>
      <x:c r="D134" s="16" t="str">
        <x:f>IF(ISNUMBER(C134),ABS(C134),"")</x:f>
      </x:c>
      <x:c r="E134" s="16" t="str">
        <x:f>IF(ISNUMBER(C134),C134^2,"")</x:f>
      </x:c>
      <x:c r="F134" s="16" t="str">
        <x:f>IF(AND(ISNUMBER(C134),ISNUMBER($J$6),$J$6&gt;0),(C134-$J$5)/$J$6,"")</x:f>
      </x:c>
      <x:c r="G134" s="1" t="str">
        <x:f>IF(ISNUMBER(F134),IF(ABS(F134)&gt;3,1,0),"")</x:f>
      </x:c>
      <x:c r="H134" s="1" t="str">
        <x:f>IF(ISNUMBER(F134),F134^4,"")</x:f>
      </x:c>
      <x:c r="I134" s="1"/>
      <x:c r="J134" s="1"/>
      <x:c r="K134" s="1"/>
      <x:c r="L134" s="1"/>
      <x:c r="M134" s="1"/>
      <x:c r="N134" s="1"/>
    </x:row>
    <x:row r="135" ht="22" customHeight="1">
      <x:c r="A135" s="14"/>
      <x:c r="B135" s="15"/>
      <x:c r="C135" s="16" t="str">
        <x:f>IF(AND(ISNUMBER(B135),ISNUMBER(B134),B135&gt;0,B134&gt;0),LN(B135/B134),"")</x:f>
      </x:c>
      <x:c r="D135" s="16" t="str">
        <x:f>IF(ISNUMBER(C135),ABS(C135),"")</x:f>
      </x:c>
      <x:c r="E135" s="16" t="str">
        <x:f>IF(ISNUMBER(C135),C135^2,"")</x:f>
      </x:c>
      <x:c r="F135" s="16" t="str">
        <x:f>IF(AND(ISNUMBER(C135),ISNUMBER($J$6),$J$6&gt;0),(C135-$J$5)/$J$6,"")</x:f>
      </x:c>
      <x:c r="G135" s="1" t="str">
        <x:f>IF(ISNUMBER(F135),IF(ABS(F135)&gt;3,1,0),"")</x:f>
      </x:c>
      <x:c r="H135" s="1" t="str">
        <x:f>IF(ISNUMBER(F135),F135^4,"")</x:f>
      </x:c>
      <x:c r="I135" s="1"/>
      <x:c r="J135" s="1"/>
      <x:c r="K135" s="1"/>
      <x:c r="L135" s="1"/>
      <x:c r="M135" s="1"/>
      <x:c r="N135" s="1"/>
    </x:row>
    <x:row r="136" ht="22" customHeight="1">
      <x:c r="A136" s="14"/>
      <x:c r="B136" s="15"/>
      <x:c r="C136" s="16" t="str">
        <x:f>IF(AND(ISNUMBER(B136),ISNUMBER(B135),B136&gt;0,B135&gt;0),LN(B136/B135),"")</x:f>
      </x:c>
      <x:c r="D136" s="16" t="str">
        <x:f>IF(ISNUMBER(C136),ABS(C136),"")</x:f>
      </x:c>
      <x:c r="E136" s="16" t="str">
        <x:f>IF(ISNUMBER(C136),C136^2,"")</x:f>
      </x:c>
      <x:c r="F136" s="16" t="str">
        <x:f>IF(AND(ISNUMBER(C136),ISNUMBER($J$6),$J$6&gt;0),(C136-$J$5)/$J$6,"")</x:f>
      </x:c>
      <x:c r="G136" s="1" t="str">
        <x:f>IF(ISNUMBER(F136),IF(ABS(F136)&gt;3,1,0),"")</x:f>
      </x:c>
      <x:c r="H136" s="1" t="str">
        <x:f>IF(ISNUMBER(F136),F136^4,"")</x:f>
      </x:c>
      <x:c r="I136" s="1"/>
      <x:c r="J136" s="1"/>
      <x:c r="K136" s="1"/>
      <x:c r="L136" s="1"/>
      <x:c r="M136" s="1"/>
      <x:c r="N136" s="1"/>
    </x:row>
    <x:row r="137" ht="22" customHeight="1">
      <x:c r="A137" s="14"/>
      <x:c r="B137" s="15"/>
      <x:c r="C137" s="16" t="str">
        <x:f>IF(AND(ISNUMBER(B137),ISNUMBER(B136),B137&gt;0,B136&gt;0),LN(B137/B136),"")</x:f>
      </x:c>
      <x:c r="D137" s="16" t="str">
        <x:f>IF(ISNUMBER(C137),ABS(C137),"")</x:f>
      </x:c>
      <x:c r="E137" s="16" t="str">
        <x:f>IF(ISNUMBER(C137),C137^2,"")</x:f>
      </x:c>
      <x:c r="F137" s="16" t="str">
        <x:f>IF(AND(ISNUMBER(C137),ISNUMBER($J$6),$J$6&gt;0),(C137-$J$5)/$J$6,"")</x:f>
      </x:c>
      <x:c r="G137" s="1" t="str">
        <x:f>IF(ISNUMBER(F137),IF(ABS(F137)&gt;3,1,0),"")</x:f>
      </x:c>
      <x:c r="H137" s="1" t="str">
        <x:f>IF(ISNUMBER(F137),F137^4,"")</x:f>
      </x:c>
      <x:c r="I137" s="1"/>
      <x:c r="J137" s="1"/>
      <x:c r="K137" s="1"/>
      <x:c r="L137" s="1"/>
      <x:c r="M137" s="1"/>
      <x:c r="N137" s="1"/>
    </x:row>
    <x:row r="138" ht="22" customHeight="1">
      <x:c r="A138" s="14"/>
      <x:c r="B138" s="15"/>
      <x:c r="C138" s="16" t="str">
        <x:f>IF(AND(ISNUMBER(B138),ISNUMBER(B137),B138&gt;0,B137&gt;0),LN(B138/B137),"")</x:f>
      </x:c>
      <x:c r="D138" s="16" t="str">
        <x:f>IF(ISNUMBER(C138),ABS(C138),"")</x:f>
      </x:c>
      <x:c r="E138" s="16" t="str">
        <x:f>IF(ISNUMBER(C138),C138^2,"")</x:f>
      </x:c>
      <x:c r="F138" s="16" t="str">
        <x:f>IF(AND(ISNUMBER(C138),ISNUMBER($J$6),$J$6&gt;0),(C138-$J$5)/$J$6,"")</x:f>
      </x:c>
      <x:c r="G138" s="1" t="str">
        <x:f>IF(ISNUMBER(F138),IF(ABS(F138)&gt;3,1,0),"")</x:f>
      </x:c>
      <x:c r="H138" s="1" t="str">
        <x:f>IF(ISNUMBER(F138),F138^4,"")</x:f>
      </x:c>
      <x:c r="I138" s="1"/>
      <x:c r="J138" s="1"/>
      <x:c r="K138" s="1"/>
      <x:c r="L138" s="1"/>
      <x:c r="M138" s="1"/>
      <x:c r="N138" s="1"/>
    </x:row>
    <x:row r="139" ht="22" customHeight="1">
      <x:c r="A139" s="14"/>
      <x:c r="B139" s="15"/>
      <x:c r="C139" s="16" t="str">
        <x:f>IF(AND(ISNUMBER(B139),ISNUMBER(B138),B139&gt;0,B138&gt;0),LN(B139/B138),"")</x:f>
      </x:c>
      <x:c r="D139" s="16" t="str">
        <x:f>IF(ISNUMBER(C139),ABS(C139),"")</x:f>
      </x:c>
      <x:c r="E139" s="16" t="str">
        <x:f>IF(ISNUMBER(C139),C139^2,"")</x:f>
      </x:c>
      <x:c r="F139" s="16" t="str">
        <x:f>IF(AND(ISNUMBER(C139),ISNUMBER($J$6),$J$6&gt;0),(C139-$J$5)/$J$6,"")</x:f>
      </x:c>
      <x:c r="G139" s="1" t="str">
        <x:f>IF(ISNUMBER(F139),IF(ABS(F139)&gt;3,1,0),"")</x:f>
      </x:c>
      <x:c r="H139" s="1" t="str">
        <x:f>IF(ISNUMBER(F139),F139^4,"")</x:f>
      </x:c>
      <x:c r="I139" s="1"/>
      <x:c r="J139" s="1"/>
      <x:c r="K139" s="1"/>
      <x:c r="L139" s="1"/>
      <x:c r="M139" s="1"/>
      <x:c r="N139" s="1"/>
    </x:row>
    <x:row r="140" ht="22" customHeight="1">
      <x:c r="A140" s="14"/>
      <x:c r="B140" s="15"/>
      <x:c r="C140" s="16" t="str">
        <x:f>IF(AND(ISNUMBER(B140),ISNUMBER(B139),B140&gt;0,B139&gt;0),LN(B140/B139),"")</x:f>
      </x:c>
      <x:c r="D140" s="16" t="str">
        <x:f>IF(ISNUMBER(C140),ABS(C140),"")</x:f>
      </x:c>
      <x:c r="E140" s="16" t="str">
        <x:f>IF(ISNUMBER(C140),C140^2,"")</x:f>
      </x:c>
      <x:c r="F140" s="16" t="str">
        <x:f>IF(AND(ISNUMBER(C140),ISNUMBER($J$6),$J$6&gt;0),(C140-$J$5)/$J$6,"")</x:f>
      </x:c>
      <x:c r="G140" s="1" t="str">
        <x:f>IF(ISNUMBER(F140),IF(ABS(F140)&gt;3,1,0),"")</x:f>
      </x:c>
      <x:c r="H140" s="1" t="str">
        <x:f>IF(ISNUMBER(F140),F140^4,"")</x:f>
      </x:c>
      <x:c r="I140" s="1"/>
      <x:c r="J140" s="1"/>
      <x:c r="K140" s="1"/>
      <x:c r="L140" s="1"/>
      <x:c r="M140" s="1"/>
      <x:c r="N140" s="1"/>
    </x:row>
    <x:row r="141" ht="22" customHeight="1">
      <x:c r="A141" s="14"/>
      <x:c r="B141" s="15"/>
      <x:c r="C141" s="16" t="str">
        <x:f>IF(AND(ISNUMBER(B141),ISNUMBER(B140),B141&gt;0,B140&gt;0),LN(B141/B140),"")</x:f>
      </x:c>
      <x:c r="D141" s="16" t="str">
        <x:f>IF(ISNUMBER(C141),ABS(C141),"")</x:f>
      </x:c>
      <x:c r="E141" s="16" t="str">
        <x:f>IF(ISNUMBER(C141),C141^2,"")</x:f>
      </x:c>
      <x:c r="F141" s="16" t="str">
        <x:f>IF(AND(ISNUMBER(C141),ISNUMBER($J$6),$J$6&gt;0),(C141-$J$5)/$J$6,"")</x:f>
      </x:c>
      <x:c r="G141" s="1" t="str">
        <x:f>IF(ISNUMBER(F141),IF(ABS(F141)&gt;3,1,0),"")</x:f>
      </x:c>
      <x:c r="H141" s="1" t="str">
        <x:f>IF(ISNUMBER(F141),F141^4,"")</x:f>
      </x:c>
      <x:c r="I141" s="1"/>
      <x:c r="J141" s="1"/>
      <x:c r="K141" s="1"/>
      <x:c r="L141" s="1"/>
      <x:c r="M141" s="1"/>
      <x:c r="N141" s="1"/>
    </x:row>
    <x:row r="142" ht="22" customHeight="1">
      <x:c r="A142" s="14"/>
      <x:c r="B142" s="15"/>
      <x:c r="C142" s="16" t="str">
        <x:f>IF(AND(ISNUMBER(B142),ISNUMBER(B141),B142&gt;0,B141&gt;0),LN(B142/B141),"")</x:f>
      </x:c>
      <x:c r="D142" s="16" t="str">
        <x:f>IF(ISNUMBER(C142),ABS(C142),"")</x:f>
      </x:c>
      <x:c r="E142" s="16" t="str">
        <x:f>IF(ISNUMBER(C142),C142^2,"")</x:f>
      </x:c>
      <x:c r="F142" s="16" t="str">
        <x:f>IF(AND(ISNUMBER(C142),ISNUMBER($J$6),$J$6&gt;0),(C142-$J$5)/$J$6,"")</x:f>
      </x:c>
      <x:c r="G142" s="1" t="str">
        <x:f>IF(ISNUMBER(F142),IF(ABS(F142)&gt;3,1,0),"")</x:f>
      </x:c>
      <x:c r="H142" s="1" t="str">
        <x:f>IF(ISNUMBER(F142),F142^4,"")</x:f>
      </x:c>
      <x:c r="I142" s="1"/>
      <x:c r="J142" s="1"/>
      <x:c r="K142" s="1"/>
      <x:c r="L142" s="1"/>
      <x:c r="M142" s="1"/>
      <x:c r="N142" s="1"/>
    </x:row>
    <x:row r="143" ht="22" customHeight="1">
      <x:c r="A143" s="14"/>
      <x:c r="B143" s="15"/>
      <x:c r="C143" s="16" t="str">
        <x:f>IF(AND(ISNUMBER(B143),ISNUMBER(B142),B143&gt;0,B142&gt;0),LN(B143/B142),"")</x:f>
      </x:c>
      <x:c r="D143" s="16" t="str">
        <x:f>IF(ISNUMBER(C143),ABS(C143),"")</x:f>
      </x:c>
      <x:c r="E143" s="16" t="str">
        <x:f>IF(ISNUMBER(C143),C143^2,"")</x:f>
      </x:c>
      <x:c r="F143" s="16" t="str">
        <x:f>IF(AND(ISNUMBER(C143),ISNUMBER($J$6),$J$6&gt;0),(C143-$J$5)/$J$6,"")</x:f>
      </x:c>
      <x:c r="G143" s="1" t="str">
        <x:f>IF(ISNUMBER(F143),IF(ABS(F143)&gt;3,1,0),"")</x:f>
      </x:c>
      <x:c r="H143" s="1" t="str">
        <x:f>IF(ISNUMBER(F143),F143^4,"")</x:f>
      </x:c>
      <x:c r="I143" s="1"/>
      <x:c r="J143" s="1"/>
      <x:c r="K143" s="1"/>
      <x:c r="L143" s="1"/>
      <x:c r="M143" s="1"/>
      <x:c r="N143" s="1"/>
    </x:row>
    <x:row r="144" ht="22" customHeight="1">
      <x:c r="A144" s="14"/>
      <x:c r="B144" s="15"/>
      <x:c r="C144" s="16" t="str">
        <x:f>IF(AND(ISNUMBER(B144),ISNUMBER(B143),B144&gt;0,B143&gt;0),LN(B144/B143),"")</x:f>
      </x:c>
      <x:c r="D144" s="16" t="str">
        <x:f>IF(ISNUMBER(C144),ABS(C144),"")</x:f>
      </x:c>
      <x:c r="E144" s="16" t="str">
        <x:f>IF(ISNUMBER(C144),C144^2,"")</x:f>
      </x:c>
      <x:c r="F144" s="16" t="str">
        <x:f>IF(AND(ISNUMBER(C144),ISNUMBER($J$6),$J$6&gt;0),(C144-$J$5)/$J$6,"")</x:f>
      </x:c>
      <x:c r="G144" s="1" t="str">
        <x:f>IF(ISNUMBER(F144),IF(ABS(F144)&gt;3,1,0),"")</x:f>
      </x:c>
      <x:c r="H144" s="1" t="str">
        <x:f>IF(ISNUMBER(F144),F144^4,"")</x:f>
      </x:c>
      <x:c r="I144" s="1"/>
      <x:c r="J144" s="1"/>
      <x:c r="K144" s="1"/>
      <x:c r="L144" s="1"/>
      <x:c r="M144" s="1"/>
      <x:c r="N144" s="1"/>
    </x:row>
    <x:row r="145" ht="22" customHeight="1">
      <x:c r="A145" s="14"/>
      <x:c r="B145" s="15"/>
      <x:c r="C145" s="16" t="str">
        <x:f>IF(AND(ISNUMBER(B145),ISNUMBER(B144),B145&gt;0,B144&gt;0),LN(B145/B144),"")</x:f>
      </x:c>
      <x:c r="D145" s="16" t="str">
        <x:f>IF(ISNUMBER(C145),ABS(C145),"")</x:f>
      </x:c>
      <x:c r="E145" s="16" t="str">
        <x:f>IF(ISNUMBER(C145),C145^2,"")</x:f>
      </x:c>
      <x:c r="F145" s="16" t="str">
        <x:f>IF(AND(ISNUMBER(C145),ISNUMBER($J$6),$J$6&gt;0),(C145-$J$5)/$J$6,"")</x:f>
      </x:c>
      <x:c r="G145" s="1" t="str">
        <x:f>IF(ISNUMBER(F145),IF(ABS(F145)&gt;3,1,0),"")</x:f>
      </x:c>
      <x:c r="H145" s="1" t="str">
        <x:f>IF(ISNUMBER(F145),F145^4,"")</x:f>
      </x:c>
      <x:c r="I145" s="1"/>
      <x:c r="J145" s="1"/>
      <x:c r="K145" s="1"/>
      <x:c r="L145" s="1"/>
      <x:c r="M145" s="1"/>
      <x:c r="N145" s="1"/>
    </x:row>
    <x:row r="146" ht="22" customHeight="1">
      <x:c r="A146" s="14"/>
      <x:c r="B146" s="15"/>
      <x:c r="C146" s="16" t="str">
        <x:f>IF(AND(ISNUMBER(B146),ISNUMBER(B145),B146&gt;0,B145&gt;0),LN(B146/B145),"")</x:f>
      </x:c>
      <x:c r="D146" s="16" t="str">
        <x:f>IF(ISNUMBER(C146),ABS(C146),"")</x:f>
      </x:c>
      <x:c r="E146" s="16" t="str">
        <x:f>IF(ISNUMBER(C146),C146^2,"")</x:f>
      </x:c>
      <x:c r="F146" s="16" t="str">
        <x:f>IF(AND(ISNUMBER(C146),ISNUMBER($J$6),$J$6&gt;0),(C146-$J$5)/$J$6,"")</x:f>
      </x:c>
      <x:c r="G146" s="1" t="str">
        <x:f>IF(ISNUMBER(F146),IF(ABS(F146)&gt;3,1,0),"")</x:f>
      </x:c>
      <x:c r="H146" s="1" t="str">
        <x:f>IF(ISNUMBER(F146),F146^4,"")</x:f>
      </x:c>
      <x:c r="I146" s="1"/>
      <x:c r="J146" s="1"/>
      <x:c r="K146" s="1"/>
      <x:c r="L146" s="1"/>
      <x:c r="M146" s="1"/>
      <x:c r="N146" s="1"/>
    </x:row>
    <x:row r="147" ht="22" customHeight="1">
      <x:c r="A147" s="14"/>
      <x:c r="B147" s="15"/>
      <x:c r="C147" s="16" t="str">
        <x:f>IF(AND(ISNUMBER(B147),ISNUMBER(B146),B147&gt;0,B146&gt;0),LN(B147/B146),"")</x:f>
      </x:c>
      <x:c r="D147" s="16" t="str">
        <x:f>IF(ISNUMBER(C147),ABS(C147),"")</x:f>
      </x:c>
      <x:c r="E147" s="16" t="str">
        <x:f>IF(ISNUMBER(C147),C147^2,"")</x:f>
      </x:c>
      <x:c r="F147" s="16" t="str">
        <x:f>IF(AND(ISNUMBER(C147),ISNUMBER($J$6),$J$6&gt;0),(C147-$J$5)/$J$6,"")</x:f>
      </x:c>
      <x:c r="G147" s="1" t="str">
        <x:f>IF(ISNUMBER(F147),IF(ABS(F147)&gt;3,1,0),"")</x:f>
      </x:c>
      <x:c r="H147" s="1" t="str">
        <x:f>IF(ISNUMBER(F147),F147^4,"")</x:f>
      </x:c>
      <x:c r="I147" s="1"/>
      <x:c r="J147" s="1"/>
      <x:c r="K147" s="1"/>
      <x:c r="L147" s="1"/>
      <x:c r="M147" s="1"/>
      <x:c r="N147" s="1"/>
    </x:row>
    <x:row r="148" ht="22" customHeight="1">
      <x:c r="A148" s="14"/>
      <x:c r="B148" s="15"/>
      <x:c r="C148" s="16" t="str">
        <x:f>IF(AND(ISNUMBER(B148),ISNUMBER(B147),B148&gt;0,B147&gt;0),LN(B148/B147),"")</x:f>
      </x:c>
      <x:c r="D148" s="16" t="str">
        <x:f>IF(ISNUMBER(C148),ABS(C148),"")</x:f>
      </x:c>
      <x:c r="E148" s="16" t="str">
        <x:f>IF(ISNUMBER(C148),C148^2,"")</x:f>
      </x:c>
      <x:c r="F148" s="16" t="str">
        <x:f>IF(AND(ISNUMBER(C148),ISNUMBER($J$6),$J$6&gt;0),(C148-$J$5)/$J$6,"")</x:f>
      </x:c>
      <x:c r="G148" s="1" t="str">
        <x:f>IF(ISNUMBER(F148),IF(ABS(F148)&gt;3,1,0),"")</x:f>
      </x:c>
      <x:c r="H148" s="1" t="str">
        <x:f>IF(ISNUMBER(F148),F148^4,"")</x:f>
      </x:c>
      <x:c r="I148" s="1"/>
      <x:c r="J148" s="1"/>
      <x:c r="K148" s="1"/>
      <x:c r="L148" s="1"/>
      <x:c r="M148" s="1"/>
      <x:c r="N148" s="1"/>
    </x:row>
    <x:row r="149" ht="22" customHeight="1">
      <x:c r="A149" s="14"/>
      <x:c r="B149" s="15"/>
      <x:c r="C149" s="16" t="str">
        <x:f>IF(AND(ISNUMBER(B149),ISNUMBER(B148),B149&gt;0,B148&gt;0),LN(B149/B148),"")</x:f>
      </x:c>
      <x:c r="D149" s="16" t="str">
        <x:f>IF(ISNUMBER(C149),ABS(C149),"")</x:f>
      </x:c>
      <x:c r="E149" s="16" t="str">
        <x:f>IF(ISNUMBER(C149),C149^2,"")</x:f>
      </x:c>
      <x:c r="F149" s="16" t="str">
        <x:f>IF(AND(ISNUMBER(C149),ISNUMBER($J$6),$J$6&gt;0),(C149-$J$5)/$J$6,"")</x:f>
      </x:c>
      <x:c r="G149" s="1" t="str">
        <x:f>IF(ISNUMBER(F149),IF(ABS(F149)&gt;3,1,0),"")</x:f>
      </x:c>
      <x:c r="H149" s="1" t="str">
        <x:f>IF(ISNUMBER(F149),F149^4,"")</x:f>
      </x:c>
      <x:c r="I149" s="1"/>
      <x:c r="J149" s="1"/>
      <x:c r="K149" s="1"/>
      <x:c r="L149" s="1"/>
      <x:c r="M149" s="1"/>
      <x:c r="N149" s="1"/>
    </x:row>
    <x:row r="150" ht="22" customHeight="1">
      <x:c r="A150" s="14"/>
      <x:c r="B150" s="15"/>
      <x:c r="C150" s="16" t="str">
        <x:f>IF(AND(ISNUMBER(B150),ISNUMBER(B149),B150&gt;0,B149&gt;0),LN(B150/B149),"")</x:f>
      </x:c>
      <x:c r="D150" s="16" t="str">
        <x:f>IF(ISNUMBER(C150),ABS(C150),"")</x:f>
      </x:c>
      <x:c r="E150" s="16" t="str">
        <x:f>IF(ISNUMBER(C150),C150^2,"")</x:f>
      </x:c>
      <x:c r="F150" s="16" t="str">
        <x:f>IF(AND(ISNUMBER(C150),ISNUMBER($J$6),$J$6&gt;0),(C150-$J$5)/$J$6,"")</x:f>
      </x:c>
      <x:c r="G150" s="1" t="str">
        <x:f>IF(ISNUMBER(F150),IF(ABS(F150)&gt;3,1,0),"")</x:f>
      </x:c>
      <x:c r="H150" s="1" t="str">
        <x:f>IF(ISNUMBER(F150),F150^4,"")</x:f>
      </x:c>
      <x:c r="I150" s="1"/>
      <x:c r="J150" s="1"/>
      <x:c r="K150" s="1"/>
      <x:c r="L150" s="1"/>
      <x:c r="M150" s="1"/>
      <x:c r="N150" s="1"/>
    </x:row>
    <x:row r="151" ht="22" customHeight="1">
      <x:c r="A151" s="14"/>
      <x:c r="B151" s="15"/>
      <x:c r="C151" s="16" t="str">
        <x:f>IF(AND(ISNUMBER(B151),ISNUMBER(B150),B151&gt;0,B150&gt;0),LN(B151/B150),"")</x:f>
      </x:c>
      <x:c r="D151" s="16" t="str">
        <x:f>IF(ISNUMBER(C151),ABS(C151),"")</x:f>
      </x:c>
      <x:c r="E151" s="16" t="str">
        <x:f>IF(ISNUMBER(C151),C151^2,"")</x:f>
      </x:c>
      <x:c r="F151" s="16" t="str">
        <x:f>IF(AND(ISNUMBER(C151),ISNUMBER($J$6),$J$6&gt;0),(C151-$J$5)/$J$6,"")</x:f>
      </x:c>
      <x:c r="G151" s="1" t="str">
        <x:f>IF(ISNUMBER(F151),IF(ABS(F151)&gt;3,1,0),"")</x:f>
      </x:c>
      <x:c r="H151" s="1" t="str">
        <x:f>IF(ISNUMBER(F151),F151^4,"")</x:f>
      </x:c>
      <x:c r="I151" s="1"/>
      <x:c r="J151" s="1"/>
      <x:c r="K151" s="1"/>
      <x:c r="L151" s="1"/>
      <x:c r="M151" s="1"/>
      <x:c r="N151" s="1"/>
    </x:row>
    <x:row r="152" ht="22" customHeight="1">
      <x:c r="A152" s="14"/>
      <x:c r="B152" s="15"/>
      <x:c r="C152" s="16" t="str">
        <x:f>IF(AND(ISNUMBER(B152),ISNUMBER(B151),B152&gt;0,B151&gt;0),LN(B152/B151),"")</x:f>
      </x:c>
      <x:c r="D152" s="16" t="str">
        <x:f>IF(ISNUMBER(C152),ABS(C152),"")</x:f>
      </x:c>
      <x:c r="E152" s="16" t="str">
        <x:f>IF(ISNUMBER(C152),C152^2,"")</x:f>
      </x:c>
      <x:c r="F152" s="16" t="str">
        <x:f>IF(AND(ISNUMBER(C152),ISNUMBER($J$6),$J$6&gt;0),(C152-$J$5)/$J$6,"")</x:f>
      </x:c>
      <x:c r="G152" s="1" t="str">
        <x:f>IF(ISNUMBER(F152),IF(ABS(F152)&gt;3,1,0),"")</x:f>
      </x:c>
      <x:c r="H152" s="1" t="str">
        <x:f>IF(ISNUMBER(F152),F152^4,"")</x:f>
      </x:c>
      <x:c r="I152" s="1"/>
      <x:c r="J152" s="1"/>
      <x:c r="K152" s="1"/>
      <x:c r="L152" s="1"/>
      <x:c r="M152" s="1"/>
      <x:c r="N152" s="1"/>
    </x:row>
    <x:row r="153" ht="22" customHeight="1">
      <x:c r="A153" s="14"/>
      <x:c r="B153" s="15"/>
      <x:c r="C153" s="16" t="str">
        <x:f>IF(AND(ISNUMBER(B153),ISNUMBER(B152),B153&gt;0,B152&gt;0),LN(B153/B152),"")</x:f>
      </x:c>
      <x:c r="D153" s="16" t="str">
        <x:f>IF(ISNUMBER(C153),ABS(C153),"")</x:f>
      </x:c>
      <x:c r="E153" s="16" t="str">
        <x:f>IF(ISNUMBER(C153),C153^2,"")</x:f>
      </x:c>
      <x:c r="F153" s="16" t="str">
        <x:f>IF(AND(ISNUMBER(C153),ISNUMBER($J$6),$J$6&gt;0),(C153-$J$5)/$J$6,"")</x:f>
      </x:c>
      <x:c r="G153" s="1" t="str">
        <x:f>IF(ISNUMBER(F153),IF(ABS(F153)&gt;3,1,0),"")</x:f>
      </x:c>
      <x:c r="H153" s="1" t="str">
        <x:f>IF(ISNUMBER(F153),F153^4,"")</x:f>
      </x:c>
      <x:c r="I153" s="1"/>
      <x:c r="J153" s="1"/>
      <x:c r="K153" s="1"/>
      <x:c r="L153" s="1"/>
      <x:c r="M153" s="1"/>
      <x:c r="N153" s="1"/>
    </x:row>
    <x:row r="154" ht="22" customHeight="1">
      <x:c r="A154" s="14"/>
      <x:c r="B154" s="15"/>
      <x:c r="C154" s="16" t="str">
        <x:f>IF(AND(ISNUMBER(B154),ISNUMBER(B153),B154&gt;0,B153&gt;0),LN(B154/B153),"")</x:f>
      </x:c>
      <x:c r="D154" s="16" t="str">
        <x:f>IF(ISNUMBER(C154),ABS(C154),"")</x:f>
      </x:c>
      <x:c r="E154" s="16" t="str">
        <x:f>IF(ISNUMBER(C154),C154^2,"")</x:f>
      </x:c>
      <x:c r="F154" s="16" t="str">
        <x:f>IF(AND(ISNUMBER(C154),ISNUMBER($J$6),$J$6&gt;0),(C154-$J$5)/$J$6,"")</x:f>
      </x:c>
      <x:c r="G154" s="1" t="str">
        <x:f>IF(ISNUMBER(F154),IF(ABS(F154)&gt;3,1,0),"")</x:f>
      </x:c>
      <x:c r="H154" s="1" t="str">
        <x:f>IF(ISNUMBER(F154),F154^4,"")</x:f>
      </x:c>
      <x:c r="I154" s="1"/>
      <x:c r="J154" s="1"/>
      <x:c r="K154" s="1"/>
      <x:c r="L154" s="1"/>
      <x:c r="M154" s="1"/>
      <x:c r="N154" s="1"/>
    </x:row>
    <x:row r="155" ht="22" customHeight="1">
      <x:c r="A155" s="14"/>
      <x:c r="B155" s="15"/>
      <x:c r="C155" s="16" t="str">
        <x:f>IF(AND(ISNUMBER(B155),ISNUMBER(B154),B155&gt;0,B154&gt;0),LN(B155/B154),"")</x:f>
      </x:c>
      <x:c r="D155" s="16" t="str">
        <x:f>IF(ISNUMBER(C155),ABS(C155),"")</x:f>
      </x:c>
      <x:c r="E155" s="16" t="str">
        <x:f>IF(ISNUMBER(C155),C155^2,"")</x:f>
      </x:c>
      <x:c r="F155" s="16" t="str">
        <x:f>IF(AND(ISNUMBER(C155),ISNUMBER($J$6),$J$6&gt;0),(C155-$J$5)/$J$6,"")</x:f>
      </x:c>
      <x:c r="G155" s="1" t="str">
        <x:f>IF(ISNUMBER(F155),IF(ABS(F155)&gt;3,1,0),"")</x:f>
      </x:c>
      <x:c r="H155" s="1" t="str">
        <x:f>IF(ISNUMBER(F155),F155^4,"")</x:f>
      </x:c>
      <x:c r="I155" s="1"/>
      <x:c r="J155" s="1"/>
      <x:c r="K155" s="1"/>
      <x:c r="L155" s="1"/>
      <x:c r="M155" s="1"/>
      <x:c r="N155" s="1"/>
    </x:row>
    <x:row r="156" ht="22" customHeight="1">
      <x:c r="A156" s="14"/>
      <x:c r="B156" s="15"/>
      <x:c r="C156" s="16" t="str">
        <x:f>IF(AND(ISNUMBER(B156),ISNUMBER(B155),B156&gt;0,B155&gt;0),LN(B156/B155),"")</x:f>
      </x:c>
      <x:c r="D156" s="16" t="str">
        <x:f>IF(ISNUMBER(C156),ABS(C156),"")</x:f>
      </x:c>
      <x:c r="E156" s="16" t="str">
        <x:f>IF(ISNUMBER(C156),C156^2,"")</x:f>
      </x:c>
      <x:c r="F156" s="16" t="str">
        <x:f>IF(AND(ISNUMBER(C156),ISNUMBER($J$6),$J$6&gt;0),(C156-$J$5)/$J$6,"")</x:f>
      </x:c>
      <x:c r="G156" s="1" t="str">
        <x:f>IF(ISNUMBER(F156),IF(ABS(F156)&gt;3,1,0),"")</x:f>
      </x:c>
      <x:c r="H156" s="1" t="str">
        <x:f>IF(ISNUMBER(F156),F156^4,"")</x:f>
      </x:c>
      <x:c r="I156" s="1"/>
      <x:c r="J156" s="1"/>
      <x:c r="K156" s="1"/>
      <x:c r="L156" s="1"/>
      <x:c r="M156" s="1"/>
      <x:c r="N156" s="1"/>
    </x:row>
    <x:row r="157" ht="22" customHeight="1">
      <x:c r="A157" s="14"/>
      <x:c r="B157" s="15"/>
      <x:c r="C157" s="16" t="str">
        <x:f>IF(AND(ISNUMBER(B157),ISNUMBER(B156),B157&gt;0,B156&gt;0),LN(B157/B156),"")</x:f>
      </x:c>
      <x:c r="D157" s="16" t="str">
        <x:f>IF(ISNUMBER(C157),ABS(C157),"")</x:f>
      </x:c>
      <x:c r="E157" s="16" t="str">
        <x:f>IF(ISNUMBER(C157),C157^2,"")</x:f>
      </x:c>
      <x:c r="F157" s="16" t="str">
        <x:f>IF(AND(ISNUMBER(C157),ISNUMBER($J$6),$J$6&gt;0),(C157-$J$5)/$J$6,"")</x:f>
      </x:c>
      <x:c r="G157" s="1" t="str">
        <x:f>IF(ISNUMBER(F157),IF(ABS(F157)&gt;3,1,0),"")</x:f>
      </x:c>
      <x:c r="H157" s="1" t="str">
        <x:f>IF(ISNUMBER(F157),F157^4,"")</x:f>
      </x:c>
      <x:c r="I157" s="1"/>
      <x:c r="J157" s="1"/>
      <x:c r="K157" s="1"/>
      <x:c r="L157" s="1"/>
      <x:c r="M157" s="1"/>
      <x:c r="N157" s="1"/>
    </x:row>
    <x:row r="158" ht="22" customHeight="1">
      <x:c r="A158" s="14"/>
      <x:c r="B158" s="15"/>
      <x:c r="C158" s="16" t="str">
        <x:f>IF(AND(ISNUMBER(B158),ISNUMBER(B157),B158&gt;0,B157&gt;0),LN(B158/B157),"")</x:f>
      </x:c>
      <x:c r="D158" s="16" t="str">
        <x:f>IF(ISNUMBER(C158),ABS(C158),"")</x:f>
      </x:c>
      <x:c r="E158" s="16" t="str">
        <x:f>IF(ISNUMBER(C158),C158^2,"")</x:f>
      </x:c>
      <x:c r="F158" s="16" t="str">
        <x:f>IF(AND(ISNUMBER(C158),ISNUMBER($J$6),$J$6&gt;0),(C158-$J$5)/$J$6,"")</x:f>
      </x:c>
      <x:c r="G158" s="1" t="str">
        <x:f>IF(ISNUMBER(F158),IF(ABS(F158)&gt;3,1,0),"")</x:f>
      </x:c>
      <x:c r="H158" s="1" t="str">
        <x:f>IF(ISNUMBER(F158),F158^4,"")</x:f>
      </x:c>
      <x:c r="I158" s="1"/>
      <x:c r="J158" s="1"/>
      <x:c r="K158" s="1"/>
      <x:c r="L158" s="1"/>
      <x:c r="M158" s="1"/>
      <x:c r="N158" s="1"/>
    </x:row>
    <x:row r="159" ht="22" customHeight="1">
      <x:c r="A159" s="14"/>
      <x:c r="B159" s="15"/>
      <x:c r="C159" s="16" t="str">
        <x:f>IF(AND(ISNUMBER(B159),ISNUMBER(B158),B159&gt;0,B158&gt;0),LN(B159/B158),"")</x:f>
      </x:c>
      <x:c r="D159" s="16" t="str">
        <x:f>IF(ISNUMBER(C159),ABS(C159),"")</x:f>
      </x:c>
      <x:c r="E159" s="16" t="str">
        <x:f>IF(ISNUMBER(C159),C159^2,"")</x:f>
      </x:c>
      <x:c r="F159" s="16" t="str">
        <x:f>IF(AND(ISNUMBER(C159),ISNUMBER($J$6),$J$6&gt;0),(C159-$J$5)/$J$6,"")</x:f>
      </x:c>
      <x:c r="G159" s="1" t="str">
        <x:f>IF(ISNUMBER(F159),IF(ABS(F159)&gt;3,1,0),"")</x:f>
      </x:c>
      <x:c r="H159" s="1" t="str">
        <x:f>IF(ISNUMBER(F159),F159^4,"")</x:f>
      </x:c>
      <x:c r="I159" s="1"/>
      <x:c r="J159" s="1"/>
      <x:c r="K159" s="1"/>
      <x:c r="L159" s="1"/>
      <x:c r="M159" s="1"/>
      <x:c r="N159" s="1"/>
    </x:row>
    <x:row r="160" ht="22" customHeight="1">
      <x:c r="A160" s="14"/>
      <x:c r="B160" s="15"/>
      <x:c r="C160" s="16" t="str">
        <x:f>IF(AND(ISNUMBER(B160),ISNUMBER(B159),B160&gt;0,B159&gt;0),LN(B160/B159),"")</x:f>
      </x:c>
      <x:c r="D160" s="16" t="str">
        <x:f>IF(ISNUMBER(C160),ABS(C160),"")</x:f>
      </x:c>
      <x:c r="E160" s="16" t="str">
        <x:f>IF(ISNUMBER(C160),C160^2,"")</x:f>
      </x:c>
      <x:c r="F160" s="16" t="str">
        <x:f>IF(AND(ISNUMBER(C160),ISNUMBER($J$6),$J$6&gt;0),(C160-$J$5)/$J$6,"")</x:f>
      </x:c>
      <x:c r="G160" s="1" t="str">
        <x:f>IF(ISNUMBER(F160),IF(ABS(F160)&gt;3,1,0),"")</x:f>
      </x:c>
      <x:c r="H160" s="1" t="str">
        <x:f>IF(ISNUMBER(F160),F160^4,"")</x:f>
      </x:c>
      <x:c r="I160" s="1"/>
      <x:c r="J160" s="1"/>
      <x:c r="K160" s="1"/>
      <x:c r="L160" s="1"/>
      <x:c r="M160" s="1"/>
      <x:c r="N160" s="1"/>
    </x:row>
    <x:row r="161" ht="22" customHeight="1">
      <x:c r="A161" s="14"/>
      <x:c r="B161" s="15"/>
      <x:c r="C161" s="16" t="str">
        <x:f>IF(AND(ISNUMBER(B161),ISNUMBER(B160),B161&gt;0,B160&gt;0),LN(B161/B160),"")</x:f>
      </x:c>
      <x:c r="D161" s="16" t="str">
        <x:f>IF(ISNUMBER(C161),ABS(C161),"")</x:f>
      </x:c>
      <x:c r="E161" s="16" t="str">
        <x:f>IF(ISNUMBER(C161),C161^2,"")</x:f>
      </x:c>
      <x:c r="F161" s="16" t="str">
        <x:f>IF(AND(ISNUMBER(C161),ISNUMBER($J$6),$J$6&gt;0),(C161-$J$5)/$J$6,"")</x:f>
      </x:c>
      <x:c r="G161" s="1" t="str">
        <x:f>IF(ISNUMBER(F161),IF(ABS(F161)&gt;3,1,0),"")</x:f>
      </x:c>
      <x:c r="H161" s="1" t="str">
        <x:f>IF(ISNUMBER(F161),F161^4,"")</x:f>
      </x:c>
      <x:c r="I161" s="1"/>
      <x:c r="J161" s="1"/>
      <x:c r="K161" s="1"/>
      <x:c r="L161" s="1"/>
      <x:c r="M161" s="1"/>
      <x:c r="N161" s="1"/>
    </x:row>
    <x:row r="162" ht="22" customHeight="1">
      <x:c r="A162" s="14"/>
      <x:c r="B162" s="15"/>
      <x:c r="C162" s="16" t="str">
        <x:f>IF(AND(ISNUMBER(B162),ISNUMBER(B161),B162&gt;0,B161&gt;0),LN(B162/B161),"")</x:f>
      </x:c>
      <x:c r="D162" s="16" t="str">
        <x:f>IF(ISNUMBER(C162),ABS(C162),"")</x:f>
      </x:c>
      <x:c r="E162" s="16" t="str">
        <x:f>IF(ISNUMBER(C162),C162^2,"")</x:f>
      </x:c>
      <x:c r="F162" s="16" t="str">
        <x:f>IF(AND(ISNUMBER(C162),ISNUMBER($J$6),$J$6&gt;0),(C162-$J$5)/$J$6,"")</x:f>
      </x:c>
      <x:c r="G162" s="1" t="str">
        <x:f>IF(ISNUMBER(F162),IF(ABS(F162)&gt;3,1,0),"")</x:f>
      </x:c>
      <x:c r="H162" s="1" t="str">
        <x:f>IF(ISNUMBER(F162),F162^4,"")</x:f>
      </x:c>
      <x:c r="I162" s="1"/>
      <x:c r="J162" s="1"/>
      <x:c r="K162" s="1"/>
      <x:c r="L162" s="1"/>
      <x:c r="M162" s="1"/>
      <x:c r="N162" s="1"/>
    </x:row>
    <x:row r="163" ht="22" customHeight="1">
      <x:c r="A163" s="14"/>
      <x:c r="B163" s="15"/>
      <x:c r="C163" s="16" t="str">
        <x:f>IF(AND(ISNUMBER(B163),ISNUMBER(B162),B163&gt;0,B162&gt;0),LN(B163/B162),"")</x:f>
      </x:c>
      <x:c r="D163" s="16" t="str">
        <x:f>IF(ISNUMBER(C163),ABS(C163),"")</x:f>
      </x:c>
      <x:c r="E163" s="16" t="str">
        <x:f>IF(ISNUMBER(C163),C163^2,"")</x:f>
      </x:c>
      <x:c r="F163" s="16" t="str">
        <x:f>IF(AND(ISNUMBER(C163),ISNUMBER($J$6),$J$6&gt;0),(C163-$J$5)/$J$6,"")</x:f>
      </x:c>
      <x:c r="G163" s="1" t="str">
        <x:f>IF(ISNUMBER(F163),IF(ABS(F163)&gt;3,1,0),"")</x:f>
      </x:c>
      <x:c r="H163" s="1" t="str">
        <x:f>IF(ISNUMBER(F163),F163^4,"")</x:f>
      </x:c>
      <x:c r="I163" s="1"/>
      <x:c r="J163" s="1"/>
      <x:c r="K163" s="1"/>
      <x:c r="L163" s="1"/>
      <x:c r="M163" s="1"/>
      <x:c r="N163" s="1"/>
    </x:row>
    <x:row r="164" ht="22" customHeight="1">
      <x:c r="A164" s="14"/>
      <x:c r="B164" s="15"/>
      <x:c r="C164" s="16" t="str">
        <x:f>IF(AND(ISNUMBER(B164),ISNUMBER(B163),B164&gt;0,B163&gt;0),LN(B164/B163),"")</x:f>
      </x:c>
      <x:c r="D164" s="16" t="str">
        <x:f>IF(ISNUMBER(C164),ABS(C164),"")</x:f>
      </x:c>
      <x:c r="E164" s="16" t="str">
        <x:f>IF(ISNUMBER(C164),C164^2,"")</x:f>
      </x:c>
      <x:c r="F164" s="16" t="str">
        <x:f>IF(AND(ISNUMBER(C164),ISNUMBER($J$6),$J$6&gt;0),(C164-$J$5)/$J$6,"")</x:f>
      </x:c>
      <x:c r="G164" s="1" t="str">
        <x:f>IF(ISNUMBER(F164),IF(ABS(F164)&gt;3,1,0),"")</x:f>
      </x:c>
      <x:c r="H164" s="1" t="str">
        <x:f>IF(ISNUMBER(F164),F164^4,"")</x:f>
      </x:c>
      <x:c r="I164" s="1"/>
      <x:c r="J164" s="1"/>
      <x:c r="K164" s="1"/>
      <x:c r="L164" s="1"/>
      <x:c r="M164" s="1"/>
      <x:c r="N164" s="1"/>
    </x:row>
    <x:row r="165" ht="22" customHeight="1">
      <x:c r="A165" s="14"/>
      <x:c r="B165" s="15"/>
      <x:c r="C165" s="16" t="str">
        <x:f>IF(AND(ISNUMBER(B165),ISNUMBER(B164),B165&gt;0,B164&gt;0),LN(B165/B164),"")</x:f>
      </x:c>
      <x:c r="D165" s="16" t="str">
        <x:f>IF(ISNUMBER(C165),ABS(C165),"")</x:f>
      </x:c>
      <x:c r="E165" s="16" t="str">
        <x:f>IF(ISNUMBER(C165),C165^2,"")</x:f>
      </x:c>
      <x:c r="F165" s="16" t="str">
        <x:f>IF(AND(ISNUMBER(C165),ISNUMBER($J$6),$J$6&gt;0),(C165-$J$5)/$J$6,"")</x:f>
      </x:c>
      <x:c r="G165" s="1" t="str">
        <x:f>IF(ISNUMBER(F165),IF(ABS(F165)&gt;3,1,0),"")</x:f>
      </x:c>
      <x:c r="H165" s="1" t="str">
        <x:f>IF(ISNUMBER(F165),F165^4,"")</x:f>
      </x:c>
      <x:c r="I165" s="1"/>
      <x:c r="J165" s="1"/>
      <x:c r="K165" s="1"/>
      <x:c r="L165" s="1"/>
      <x:c r="M165" s="1"/>
      <x:c r="N165" s="1"/>
    </x:row>
    <x:row r="166" ht="22" customHeight="1">
      <x:c r="A166" s="14"/>
      <x:c r="B166" s="15"/>
      <x:c r="C166" s="16" t="str">
        <x:f>IF(AND(ISNUMBER(B166),ISNUMBER(B165),B166&gt;0,B165&gt;0),LN(B166/B165),"")</x:f>
      </x:c>
      <x:c r="D166" s="16" t="str">
        <x:f>IF(ISNUMBER(C166),ABS(C166),"")</x:f>
      </x:c>
      <x:c r="E166" s="16" t="str">
        <x:f>IF(ISNUMBER(C166),C166^2,"")</x:f>
      </x:c>
      <x:c r="F166" s="16" t="str">
        <x:f>IF(AND(ISNUMBER(C166),ISNUMBER($J$6),$J$6&gt;0),(C166-$J$5)/$J$6,"")</x:f>
      </x:c>
      <x:c r="G166" s="1" t="str">
        <x:f>IF(ISNUMBER(F166),IF(ABS(F166)&gt;3,1,0),"")</x:f>
      </x:c>
      <x:c r="H166" s="1" t="str">
        <x:f>IF(ISNUMBER(F166),F166^4,"")</x:f>
      </x:c>
      <x:c r="I166" s="1"/>
      <x:c r="J166" s="1"/>
      <x:c r="K166" s="1"/>
      <x:c r="L166" s="1"/>
      <x:c r="M166" s="1"/>
      <x:c r="N166" s="1"/>
    </x:row>
    <x:row r="167" ht="22" customHeight="1">
      <x:c r="A167" s="14"/>
      <x:c r="B167" s="15"/>
      <x:c r="C167" s="16" t="str">
        <x:f>IF(AND(ISNUMBER(B167),ISNUMBER(B166),B167&gt;0,B166&gt;0),LN(B167/B166),"")</x:f>
      </x:c>
      <x:c r="D167" s="16" t="str">
        <x:f>IF(ISNUMBER(C167),ABS(C167),"")</x:f>
      </x:c>
      <x:c r="E167" s="16" t="str">
        <x:f>IF(ISNUMBER(C167),C167^2,"")</x:f>
      </x:c>
      <x:c r="F167" s="16" t="str">
        <x:f>IF(AND(ISNUMBER(C167),ISNUMBER($J$6),$J$6&gt;0),(C167-$J$5)/$J$6,"")</x:f>
      </x:c>
      <x:c r="G167" s="1" t="str">
        <x:f>IF(ISNUMBER(F167),IF(ABS(F167)&gt;3,1,0),"")</x:f>
      </x:c>
      <x:c r="H167" s="1" t="str">
        <x:f>IF(ISNUMBER(F167),F167^4,"")</x:f>
      </x:c>
      <x:c r="I167" s="1"/>
      <x:c r="J167" s="1"/>
      <x:c r="K167" s="1"/>
      <x:c r="L167" s="1"/>
      <x:c r="M167" s="1"/>
      <x:c r="N167" s="1"/>
    </x:row>
    <x:row r="168" ht="22" customHeight="1">
      <x:c r="A168" s="14"/>
      <x:c r="B168" s="15"/>
      <x:c r="C168" s="16" t="str">
        <x:f>IF(AND(ISNUMBER(B168),ISNUMBER(B167),B168&gt;0,B167&gt;0),LN(B168/B167),"")</x:f>
      </x:c>
      <x:c r="D168" s="16" t="str">
        <x:f>IF(ISNUMBER(C168),ABS(C168),"")</x:f>
      </x:c>
      <x:c r="E168" s="16" t="str">
        <x:f>IF(ISNUMBER(C168),C168^2,"")</x:f>
      </x:c>
      <x:c r="F168" s="16" t="str">
        <x:f>IF(AND(ISNUMBER(C168),ISNUMBER($J$6),$J$6&gt;0),(C168-$J$5)/$J$6,"")</x:f>
      </x:c>
      <x:c r="G168" s="1" t="str">
        <x:f>IF(ISNUMBER(F168),IF(ABS(F168)&gt;3,1,0),"")</x:f>
      </x:c>
      <x:c r="H168" s="1" t="str">
        <x:f>IF(ISNUMBER(F168),F168^4,"")</x:f>
      </x:c>
      <x:c r="I168" s="1"/>
      <x:c r="J168" s="1"/>
      <x:c r="K168" s="1"/>
      <x:c r="L168" s="1"/>
      <x:c r="M168" s="1"/>
      <x:c r="N168" s="1"/>
    </x:row>
    <x:row r="169" ht="22" customHeight="1">
      <x:c r="A169" s="14"/>
      <x:c r="B169" s="15"/>
      <x:c r="C169" s="16" t="str">
        <x:f>IF(AND(ISNUMBER(B169),ISNUMBER(B168),B169&gt;0,B168&gt;0),LN(B169/B168),"")</x:f>
      </x:c>
      <x:c r="D169" s="16" t="str">
        <x:f>IF(ISNUMBER(C169),ABS(C169),"")</x:f>
      </x:c>
      <x:c r="E169" s="16" t="str">
        <x:f>IF(ISNUMBER(C169),C169^2,"")</x:f>
      </x:c>
      <x:c r="F169" s="16" t="str">
        <x:f>IF(AND(ISNUMBER(C169),ISNUMBER($J$6),$J$6&gt;0),(C169-$J$5)/$J$6,"")</x:f>
      </x:c>
      <x:c r="G169" s="1" t="str">
        <x:f>IF(ISNUMBER(F169),IF(ABS(F169)&gt;3,1,0),"")</x:f>
      </x:c>
      <x:c r="H169" s="1" t="str">
        <x:f>IF(ISNUMBER(F169),F169^4,"")</x:f>
      </x:c>
      <x:c r="I169" s="1"/>
      <x:c r="J169" s="1"/>
      <x:c r="K169" s="1"/>
      <x:c r="L169" s="1"/>
      <x:c r="M169" s="1"/>
      <x:c r="N169" s="1"/>
    </x:row>
    <x:row r="170" ht="22" customHeight="1">
      <x:c r="A170" s="14"/>
      <x:c r="B170" s="15"/>
      <x:c r="C170" s="16" t="str">
        <x:f>IF(AND(ISNUMBER(B170),ISNUMBER(B169),B170&gt;0,B169&gt;0),LN(B170/B169),"")</x:f>
      </x:c>
      <x:c r="D170" s="16" t="str">
        <x:f>IF(ISNUMBER(C170),ABS(C170),"")</x:f>
      </x:c>
      <x:c r="E170" s="16" t="str">
        <x:f>IF(ISNUMBER(C170),C170^2,"")</x:f>
      </x:c>
      <x:c r="F170" s="16" t="str">
        <x:f>IF(AND(ISNUMBER(C170),ISNUMBER($J$6),$J$6&gt;0),(C170-$J$5)/$J$6,"")</x:f>
      </x:c>
      <x:c r="G170" s="1" t="str">
        <x:f>IF(ISNUMBER(F170),IF(ABS(F170)&gt;3,1,0),"")</x:f>
      </x:c>
      <x:c r="H170" s="1" t="str">
        <x:f>IF(ISNUMBER(F170),F170^4,"")</x:f>
      </x:c>
      <x:c r="I170" s="1"/>
      <x:c r="J170" s="1"/>
      <x:c r="K170" s="1"/>
      <x:c r="L170" s="1"/>
      <x:c r="M170" s="1"/>
      <x:c r="N170" s="1"/>
    </x:row>
    <x:row r="171" ht="22" customHeight="1">
      <x:c r="A171" s="14"/>
      <x:c r="B171" s="15"/>
      <x:c r="C171" s="16" t="str">
        <x:f>IF(AND(ISNUMBER(B171),ISNUMBER(B170),B171&gt;0,B170&gt;0),LN(B171/B170),"")</x:f>
      </x:c>
      <x:c r="D171" s="16" t="str">
        <x:f>IF(ISNUMBER(C171),ABS(C171),"")</x:f>
      </x:c>
      <x:c r="E171" s="16" t="str">
        <x:f>IF(ISNUMBER(C171),C171^2,"")</x:f>
      </x:c>
      <x:c r="F171" s="16" t="str">
        <x:f>IF(AND(ISNUMBER(C171),ISNUMBER($J$6),$J$6&gt;0),(C171-$J$5)/$J$6,"")</x:f>
      </x:c>
      <x:c r="G171" s="1" t="str">
        <x:f>IF(ISNUMBER(F171),IF(ABS(F171)&gt;3,1,0),"")</x:f>
      </x:c>
      <x:c r="H171" s="1" t="str">
        <x:f>IF(ISNUMBER(F171),F171^4,"")</x:f>
      </x:c>
      <x:c r="I171" s="1"/>
      <x:c r="J171" s="1"/>
      <x:c r="K171" s="1"/>
      <x:c r="L171" s="1"/>
      <x:c r="M171" s="1"/>
      <x:c r="N171" s="1"/>
    </x:row>
    <x:row r="172" ht="22" customHeight="1">
      <x:c r="A172" s="14"/>
      <x:c r="B172" s="15"/>
      <x:c r="C172" s="16" t="str">
        <x:f>IF(AND(ISNUMBER(B172),ISNUMBER(B171),B172&gt;0,B171&gt;0),LN(B172/B171),"")</x:f>
      </x:c>
      <x:c r="D172" s="16" t="str">
        <x:f>IF(ISNUMBER(C172),ABS(C172),"")</x:f>
      </x:c>
      <x:c r="E172" s="16" t="str">
        <x:f>IF(ISNUMBER(C172),C172^2,"")</x:f>
      </x:c>
      <x:c r="F172" s="16" t="str">
        <x:f>IF(AND(ISNUMBER(C172),ISNUMBER($J$6),$J$6&gt;0),(C172-$J$5)/$J$6,"")</x:f>
      </x:c>
      <x:c r="G172" s="1" t="str">
        <x:f>IF(ISNUMBER(F172),IF(ABS(F172)&gt;3,1,0),"")</x:f>
      </x:c>
      <x:c r="H172" s="1" t="str">
        <x:f>IF(ISNUMBER(F172),F172^4,"")</x:f>
      </x:c>
      <x:c r="I172" s="1"/>
      <x:c r="J172" s="1"/>
      <x:c r="K172" s="1"/>
      <x:c r="L172" s="1"/>
      <x:c r="M172" s="1"/>
      <x:c r="N172" s="1"/>
    </x:row>
    <x:row r="173" ht="22" customHeight="1">
      <x:c r="A173" s="14"/>
      <x:c r="B173" s="15"/>
      <x:c r="C173" s="16" t="str">
        <x:f>IF(AND(ISNUMBER(B173),ISNUMBER(B172),B173&gt;0,B172&gt;0),LN(B173/B172),"")</x:f>
      </x:c>
      <x:c r="D173" s="16" t="str">
        <x:f>IF(ISNUMBER(C173),ABS(C173),"")</x:f>
      </x:c>
      <x:c r="E173" s="16" t="str">
        <x:f>IF(ISNUMBER(C173),C173^2,"")</x:f>
      </x:c>
      <x:c r="F173" s="16" t="str">
        <x:f>IF(AND(ISNUMBER(C173),ISNUMBER($J$6),$J$6&gt;0),(C173-$J$5)/$J$6,"")</x:f>
      </x:c>
      <x:c r="G173" s="1" t="str">
        <x:f>IF(ISNUMBER(F173),IF(ABS(F173)&gt;3,1,0),"")</x:f>
      </x:c>
      <x:c r="H173" s="1" t="str">
        <x:f>IF(ISNUMBER(F173),F173^4,"")</x:f>
      </x:c>
      <x:c r="I173" s="1"/>
      <x:c r="J173" s="1"/>
      <x:c r="K173" s="1"/>
      <x:c r="L173" s="1"/>
      <x:c r="M173" s="1"/>
      <x:c r="N173" s="1"/>
    </x:row>
    <x:row r="174" ht="22" customHeight="1">
      <x:c r="A174" s="14"/>
      <x:c r="B174" s="15"/>
      <x:c r="C174" s="16" t="str">
        <x:f>IF(AND(ISNUMBER(B174),ISNUMBER(B173),B174&gt;0,B173&gt;0),LN(B174/B173),"")</x:f>
      </x:c>
      <x:c r="D174" s="16" t="str">
        <x:f>IF(ISNUMBER(C174),ABS(C174),"")</x:f>
      </x:c>
      <x:c r="E174" s="16" t="str">
        <x:f>IF(ISNUMBER(C174),C174^2,"")</x:f>
      </x:c>
      <x:c r="F174" s="16" t="str">
        <x:f>IF(AND(ISNUMBER(C174),ISNUMBER($J$6),$J$6&gt;0),(C174-$J$5)/$J$6,"")</x:f>
      </x:c>
      <x:c r="G174" s="1" t="str">
        <x:f>IF(ISNUMBER(F174),IF(ABS(F174)&gt;3,1,0),"")</x:f>
      </x:c>
      <x:c r="H174" s="1" t="str">
        <x:f>IF(ISNUMBER(F174),F174^4,"")</x:f>
      </x:c>
      <x:c r="I174" s="1"/>
      <x:c r="J174" s="1"/>
      <x:c r="K174" s="1"/>
      <x:c r="L174" s="1"/>
      <x:c r="M174" s="1"/>
      <x:c r="N174" s="1"/>
    </x:row>
    <x:row r="175" ht="22" customHeight="1">
      <x:c r="A175" s="14"/>
      <x:c r="B175" s="15"/>
      <x:c r="C175" s="16" t="str">
        <x:f>IF(AND(ISNUMBER(B175),ISNUMBER(B174),B175&gt;0,B174&gt;0),LN(B175/B174),"")</x:f>
      </x:c>
      <x:c r="D175" s="16" t="str">
        <x:f>IF(ISNUMBER(C175),ABS(C175),"")</x:f>
      </x:c>
      <x:c r="E175" s="16" t="str">
        <x:f>IF(ISNUMBER(C175),C175^2,"")</x:f>
      </x:c>
      <x:c r="F175" s="16" t="str">
        <x:f>IF(AND(ISNUMBER(C175),ISNUMBER($J$6),$J$6&gt;0),(C175-$J$5)/$J$6,"")</x:f>
      </x:c>
      <x:c r="G175" s="1" t="str">
        <x:f>IF(ISNUMBER(F175),IF(ABS(F175)&gt;3,1,0),"")</x:f>
      </x:c>
      <x:c r="H175" s="1" t="str">
        <x:f>IF(ISNUMBER(F175),F175^4,"")</x:f>
      </x:c>
      <x:c r="I175" s="1"/>
      <x:c r="J175" s="1"/>
      <x:c r="K175" s="1"/>
      <x:c r="L175" s="1"/>
      <x:c r="M175" s="1"/>
      <x:c r="N175" s="1"/>
    </x:row>
    <x:row r="176" ht="22" customHeight="1">
      <x:c r="A176" s="14"/>
      <x:c r="B176" s="15"/>
      <x:c r="C176" s="16" t="str">
        <x:f>IF(AND(ISNUMBER(B176),ISNUMBER(B175),B176&gt;0,B175&gt;0),LN(B176/B175),"")</x:f>
      </x:c>
      <x:c r="D176" s="16" t="str">
        <x:f>IF(ISNUMBER(C176),ABS(C176),"")</x:f>
      </x:c>
      <x:c r="E176" s="16" t="str">
        <x:f>IF(ISNUMBER(C176),C176^2,"")</x:f>
      </x:c>
      <x:c r="F176" s="16" t="str">
        <x:f>IF(AND(ISNUMBER(C176),ISNUMBER($J$6),$J$6&gt;0),(C176-$J$5)/$J$6,"")</x:f>
      </x:c>
      <x:c r="G176" s="1" t="str">
        <x:f>IF(ISNUMBER(F176),IF(ABS(F176)&gt;3,1,0),"")</x:f>
      </x:c>
      <x:c r="H176" s="1" t="str">
        <x:f>IF(ISNUMBER(F176),F176^4,"")</x:f>
      </x:c>
      <x:c r="I176" s="1"/>
      <x:c r="J176" s="1"/>
      <x:c r="K176" s="1"/>
      <x:c r="L176" s="1"/>
      <x:c r="M176" s="1"/>
      <x:c r="N176" s="1"/>
    </x:row>
    <x:row r="177" ht="22" customHeight="1">
      <x:c r="A177" s="14"/>
      <x:c r="B177" s="15"/>
      <x:c r="C177" s="16" t="str">
        <x:f>IF(AND(ISNUMBER(B177),ISNUMBER(B176),B177&gt;0,B176&gt;0),LN(B177/B176),"")</x:f>
      </x:c>
      <x:c r="D177" s="16" t="str">
        <x:f>IF(ISNUMBER(C177),ABS(C177),"")</x:f>
      </x:c>
      <x:c r="E177" s="16" t="str">
        <x:f>IF(ISNUMBER(C177),C177^2,"")</x:f>
      </x:c>
      <x:c r="F177" s="16" t="str">
        <x:f>IF(AND(ISNUMBER(C177),ISNUMBER($J$6),$J$6&gt;0),(C177-$J$5)/$J$6,"")</x:f>
      </x:c>
      <x:c r="G177" s="1" t="str">
        <x:f>IF(ISNUMBER(F177),IF(ABS(F177)&gt;3,1,0),"")</x:f>
      </x:c>
      <x:c r="H177" s="1" t="str">
        <x:f>IF(ISNUMBER(F177),F177^4,"")</x:f>
      </x:c>
      <x:c r="I177" s="1"/>
      <x:c r="J177" s="1"/>
      <x:c r="K177" s="1"/>
      <x:c r="L177" s="1"/>
      <x:c r="M177" s="1"/>
      <x:c r="N177" s="1"/>
    </x:row>
    <x:row r="178" ht="22" customHeight="1">
      <x:c r="A178" s="14"/>
      <x:c r="B178" s="15"/>
      <x:c r="C178" s="16" t="str">
        <x:f>IF(AND(ISNUMBER(B178),ISNUMBER(B177),B178&gt;0,B177&gt;0),LN(B178/B177),"")</x:f>
      </x:c>
      <x:c r="D178" s="16" t="str">
        <x:f>IF(ISNUMBER(C178),ABS(C178),"")</x:f>
      </x:c>
      <x:c r="E178" s="16" t="str">
        <x:f>IF(ISNUMBER(C178),C178^2,"")</x:f>
      </x:c>
      <x:c r="F178" s="16" t="str">
        <x:f>IF(AND(ISNUMBER(C178),ISNUMBER($J$6),$J$6&gt;0),(C178-$J$5)/$J$6,"")</x:f>
      </x:c>
      <x:c r="G178" s="1" t="str">
        <x:f>IF(ISNUMBER(F178),IF(ABS(F178)&gt;3,1,0),"")</x:f>
      </x:c>
      <x:c r="H178" s="1" t="str">
        <x:f>IF(ISNUMBER(F178),F178^4,"")</x:f>
      </x:c>
      <x:c r="I178" s="1"/>
      <x:c r="J178" s="1"/>
      <x:c r="K178" s="1"/>
      <x:c r="L178" s="1"/>
      <x:c r="M178" s="1"/>
      <x:c r="N178" s="1"/>
    </x:row>
    <x:row r="179" ht="22" customHeight="1">
      <x:c r="A179" s="14"/>
      <x:c r="B179" s="15"/>
      <x:c r="C179" s="16" t="str">
        <x:f>IF(AND(ISNUMBER(B179),ISNUMBER(B178),B179&gt;0,B178&gt;0),LN(B179/B178),"")</x:f>
      </x:c>
      <x:c r="D179" s="16" t="str">
        <x:f>IF(ISNUMBER(C179),ABS(C179),"")</x:f>
      </x:c>
      <x:c r="E179" s="16" t="str">
        <x:f>IF(ISNUMBER(C179),C179^2,"")</x:f>
      </x:c>
      <x:c r="F179" s="16" t="str">
        <x:f>IF(AND(ISNUMBER(C179),ISNUMBER($J$6),$J$6&gt;0),(C179-$J$5)/$J$6,"")</x:f>
      </x:c>
      <x:c r="G179" s="1" t="str">
        <x:f>IF(ISNUMBER(F179),IF(ABS(F179)&gt;3,1,0),"")</x:f>
      </x:c>
      <x:c r="H179" s="1" t="str">
        <x:f>IF(ISNUMBER(F179),F179^4,"")</x:f>
      </x:c>
      <x:c r="I179" s="1"/>
      <x:c r="J179" s="1"/>
      <x:c r="K179" s="1"/>
      <x:c r="L179" s="1"/>
      <x:c r="M179" s="1"/>
      <x:c r="N179" s="1"/>
    </x:row>
    <x:row r="180" ht="22" customHeight="1">
      <x:c r="A180" s="14"/>
      <x:c r="B180" s="15"/>
      <x:c r="C180" s="16" t="str">
        <x:f>IF(AND(ISNUMBER(B180),ISNUMBER(B179),B180&gt;0,B179&gt;0),LN(B180/B179),"")</x:f>
      </x:c>
      <x:c r="D180" s="16" t="str">
        <x:f>IF(ISNUMBER(C180),ABS(C180),"")</x:f>
      </x:c>
      <x:c r="E180" s="16" t="str">
        <x:f>IF(ISNUMBER(C180),C180^2,"")</x:f>
      </x:c>
      <x:c r="F180" s="16" t="str">
        <x:f>IF(AND(ISNUMBER(C180),ISNUMBER($J$6),$J$6&gt;0),(C180-$J$5)/$J$6,"")</x:f>
      </x:c>
      <x:c r="G180" s="1" t="str">
        <x:f>IF(ISNUMBER(F180),IF(ABS(F180)&gt;3,1,0),"")</x:f>
      </x:c>
      <x:c r="H180" s="1" t="str">
        <x:f>IF(ISNUMBER(F180),F180^4,"")</x:f>
      </x:c>
      <x:c r="I180" s="1"/>
      <x:c r="J180" s="1"/>
      <x:c r="K180" s="1"/>
      <x:c r="L180" s="1"/>
      <x:c r="M180" s="1"/>
      <x:c r="N180" s="1"/>
    </x:row>
    <x:row r="181" ht="22" customHeight="1">
      <x:c r="A181" s="14"/>
      <x:c r="B181" s="15"/>
      <x:c r="C181" s="16" t="str">
        <x:f>IF(AND(ISNUMBER(B181),ISNUMBER(B180),B181&gt;0,B180&gt;0),LN(B181/B180),"")</x:f>
      </x:c>
      <x:c r="D181" s="16" t="str">
        <x:f>IF(ISNUMBER(C181),ABS(C181),"")</x:f>
      </x:c>
      <x:c r="E181" s="16" t="str">
        <x:f>IF(ISNUMBER(C181),C181^2,"")</x:f>
      </x:c>
      <x:c r="F181" s="16" t="str">
        <x:f>IF(AND(ISNUMBER(C181),ISNUMBER($J$6),$J$6&gt;0),(C181-$J$5)/$J$6,"")</x:f>
      </x:c>
      <x:c r="G181" s="1" t="str">
        <x:f>IF(ISNUMBER(F181),IF(ABS(F181)&gt;3,1,0),"")</x:f>
      </x:c>
      <x:c r="H181" s="1" t="str">
        <x:f>IF(ISNUMBER(F181),F181^4,"")</x:f>
      </x:c>
      <x:c r="I181" s="1"/>
      <x:c r="J181" s="1"/>
      <x:c r="K181" s="1"/>
      <x:c r="L181" s="1"/>
      <x:c r="M181" s="1"/>
      <x:c r="N181" s="1"/>
    </x:row>
    <x:row r="182" ht="22" customHeight="1">
      <x:c r="A182" s="14"/>
      <x:c r="B182" s="15"/>
      <x:c r="C182" s="16" t="str">
        <x:f>IF(AND(ISNUMBER(B182),ISNUMBER(B181),B182&gt;0,B181&gt;0),LN(B182/B181),"")</x:f>
      </x:c>
      <x:c r="D182" s="16" t="str">
        <x:f>IF(ISNUMBER(C182),ABS(C182),"")</x:f>
      </x:c>
      <x:c r="E182" s="16" t="str">
        <x:f>IF(ISNUMBER(C182),C182^2,"")</x:f>
      </x:c>
      <x:c r="F182" s="16" t="str">
        <x:f>IF(AND(ISNUMBER(C182),ISNUMBER($J$6),$J$6&gt;0),(C182-$J$5)/$J$6,"")</x:f>
      </x:c>
      <x:c r="G182" s="1" t="str">
        <x:f>IF(ISNUMBER(F182),IF(ABS(F182)&gt;3,1,0),"")</x:f>
      </x:c>
      <x:c r="H182" s="1" t="str">
        <x:f>IF(ISNUMBER(F182),F182^4,"")</x:f>
      </x:c>
      <x:c r="I182" s="1"/>
      <x:c r="J182" s="1"/>
      <x:c r="K182" s="1"/>
      <x:c r="L182" s="1"/>
      <x:c r="M182" s="1"/>
      <x:c r="N182" s="1"/>
    </x:row>
    <x:row r="183" ht="22" customHeight="1">
      <x:c r="A183" s="14"/>
      <x:c r="B183" s="15"/>
      <x:c r="C183" s="16" t="str">
        <x:f>IF(AND(ISNUMBER(B183),ISNUMBER(B182),B183&gt;0,B182&gt;0),LN(B183/B182),"")</x:f>
      </x:c>
      <x:c r="D183" s="16" t="str">
        <x:f>IF(ISNUMBER(C183),ABS(C183),"")</x:f>
      </x:c>
      <x:c r="E183" s="16" t="str">
        <x:f>IF(ISNUMBER(C183),C183^2,"")</x:f>
      </x:c>
      <x:c r="F183" s="16" t="str">
        <x:f>IF(AND(ISNUMBER(C183),ISNUMBER($J$6),$J$6&gt;0),(C183-$J$5)/$J$6,"")</x:f>
      </x:c>
      <x:c r="G183" s="1" t="str">
        <x:f>IF(ISNUMBER(F183),IF(ABS(F183)&gt;3,1,0),"")</x:f>
      </x:c>
      <x:c r="H183" s="1" t="str">
        <x:f>IF(ISNUMBER(F183),F183^4,"")</x:f>
      </x:c>
      <x:c r="I183" s="1"/>
      <x:c r="J183" s="1"/>
      <x:c r="K183" s="1"/>
      <x:c r="L183" s="1"/>
      <x:c r="M183" s="1"/>
      <x:c r="N183" s="1"/>
    </x:row>
    <x:row r="184" ht="22" customHeight="1">
      <x:c r="A184" s="14"/>
      <x:c r="B184" s="15"/>
      <x:c r="C184" s="16" t="str">
        <x:f>IF(AND(ISNUMBER(B184),ISNUMBER(B183),B184&gt;0,B183&gt;0),LN(B184/B183),"")</x:f>
      </x:c>
      <x:c r="D184" s="16" t="str">
        <x:f>IF(ISNUMBER(C184),ABS(C184),"")</x:f>
      </x:c>
      <x:c r="E184" s="16" t="str">
        <x:f>IF(ISNUMBER(C184),C184^2,"")</x:f>
      </x:c>
      <x:c r="F184" s="16" t="str">
        <x:f>IF(AND(ISNUMBER(C184),ISNUMBER($J$6),$J$6&gt;0),(C184-$J$5)/$J$6,"")</x:f>
      </x:c>
      <x:c r="G184" s="1" t="str">
        <x:f>IF(ISNUMBER(F184),IF(ABS(F184)&gt;3,1,0),"")</x:f>
      </x:c>
      <x:c r="H184" s="1" t="str">
        <x:f>IF(ISNUMBER(F184),F184^4,"")</x:f>
      </x:c>
      <x:c r="I184" s="1"/>
      <x:c r="J184" s="1"/>
      <x:c r="K184" s="1"/>
      <x:c r="L184" s="1"/>
      <x:c r="M184" s="1"/>
      <x:c r="N184" s="1"/>
    </x:row>
    <x:row r="185" ht="22" customHeight="1">
      <x:c r="A185" s="14"/>
      <x:c r="B185" s="15"/>
      <x:c r="C185" s="16" t="str">
        <x:f>IF(AND(ISNUMBER(B185),ISNUMBER(B184),B185&gt;0,B184&gt;0),LN(B185/B184),"")</x:f>
      </x:c>
      <x:c r="D185" s="16" t="str">
        <x:f>IF(ISNUMBER(C185),ABS(C185),"")</x:f>
      </x:c>
      <x:c r="E185" s="16" t="str">
        <x:f>IF(ISNUMBER(C185),C185^2,"")</x:f>
      </x:c>
      <x:c r="F185" s="16" t="str">
        <x:f>IF(AND(ISNUMBER(C185),ISNUMBER($J$6),$J$6&gt;0),(C185-$J$5)/$J$6,"")</x:f>
      </x:c>
      <x:c r="G185" s="1" t="str">
        <x:f>IF(ISNUMBER(F185),IF(ABS(F185)&gt;3,1,0),"")</x:f>
      </x:c>
      <x:c r="H185" s="1" t="str">
        <x:f>IF(ISNUMBER(F185),F185^4,"")</x:f>
      </x:c>
      <x:c r="I185" s="1"/>
      <x:c r="J185" s="1"/>
      <x:c r="K185" s="1"/>
      <x:c r="L185" s="1"/>
      <x:c r="M185" s="1"/>
      <x:c r="N185" s="1"/>
    </x:row>
    <x:row r="186" ht="22" customHeight="1">
      <x:c r="A186" s="14"/>
      <x:c r="B186" s="15"/>
      <x:c r="C186" s="16" t="str">
        <x:f>IF(AND(ISNUMBER(B186),ISNUMBER(B185),B186&gt;0,B185&gt;0),LN(B186/B185),"")</x:f>
      </x:c>
      <x:c r="D186" s="16" t="str">
        <x:f>IF(ISNUMBER(C186),ABS(C186),"")</x:f>
      </x:c>
      <x:c r="E186" s="16" t="str">
        <x:f>IF(ISNUMBER(C186),C186^2,"")</x:f>
      </x:c>
      <x:c r="F186" s="16" t="str">
        <x:f>IF(AND(ISNUMBER(C186),ISNUMBER($J$6),$J$6&gt;0),(C186-$J$5)/$J$6,"")</x:f>
      </x:c>
      <x:c r="G186" s="1" t="str">
        <x:f>IF(ISNUMBER(F186),IF(ABS(F186)&gt;3,1,0),"")</x:f>
      </x:c>
      <x:c r="H186" s="1" t="str">
        <x:f>IF(ISNUMBER(F186),F186^4,"")</x:f>
      </x:c>
      <x:c r="I186" s="1"/>
      <x:c r="J186" s="1"/>
      <x:c r="K186" s="1"/>
      <x:c r="L186" s="1"/>
      <x:c r="M186" s="1"/>
      <x:c r="N186" s="1"/>
    </x:row>
    <x:row r="187" ht="22" customHeight="1">
      <x:c r="A187" s="14"/>
      <x:c r="B187" s="15"/>
      <x:c r="C187" s="16" t="str">
        <x:f>IF(AND(ISNUMBER(B187),ISNUMBER(B186),B187&gt;0,B186&gt;0),LN(B187/B186),"")</x:f>
      </x:c>
      <x:c r="D187" s="16" t="str">
        <x:f>IF(ISNUMBER(C187),ABS(C187),"")</x:f>
      </x:c>
      <x:c r="E187" s="16" t="str">
        <x:f>IF(ISNUMBER(C187),C187^2,"")</x:f>
      </x:c>
      <x:c r="F187" s="16" t="str">
        <x:f>IF(AND(ISNUMBER(C187),ISNUMBER($J$6),$J$6&gt;0),(C187-$J$5)/$J$6,"")</x:f>
      </x:c>
      <x:c r="G187" s="1" t="str">
        <x:f>IF(ISNUMBER(F187),IF(ABS(F187)&gt;3,1,0),"")</x:f>
      </x:c>
      <x:c r="H187" s="1" t="str">
        <x:f>IF(ISNUMBER(F187),F187^4,"")</x:f>
      </x:c>
      <x:c r="I187" s="1"/>
      <x:c r="J187" s="1"/>
      <x:c r="K187" s="1"/>
      <x:c r="L187" s="1"/>
      <x:c r="M187" s="1"/>
      <x:c r="N187" s="1"/>
    </x:row>
    <x:row r="188" ht="22" customHeight="1">
      <x:c r="A188" s="14"/>
      <x:c r="B188" s="15"/>
      <x:c r="C188" s="16" t="str">
        <x:f>IF(AND(ISNUMBER(B188),ISNUMBER(B187),B188&gt;0,B187&gt;0),LN(B188/B187),"")</x:f>
      </x:c>
      <x:c r="D188" s="16" t="str">
        <x:f>IF(ISNUMBER(C188),ABS(C188),"")</x:f>
      </x:c>
      <x:c r="E188" s="16" t="str">
        <x:f>IF(ISNUMBER(C188),C188^2,"")</x:f>
      </x:c>
      <x:c r="F188" s="16" t="str">
        <x:f>IF(AND(ISNUMBER(C188),ISNUMBER($J$6),$J$6&gt;0),(C188-$J$5)/$J$6,"")</x:f>
      </x:c>
      <x:c r="G188" s="1" t="str">
        <x:f>IF(ISNUMBER(F188),IF(ABS(F188)&gt;3,1,0),"")</x:f>
      </x:c>
      <x:c r="H188" s="1" t="str">
        <x:f>IF(ISNUMBER(F188),F188^4,"")</x:f>
      </x:c>
      <x:c r="I188" s="1"/>
      <x:c r="J188" s="1"/>
      <x:c r="K188" s="1"/>
      <x:c r="L188" s="1"/>
      <x:c r="M188" s="1"/>
      <x:c r="N188" s="1"/>
    </x:row>
    <x:row r="189" ht="22" customHeight="1">
      <x:c r="A189" s="14"/>
      <x:c r="B189" s="15"/>
      <x:c r="C189" s="16" t="str">
        <x:f>IF(AND(ISNUMBER(B189),ISNUMBER(B188),B189&gt;0,B188&gt;0),LN(B189/B188),"")</x:f>
      </x:c>
      <x:c r="D189" s="16" t="str">
        <x:f>IF(ISNUMBER(C189),ABS(C189),"")</x:f>
      </x:c>
      <x:c r="E189" s="16" t="str">
        <x:f>IF(ISNUMBER(C189),C189^2,"")</x:f>
      </x:c>
      <x:c r="F189" s="16" t="str">
        <x:f>IF(AND(ISNUMBER(C189),ISNUMBER($J$6),$J$6&gt;0),(C189-$J$5)/$J$6,"")</x:f>
      </x:c>
      <x:c r="G189" s="1" t="str">
        <x:f>IF(ISNUMBER(F189),IF(ABS(F189)&gt;3,1,0),"")</x:f>
      </x:c>
      <x:c r="H189" s="1" t="str">
        <x:f>IF(ISNUMBER(F189),F189^4,"")</x:f>
      </x:c>
      <x:c r="I189" s="1"/>
      <x:c r="J189" s="1"/>
      <x:c r="K189" s="1"/>
      <x:c r="L189" s="1"/>
      <x:c r="M189" s="1"/>
      <x:c r="N189" s="1"/>
    </x:row>
    <x:row r="190" ht="22" customHeight="1">
      <x:c r="A190" s="14"/>
      <x:c r="B190" s="15"/>
      <x:c r="C190" s="16" t="str">
        <x:f>IF(AND(ISNUMBER(B190),ISNUMBER(B189),B190&gt;0,B189&gt;0),LN(B190/B189),"")</x:f>
      </x:c>
      <x:c r="D190" s="16" t="str">
        <x:f>IF(ISNUMBER(C190),ABS(C190),"")</x:f>
      </x:c>
      <x:c r="E190" s="16" t="str">
        <x:f>IF(ISNUMBER(C190),C190^2,"")</x:f>
      </x:c>
      <x:c r="F190" s="16" t="str">
        <x:f>IF(AND(ISNUMBER(C190),ISNUMBER($J$6),$J$6&gt;0),(C190-$J$5)/$J$6,"")</x:f>
      </x:c>
      <x:c r="G190" s="1" t="str">
        <x:f>IF(ISNUMBER(F190),IF(ABS(F190)&gt;3,1,0),"")</x:f>
      </x:c>
      <x:c r="H190" s="1" t="str">
        <x:f>IF(ISNUMBER(F190),F190^4,"")</x:f>
      </x:c>
      <x:c r="I190" s="1"/>
      <x:c r="J190" s="1"/>
      <x:c r="K190" s="1"/>
      <x:c r="L190" s="1"/>
      <x:c r="M190" s="1"/>
      <x:c r="N190" s="1"/>
    </x:row>
    <x:row r="191" ht="22" customHeight="1">
      <x:c r="A191" s="14"/>
      <x:c r="B191" s="15"/>
      <x:c r="C191" s="16" t="str">
        <x:f>IF(AND(ISNUMBER(B191),ISNUMBER(B190),B191&gt;0,B190&gt;0),LN(B191/B190),"")</x:f>
      </x:c>
      <x:c r="D191" s="16" t="str">
        <x:f>IF(ISNUMBER(C191),ABS(C191),"")</x:f>
      </x:c>
      <x:c r="E191" s="16" t="str">
        <x:f>IF(ISNUMBER(C191),C191^2,"")</x:f>
      </x:c>
      <x:c r="F191" s="16" t="str">
        <x:f>IF(AND(ISNUMBER(C191),ISNUMBER($J$6),$J$6&gt;0),(C191-$J$5)/$J$6,"")</x:f>
      </x:c>
      <x:c r="G191" s="1" t="str">
        <x:f>IF(ISNUMBER(F191),IF(ABS(F191)&gt;3,1,0),"")</x:f>
      </x:c>
      <x:c r="H191" s="1" t="str">
        <x:f>IF(ISNUMBER(F191),F191^4,"")</x:f>
      </x:c>
      <x:c r="I191" s="1"/>
      <x:c r="J191" s="1"/>
      <x:c r="K191" s="1"/>
      <x:c r="L191" s="1"/>
      <x:c r="M191" s="1"/>
      <x:c r="N191" s="1"/>
    </x:row>
    <x:row r="192" ht="22" customHeight="1">
      <x:c r="A192" s="14"/>
      <x:c r="B192" s="15"/>
      <x:c r="C192" s="16" t="str">
        <x:f>IF(AND(ISNUMBER(B192),ISNUMBER(B191),B192&gt;0,B191&gt;0),LN(B192/B191),"")</x:f>
      </x:c>
      <x:c r="D192" s="16" t="str">
        <x:f>IF(ISNUMBER(C192),ABS(C192),"")</x:f>
      </x:c>
      <x:c r="E192" s="16" t="str">
        <x:f>IF(ISNUMBER(C192),C192^2,"")</x:f>
      </x:c>
      <x:c r="F192" s="16" t="str">
        <x:f>IF(AND(ISNUMBER(C192),ISNUMBER($J$6),$J$6&gt;0),(C192-$J$5)/$J$6,"")</x:f>
      </x:c>
      <x:c r="G192" s="1" t="str">
        <x:f>IF(ISNUMBER(F192),IF(ABS(F192)&gt;3,1,0),"")</x:f>
      </x:c>
      <x:c r="H192" s="1" t="str">
        <x:f>IF(ISNUMBER(F192),F192^4,"")</x:f>
      </x:c>
      <x:c r="I192" s="1"/>
      <x:c r="J192" s="1"/>
      <x:c r="K192" s="1"/>
      <x:c r="L192" s="1"/>
      <x:c r="M192" s="1"/>
      <x:c r="N192" s="1"/>
    </x:row>
    <x:row r="193" ht="22" customHeight="1">
      <x:c r="A193" s="14"/>
      <x:c r="B193" s="15"/>
      <x:c r="C193" s="16" t="str">
        <x:f>IF(AND(ISNUMBER(B193),ISNUMBER(B192),B193&gt;0,B192&gt;0),LN(B193/B192),"")</x:f>
      </x:c>
      <x:c r="D193" s="16" t="str">
        <x:f>IF(ISNUMBER(C193),ABS(C193),"")</x:f>
      </x:c>
      <x:c r="E193" s="16" t="str">
        <x:f>IF(ISNUMBER(C193),C193^2,"")</x:f>
      </x:c>
      <x:c r="F193" s="16" t="str">
        <x:f>IF(AND(ISNUMBER(C193),ISNUMBER($J$6),$J$6&gt;0),(C193-$J$5)/$J$6,"")</x:f>
      </x:c>
      <x:c r="G193" s="1" t="str">
        <x:f>IF(ISNUMBER(F193),IF(ABS(F193)&gt;3,1,0),"")</x:f>
      </x:c>
      <x:c r="H193" s="1" t="str">
        <x:f>IF(ISNUMBER(F193),F193^4,"")</x:f>
      </x:c>
      <x:c r="I193" s="1"/>
      <x:c r="J193" s="1"/>
      <x:c r="K193" s="1"/>
      <x:c r="L193" s="1"/>
      <x:c r="M193" s="1"/>
      <x:c r="N193" s="1"/>
    </x:row>
    <x:row r="194" ht="22" customHeight="1">
      <x:c r="A194" s="14"/>
      <x:c r="B194" s="15"/>
      <x:c r="C194" s="16" t="str">
        <x:f>IF(AND(ISNUMBER(B194),ISNUMBER(B193),B194&gt;0,B193&gt;0),LN(B194/B193),"")</x:f>
      </x:c>
      <x:c r="D194" s="16" t="str">
        <x:f>IF(ISNUMBER(C194),ABS(C194),"")</x:f>
      </x:c>
      <x:c r="E194" s="16" t="str">
        <x:f>IF(ISNUMBER(C194),C194^2,"")</x:f>
      </x:c>
      <x:c r="F194" s="16" t="str">
        <x:f>IF(AND(ISNUMBER(C194),ISNUMBER($J$6),$J$6&gt;0),(C194-$J$5)/$J$6,"")</x:f>
      </x:c>
      <x:c r="G194" s="1" t="str">
        <x:f>IF(ISNUMBER(F194),IF(ABS(F194)&gt;3,1,0),"")</x:f>
      </x:c>
      <x:c r="H194" s="1" t="str">
        <x:f>IF(ISNUMBER(F194),F194^4,"")</x:f>
      </x:c>
      <x:c r="I194" s="1"/>
      <x:c r="J194" s="1"/>
      <x:c r="K194" s="1"/>
      <x:c r="L194" s="1"/>
      <x:c r="M194" s="1"/>
      <x:c r="N194" s="1"/>
    </x:row>
    <x:row r="195" ht="22" customHeight="1">
      <x:c r="A195" s="14"/>
      <x:c r="B195" s="15"/>
      <x:c r="C195" s="16" t="str">
        <x:f>IF(AND(ISNUMBER(B195),ISNUMBER(B194),B195&gt;0,B194&gt;0),LN(B195/B194),"")</x:f>
      </x:c>
      <x:c r="D195" s="16" t="str">
        <x:f>IF(ISNUMBER(C195),ABS(C195),"")</x:f>
      </x:c>
      <x:c r="E195" s="16" t="str">
        <x:f>IF(ISNUMBER(C195),C195^2,"")</x:f>
      </x:c>
      <x:c r="F195" s="16" t="str">
        <x:f>IF(AND(ISNUMBER(C195),ISNUMBER($J$6),$J$6&gt;0),(C195-$J$5)/$J$6,"")</x:f>
      </x:c>
      <x:c r="G195" s="1" t="str">
        <x:f>IF(ISNUMBER(F195),IF(ABS(F195)&gt;3,1,0),"")</x:f>
      </x:c>
      <x:c r="H195" s="1" t="str">
        <x:f>IF(ISNUMBER(F195),F195^4,"")</x:f>
      </x:c>
      <x:c r="I195" s="1"/>
      <x:c r="J195" s="1"/>
      <x:c r="K195" s="1"/>
      <x:c r="L195" s="1"/>
      <x:c r="M195" s="1"/>
      <x:c r="N195" s="1"/>
    </x:row>
    <x:row r="196" ht="22" customHeight="1">
      <x:c r="A196" s="14"/>
      <x:c r="B196" s="15"/>
      <x:c r="C196" s="16" t="str">
        <x:f>IF(AND(ISNUMBER(B196),ISNUMBER(B195),B196&gt;0,B195&gt;0),LN(B196/B195),"")</x:f>
      </x:c>
      <x:c r="D196" s="16" t="str">
        <x:f>IF(ISNUMBER(C196),ABS(C196),"")</x:f>
      </x:c>
      <x:c r="E196" s="16" t="str">
        <x:f>IF(ISNUMBER(C196),C196^2,"")</x:f>
      </x:c>
      <x:c r="F196" s="16" t="str">
        <x:f>IF(AND(ISNUMBER(C196),ISNUMBER($J$6),$J$6&gt;0),(C196-$J$5)/$J$6,"")</x:f>
      </x:c>
      <x:c r="G196" s="1" t="str">
        <x:f>IF(ISNUMBER(F196),IF(ABS(F196)&gt;3,1,0),"")</x:f>
      </x:c>
      <x:c r="H196" s="1" t="str">
        <x:f>IF(ISNUMBER(F196),F196^4,"")</x:f>
      </x:c>
      <x:c r="I196" s="1"/>
      <x:c r="J196" s="1"/>
      <x:c r="K196" s="1"/>
      <x:c r="L196" s="1"/>
      <x:c r="M196" s="1"/>
      <x:c r="N196" s="1"/>
    </x:row>
    <x:row r="197" ht="22" customHeight="1">
      <x:c r="A197" s="14"/>
      <x:c r="B197" s="15"/>
      <x:c r="C197" s="16" t="str">
        <x:f>IF(AND(ISNUMBER(B197),ISNUMBER(B196),B197&gt;0,B196&gt;0),LN(B197/B196),"")</x:f>
      </x:c>
      <x:c r="D197" s="16" t="str">
        <x:f>IF(ISNUMBER(C197),ABS(C197),"")</x:f>
      </x:c>
      <x:c r="E197" s="16" t="str">
        <x:f>IF(ISNUMBER(C197),C197^2,"")</x:f>
      </x:c>
      <x:c r="F197" s="16" t="str">
        <x:f>IF(AND(ISNUMBER(C197),ISNUMBER($J$6),$J$6&gt;0),(C197-$J$5)/$J$6,"")</x:f>
      </x:c>
      <x:c r="G197" s="1" t="str">
        <x:f>IF(ISNUMBER(F197),IF(ABS(F197)&gt;3,1,0),"")</x:f>
      </x:c>
      <x:c r="H197" s="1" t="str">
        <x:f>IF(ISNUMBER(F197),F197^4,"")</x:f>
      </x:c>
      <x:c r="I197" s="1"/>
      <x:c r="J197" s="1"/>
      <x:c r="K197" s="1"/>
      <x:c r="L197" s="1"/>
      <x:c r="M197" s="1"/>
      <x:c r="N197" s="1"/>
    </x:row>
    <x:row r="198" ht="22" customHeight="1">
      <x:c r="A198" s="14"/>
      <x:c r="B198" s="15"/>
      <x:c r="C198" s="16" t="str">
        <x:f>IF(AND(ISNUMBER(B198),ISNUMBER(B197),B198&gt;0,B197&gt;0),LN(B198/B197),"")</x:f>
      </x:c>
      <x:c r="D198" s="16" t="str">
        <x:f>IF(ISNUMBER(C198),ABS(C198),"")</x:f>
      </x:c>
      <x:c r="E198" s="16" t="str">
        <x:f>IF(ISNUMBER(C198),C198^2,"")</x:f>
      </x:c>
      <x:c r="F198" s="16" t="str">
        <x:f>IF(AND(ISNUMBER(C198),ISNUMBER($J$6),$J$6&gt;0),(C198-$J$5)/$J$6,"")</x:f>
      </x:c>
      <x:c r="G198" s="1" t="str">
        <x:f>IF(ISNUMBER(F198),IF(ABS(F198)&gt;3,1,0),"")</x:f>
      </x:c>
      <x:c r="H198" s="1" t="str">
        <x:f>IF(ISNUMBER(F198),F198^4,"")</x:f>
      </x:c>
      <x:c r="I198" s="1"/>
      <x:c r="J198" s="1"/>
      <x:c r="K198" s="1"/>
      <x:c r="L198" s="1"/>
      <x:c r="M198" s="1"/>
      <x:c r="N198" s="1"/>
    </x:row>
    <x:row r="199" ht="22" customHeight="1">
      <x:c r="A199" s="14"/>
      <x:c r="B199" s="15"/>
      <x:c r="C199" s="16" t="str">
        <x:f>IF(AND(ISNUMBER(B199),ISNUMBER(B198),B199&gt;0,B198&gt;0),LN(B199/B198),"")</x:f>
      </x:c>
      <x:c r="D199" s="16" t="str">
        <x:f>IF(ISNUMBER(C199),ABS(C199),"")</x:f>
      </x:c>
      <x:c r="E199" s="16" t="str">
        <x:f>IF(ISNUMBER(C199),C199^2,"")</x:f>
      </x:c>
      <x:c r="F199" s="16" t="str">
        <x:f>IF(AND(ISNUMBER(C199),ISNUMBER($J$6),$J$6&gt;0),(C199-$J$5)/$J$6,"")</x:f>
      </x:c>
      <x:c r="G199" s="1" t="str">
        <x:f>IF(ISNUMBER(F199),IF(ABS(F199)&gt;3,1,0),"")</x:f>
      </x:c>
      <x:c r="H199" s="1" t="str">
        <x:f>IF(ISNUMBER(F199),F199^4,"")</x:f>
      </x:c>
      <x:c r="I199" s="1"/>
      <x:c r="J199" s="1"/>
      <x:c r="K199" s="1"/>
      <x:c r="L199" s="1"/>
      <x:c r="M199" s="1"/>
      <x:c r="N199" s="1"/>
    </x:row>
    <x:row r="200" ht="22" customHeight="1">
      <x:c r="A200" s="14"/>
      <x:c r="B200" s="15"/>
      <x:c r="C200" s="16" t="str">
        <x:f>IF(AND(ISNUMBER(B200),ISNUMBER(B199),B200&gt;0,B199&gt;0),LN(B200/B199),"")</x:f>
      </x:c>
      <x:c r="D200" s="16" t="str">
        <x:f>IF(ISNUMBER(C200),ABS(C200),"")</x:f>
      </x:c>
      <x:c r="E200" s="16" t="str">
        <x:f>IF(ISNUMBER(C200),C200^2,"")</x:f>
      </x:c>
      <x:c r="F200" s="16" t="str">
        <x:f>IF(AND(ISNUMBER(C200),ISNUMBER($J$6),$J$6&gt;0),(C200-$J$5)/$J$6,"")</x:f>
      </x:c>
      <x:c r="G200" s="1" t="str">
        <x:f>IF(ISNUMBER(F200),IF(ABS(F200)&gt;3,1,0),"")</x:f>
      </x:c>
      <x:c r="H200" s="1" t="str">
        <x:f>IF(ISNUMBER(F200),F200^4,"")</x:f>
      </x:c>
      <x:c r="I200" s="1"/>
      <x:c r="J200" s="1"/>
      <x:c r="K200" s="1"/>
      <x:c r="L200" s="1"/>
      <x:c r="M200" s="1"/>
      <x:c r="N200" s="1"/>
    </x:row>
    <x:row r="201" ht="22" customHeight="1">
      <x:c r="A201" s="14"/>
      <x:c r="B201" s="15"/>
      <x:c r="C201" s="16" t="str">
        <x:f>IF(AND(ISNUMBER(B201),ISNUMBER(B200),B201&gt;0,B200&gt;0),LN(B201/B200),"")</x:f>
      </x:c>
      <x:c r="D201" s="16" t="str">
        <x:f>IF(ISNUMBER(C201),ABS(C201),"")</x:f>
      </x:c>
      <x:c r="E201" s="16" t="str">
        <x:f>IF(ISNUMBER(C201),C201^2,"")</x:f>
      </x:c>
      <x:c r="F201" s="16" t="str">
        <x:f>IF(AND(ISNUMBER(C201),ISNUMBER($J$6),$J$6&gt;0),(C201-$J$5)/$J$6,"")</x:f>
      </x:c>
      <x:c r="G201" s="1" t="str">
        <x:f>IF(ISNUMBER(F201),IF(ABS(F201)&gt;3,1,0),"")</x:f>
      </x:c>
      <x:c r="H201" s="1" t="str">
        <x:f>IF(ISNUMBER(F201),F201^4,"")</x:f>
      </x:c>
      <x:c r="I201" s="1"/>
      <x:c r="J201" s="1"/>
      <x:c r="K201" s="1"/>
      <x:c r="L201" s="1"/>
      <x:c r="M201" s="1"/>
      <x:c r="N201" s="1"/>
    </x:row>
    <x:row r="202" ht="22" customHeight="1">
      <x:c r="A202" s="14"/>
      <x:c r="B202" s="15"/>
      <x:c r="C202" s="16" t="str">
        <x:f>IF(AND(ISNUMBER(B202),ISNUMBER(B201),B202&gt;0,B201&gt;0),LN(B202/B201),"")</x:f>
      </x:c>
      <x:c r="D202" s="16" t="str">
        <x:f>IF(ISNUMBER(C202),ABS(C202),"")</x:f>
      </x:c>
      <x:c r="E202" s="16" t="str">
        <x:f>IF(ISNUMBER(C202),C202^2,"")</x:f>
      </x:c>
      <x:c r="F202" s="16" t="str">
        <x:f>IF(AND(ISNUMBER(C202),ISNUMBER($J$6),$J$6&gt;0),(C202-$J$5)/$J$6,"")</x:f>
      </x:c>
      <x:c r="G202" s="1" t="str">
        <x:f>IF(ISNUMBER(F202),IF(ABS(F202)&gt;3,1,0),"")</x:f>
      </x:c>
      <x:c r="H202" s="1" t="str">
        <x:f>IF(ISNUMBER(F202),F202^4,"")</x:f>
      </x:c>
      <x:c r="I202" s="1"/>
      <x:c r="J202" s="1"/>
      <x:c r="K202" s="1"/>
      <x:c r="L202" s="1"/>
      <x:c r="M202" s="1"/>
      <x:c r="N202" s="1"/>
    </x:row>
    <x:row r="203" ht="22" customHeight="1">
      <x:c r="A203" s="14"/>
      <x:c r="B203" s="15"/>
      <x:c r="C203" s="16" t="str">
        <x:f>IF(AND(ISNUMBER(B203),ISNUMBER(B202),B203&gt;0,B202&gt;0),LN(B203/B202),"")</x:f>
      </x:c>
      <x:c r="D203" s="16" t="str">
        <x:f>IF(ISNUMBER(C203),ABS(C203),"")</x:f>
      </x:c>
      <x:c r="E203" s="16" t="str">
        <x:f>IF(ISNUMBER(C203),C203^2,"")</x:f>
      </x:c>
      <x:c r="F203" s="16" t="str">
        <x:f>IF(AND(ISNUMBER(C203),ISNUMBER($J$6),$J$6&gt;0),(C203-$J$5)/$J$6,"")</x:f>
      </x:c>
      <x:c r="G203" s="1" t="str">
        <x:f>IF(ISNUMBER(F203),IF(ABS(F203)&gt;3,1,0),"")</x:f>
      </x:c>
      <x:c r="H203" s="1" t="str">
        <x:f>IF(ISNUMBER(F203),F203^4,"")</x:f>
      </x:c>
      <x:c r="I203" s="1"/>
      <x:c r="J203" s="1"/>
      <x:c r="K203" s="1"/>
      <x:c r="L203" s="1"/>
      <x:c r="M203" s="1"/>
      <x:c r="N203" s="1"/>
    </x:row>
    <x:row r="204" ht="22" customHeight="1">
      <x:c r="A204" s="14"/>
      <x:c r="B204" s="15"/>
      <x:c r="C204" s="16" t="str">
        <x:f>IF(AND(ISNUMBER(B204),ISNUMBER(B203),B204&gt;0,B203&gt;0),LN(B204/B203),"")</x:f>
      </x:c>
      <x:c r="D204" s="16" t="str">
        <x:f>IF(ISNUMBER(C204),ABS(C204),"")</x:f>
      </x:c>
      <x:c r="E204" s="16" t="str">
        <x:f>IF(ISNUMBER(C204),C204^2,"")</x:f>
      </x:c>
      <x:c r="F204" s="16" t="str">
        <x:f>IF(AND(ISNUMBER(C204),ISNUMBER($J$6),$J$6&gt;0),(C204-$J$5)/$J$6,"")</x:f>
      </x:c>
      <x:c r="G204" s="1" t="str">
        <x:f>IF(ISNUMBER(F204),IF(ABS(F204)&gt;3,1,0),"")</x:f>
      </x:c>
      <x:c r="H204" s="1" t="str">
        <x:f>IF(ISNUMBER(F204),F204^4,"")</x:f>
      </x:c>
      <x:c r="I204" s="1"/>
      <x:c r="J204" s="1"/>
      <x:c r="K204" s="1"/>
      <x:c r="L204" s="1"/>
      <x:c r="M204" s="1"/>
      <x:c r="N204" s="1"/>
    </x:row>
    <x:row r="205" ht="22" customHeight="1">
      <x:c r="A205" s="14"/>
      <x:c r="B205" s="15"/>
      <x:c r="C205" s="16" t="str">
        <x:f>IF(AND(ISNUMBER(B205),ISNUMBER(B204),B205&gt;0,B204&gt;0),LN(B205/B204),"")</x:f>
      </x:c>
      <x:c r="D205" s="16" t="str">
        <x:f>IF(ISNUMBER(C205),ABS(C205),"")</x:f>
      </x:c>
      <x:c r="E205" s="16" t="str">
        <x:f>IF(ISNUMBER(C205),C205^2,"")</x:f>
      </x:c>
      <x:c r="F205" s="16" t="str">
        <x:f>IF(AND(ISNUMBER(C205),ISNUMBER($J$6),$J$6&gt;0),(C205-$J$5)/$J$6,"")</x:f>
      </x:c>
      <x:c r="G205" s="1" t="str">
        <x:f>IF(ISNUMBER(F205),IF(ABS(F205)&gt;3,1,0),"")</x:f>
      </x:c>
      <x:c r="H205" s="1" t="str">
        <x:f>IF(ISNUMBER(F205),F205^4,"")</x:f>
      </x:c>
      <x:c r="I205" s="1"/>
      <x:c r="J205" s="1"/>
      <x:c r="K205" s="1"/>
      <x:c r="L205" s="1"/>
      <x:c r="M205" s="1"/>
      <x:c r="N205" s="1"/>
    </x:row>
    <x:row r="206" ht="22" customHeight="1">
      <x:c r="A206" s="14"/>
      <x:c r="B206" s="15"/>
      <x:c r="C206" s="16" t="str">
        <x:f>IF(AND(ISNUMBER(B206),ISNUMBER(B205),B206&gt;0,B205&gt;0),LN(B206/B205),"")</x:f>
      </x:c>
      <x:c r="D206" s="16" t="str">
        <x:f>IF(ISNUMBER(C206),ABS(C206),"")</x:f>
      </x:c>
      <x:c r="E206" s="16" t="str">
        <x:f>IF(ISNUMBER(C206),C206^2,"")</x:f>
      </x:c>
      <x:c r="F206" s="16" t="str">
        <x:f>IF(AND(ISNUMBER(C206),ISNUMBER($J$6),$J$6&gt;0),(C206-$J$5)/$J$6,"")</x:f>
      </x:c>
      <x:c r="G206" s="1" t="str">
        <x:f>IF(ISNUMBER(F206),IF(ABS(F206)&gt;3,1,0),"")</x:f>
      </x:c>
      <x:c r="H206" s="1" t="str">
        <x:f>IF(ISNUMBER(F206),F206^4,"")</x:f>
      </x:c>
      <x:c r="I206" s="1"/>
      <x:c r="J206" s="1"/>
      <x:c r="K206" s="1"/>
      <x:c r="L206" s="1"/>
      <x:c r="M206" s="1"/>
      <x:c r="N206" s="1"/>
    </x:row>
    <x:row r="207" ht="22" customHeight="1">
      <x:c r="A207" s="14"/>
      <x:c r="B207" s="15"/>
      <x:c r="C207" s="16" t="str">
        <x:f>IF(AND(ISNUMBER(B207),ISNUMBER(B206),B207&gt;0,B206&gt;0),LN(B207/B206),"")</x:f>
      </x:c>
      <x:c r="D207" s="16" t="str">
        <x:f>IF(ISNUMBER(C207),ABS(C207),"")</x:f>
      </x:c>
      <x:c r="E207" s="16" t="str">
        <x:f>IF(ISNUMBER(C207),C207^2,"")</x:f>
      </x:c>
      <x:c r="F207" s="16" t="str">
        <x:f>IF(AND(ISNUMBER(C207),ISNUMBER($J$6),$J$6&gt;0),(C207-$J$5)/$J$6,"")</x:f>
      </x:c>
      <x:c r="G207" s="1" t="str">
        <x:f>IF(ISNUMBER(F207),IF(ABS(F207)&gt;3,1,0),"")</x:f>
      </x:c>
      <x:c r="H207" s="1" t="str">
        <x:f>IF(ISNUMBER(F207),F207^4,"")</x:f>
      </x:c>
      <x:c r="I207" s="1"/>
      <x:c r="J207" s="1"/>
      <x:c r="K207" s="1"/>
      <x:c r="L207" s="1"/>
      <x:c r="M207" s="1"/>
      <x:c r="N207" s="1"/>
    </x:row>
    <x:row r="208" ht="22" customHeight="1">
      <x:c r="A208" s="14"/>
      <x:c r="B208" s="15"/>
      <x:c r="C208" s="16" t="str">
        <x:f>IF(AND(ISNUMBER(B208),ISNUMBER(B207),B208&gt;0,B207&gt;0),LN(B208/B207),"")</x:f>
      </x:c>
      <x:c r="D208" s="16" t="str">
        <x:f>IF(ISNUMBER(C208),ABS(C208),"")</x:f>
      </x:c>
      <x:c r="E208" s="16" t="str">
        <x:f>IF(ISNUMBER(C208),C208^2,"")</x:f>
      </x:c>
      <x:c r="F208" s="16" t="str">
        <x:f>IF(AND(ISNUMBER(C208),ISNUMBER($J$6),$J$6&gt;0),(C208-$J$5)/$J$6,"")</x:f>
      </x:c>
      <x:c r="G208" s="1" t="str">
        <x:f>IF(ISNUMBER(F208),IF(ABS(F208)&gt;3,1,0),"")</x:f>
      </x:c>
      <x:c r="H208" s="1" t="str">
        <x:f>IF(ISNUMBER(F208),F208^4,"")</x:f>
      </x:c>
      <x:c r="I208" s="1"/>
      <x:c r="J208" s="1"/>
      <x:c r="K208" s="1"/>
      <x:c r="L208" s="1"/>
      <x:c r="M208" s="1"/>
      <x:c r="N208" s="1"/>
    </x:row>
    <x:row r="209" ht="22" customHeight="1">
      <x:c r="A209" s="14"/>
      <x:c r="B209" s="15"/>
      <x:c r="C209" s="16" t="str">
        <x:f>IF(AND(ISNUMBER(B209),ISNUMBER(B208),B209&gt;0,B208&gt;0),LN(B209/B208),"")</x:f>
      </x:c>
      <x:c r="D209" s="16" t="str">
        <x:f>IF(ISNUMBER(C209),ABS(C209),"")</x:f>
      </x:c>
      <x:c r="E209" s="16" t="str">
        <x:f>IF(ISNUMBER(C209),C209^2,"")</x:f>
      </x:c>
      <x:c r="F209" s="16" t="str">
        <x:f>IF(AND(ISNUMBER(C209),ISNUMBER($J$6),$J$6&gt;0),(C209-$J$5)/$J$6,"")</x:f>
      </x:c>
      <x:c r="G209" s="1" t="str">
        <x:f>IF(ISNUMBER(F209),IF(ABS(F209)&gt;3,1,0),"")</x:f>
      </x:c>
      <x:c r="H209" s="1" t="str">
        <x:f>IF(ISNUMBER(F209),F209^4,"")</x:f>
      </x:c>
      <x:c r="I209" s="1"/>
      <x:c r="J209" s="1"/>
      <x:c r="K209" s="1"/>
      <x:c r="L209" s="1"/>
      <x:c r="M209" s="1"/>
      <x:c r="N209" s="1"/>
    </x:row>
    <x:row r="210" ht="22" customHeight="1">
      <x:c r="A210" s="14"/>
      <x:c r="B210" s="15"/>
      <x:c r="C210" s="16" t="str">
        <x:f>IF(AND(ISNUMBER(B210),ISNUMBER(B209),B210&gt;0,B209&gt;0),LN(B210/B209),"")</x:f>
      </x:c>
      <x:c r="D210" s="16" t="str">
        <x:f>IF(ISNUMBER(C210),ABS(C210),"")</x:f>
      </x:c>
      <x:c r="E210" s="16" t="str">
        <x:f>IF(ISNUMBER(C210),C210^2,"")</x:f>
      </x:c>
      <x:c r="F210" s="16" t="str">
        <x:f>IF(AND(ISNUMBER(C210),ISNUMBER($J$6),$J$6&gt;0),(C210-$J$5)/$J$6,"")</x:f>
      </x:c>
      <x:c r="G210" s="1" t="str">
        <x:f>IF(ISNUMBER(F210),IF(ABS(F210)&gt;3,1,0),"")</x:f>
      </x:c>
      <x:c r="H210" s="1" t="str">
        <x:f>IF(ISNUMBER(F210),F210^4,"")</x:f>
      </x:c>
      <x:c r="I210" s="1"/>
      <x:c r="J210" s="1"/>
      <x:c r="K210" s="1"/>
      <x:c r="L210" s="1"/>
      <x:c r="M210" s="1"/>
      <x:c r="N210" s="1"/>
    </x:row>
    <x:row r="211" ht="22" customHeight="1">
      <x:c r="A211" s="14"/>
      <x:c r="B211" s="15"/>
      <x:c r="C211" s="16" t="str">
        <x:f>IF(AND(ISNUMBER(B211),ISNUMBER(B210),B211&gt;0,B210&gt;0),LN(B211/B210),"")</x:f>
      </x:c>
      <x:c r="D211" s="16" t="str">
        <x:f>IF(ISNUMBER(C211),ABS(C211),"")</x:f>
      </x:c>
      <x:c r="E211" s="16" t="str">
        <x:f>IF(ISNUMBER(C211),C211^2,"")</x:f>
      </x:c>
      <x:c r="F211" s="16" t="str">
        <x:f>IF(AND(ISNUMBER(C211),ISNUMBER($J$6),$J$6&gt;0),(C211-$J$5)/$J$6,"")</x:f>
      </x:c>
      <x:c r="G211" s="1" t="str">
        <x:f>IF(ISNUMBER(F211),IF(ABS(F211)&gt;3,1,0),"")</x:f>
      </x:c>
      <x:c r="H211" s="1" t="str">
        <x:f>IF(ISNUMBER(F211),F211^4,"")</x:f>
      </x:c>
      <x:c r="I211" s="1"/>
      <x:c r="J211" s="1"/>
      <x:c r="K211" s="1"/>
      <x:c r="L211" s="1"/>
      <x:c r="M211" s="1"/>
      <x:c r="N211" s="1"/>
    </x:row>
    <x:row r="212" ht="22" customHeight="1">
      <x:c r="A212" s="14"/>
      <x:c r="B212" s="15"/>
      <x:c r="C212" s="16" t="str">
        <x:f>IF(AND(ISNUMBER(B212),ISNUMBER(B211),B212&gt;0,B211&gt;0),LN(B212/B211),"")</x:f>
      </x:c>
      <x:c r="D212" s="16" t="str">
        <x:f>IF(ISNUMBER(C212),ABS(C212),"")</x:f>
      </x:c>
      <x:c r="E212" s="16" t="str">
        <x:f>IF(ISNUMBER(C212),C212^2,"")</x:f>
      </x:c>
      <x:c r="F212" s="16" t="str">
        <x:f>IF(AND(ISNUMBER(C212),ISNUMBER($J$6),$J$6&gt;0),(C212-$J$5)/$J$6,"")</x:f>
      </x:c>
      <x:c r="G212" s="1" t="str">
        <x:f>IF(ISNUMBER(F212),IF(ABS(F212)&gt;3,1,0),"")</x:f>
      </x:c>
      <x:c r="H212" s="1" t="str">
        <x:f>IF(ISNUMBER(F212),F212^4,"")</x:f>
      </x:c>
      <x:c r="I212" s="1"/>
      <x:c r="J212" s="1"/>
      <x:c r="K212" s="1"/>
      <x:c r="L212" s="1"/>
      <x:c r="M212" s="1"/>
      <x:c r="N212" s="1"/>
    </x:row>
    <x:row r="213" ht="22" customHeight="1">
      <x:c r="A213" s="14"/>
      <x:c r="B213" s="15"/>
      <x:c r="C213" s="16" t="str">
        <x:f>IF(AND(ISNUMBER(B213),ISNUMBER(B212),B213&gt;0,B212&gt;0),LN(B213/B212),"")</x:f>
      </x:c>
      <x:c r="D213" s="16" t="str">
        <x:f>IF(ISNUMBER(C213),ABS(C213),"")</x:f>
      </x:c>
      <x:c r="E213" s="16" t="str">
        <x:f>IF(ISNUMBER(C213),C213^2,"")</x:f>
      </x:c>
      <x:c r="F213" s="16" t="str">
        <x:f>IF(AND(ISNUMBER(C213),ISNUMBER($J$6),$J$6&gt;0),(C213-$J$5)/$J$6,"")</x:f>
      </x:c>
      <x:c r="G213" s="1" t="str">
        <x:f>IF(ISNUMBER(F213),IF(ABS(F213)&gt;3,1,0),"")</x:f>
      </x:c>
      <x:c r="H213" s="1" t="str">
        <x:f>IF(ISNUMBER(F213),F213^4,"")</x:f>
      </x:c>
      <x:c r="I213" s="1"/>
      <x:c r="J213" s="1"/>
      <x:c r="K213" s="1"/>
      <x:c r="L213" s="1"/>
      <x:c r="M213" s="1"/>
      <x:c r="N213" s="1"/>
    </x:row>
    <x:row r="214" ht="22" customHeight="1">
      <x:c r="A214" s="14"/>
      <x:c r="B214" s="15"/>
      <x:c r="C214" s="16" t="str">
        <x:f>IF(AND(ISNUMBER(B214),ISNUMBER(B213),B214&gt;0,B213&gt;0),LN(B214/B213),"")</x:f>
      </x:c>
      <x:c r="D214" s="16" t="str">
        <x:f>IF(ISNUMBER(C214),ABS(C214),"")</x:f>
      </x:c>
      <x:c r="E214" s="16" t="str">
        <x:f>IF(ISNUMBER(C214),C214^2,"")</x:f>
      </x:c>
      <x:c r="F214" s="16" t="str">
        <x:f>IF(AND(ISNUMBER(C214),ISNUMBER($J$6),$J$6&gt;0),(C214-$J$5)/$J$6,"")</x:f>
      </x:c>
      <x:c r="G214" s="1" t="str">
        <x:f>IF(ISNUMBER(F214),IF(ABS(F214)&gt;3,1,0),"")</x:f>
      </x:c>
      <x:c r="H214" s="1" t="str">
        <x:f>IF(ISNUMBER(F214),F214^4,"")</x:f>
      </x:c>
      <x:c r="I214" s="1"/>
      <x:c r="J214" s="1"/>
      <x:c r="K214" s="1"/>
      <x:c r="L214" s="1"/>
      <x:c r="M214" s="1"/>
      <x:c r="N214" s="1"/>
    </x:row>
    <x:row r="215" ht="22" customHeight="1">
      <x:c r="A215" s="14"/>
      <x:c r="B215" s="15"/>
      <x:c r="C215" s="16" t="str">
        <x:f>IF(AND(ISNUMBER(B215),ISNUMBER(B214),B215&gt;0,B214&gt;0),LN(B215/B214),"")</x:f>
      </x:c>
      <x:c r="D215" s="16" t="str">
        <x:f>IF(ISNUMBER(C215),ABS(C215),"")</x:f>
      </x:c>
      <x:c r="E215" s="16" t="str">
        <x:f>IF(ISNUMBER(C215),C215^2,"")</x:f>
      </x:c>
      <x:c r="F215" s="16" t="str">
        <x:f>IF(AND(ISNUMBER(C215),ISNUMBER($J$6),$J$6&gt;0),(C215-$J$5)/$J$6,"")</x:f>
      </x:c>
      <x:c r="G215" s="1" t="str">
        <x:f>IF(ISNUMBER(F215),IF(ABS(F215)&gt;3,1,0),"")</x:f>
      </x:c>
      <x:c r="H215" s="1" t="str">
        <x:f>IF(ISNUMBER(F215),F215^4,"")</x:f>
      </x:c>
      <x:c r="I215" s="1"/>
      <x:c r="J215" s="1"/>
      <x:c r="K215" s="1"/>
      <x:c r="L215" s="1"/>
      <x:c r="M215" s="1"/>
      <x:c r="N215" s="1"/>
    </x:row>
    <x:row r="216" ht="22" customHeight="1">
      <x:c r="A216" s="14"/>
      <x:c r="B216" s="15"/>
      <x:c r="C216" s="16" t="str">
        <x:f>IF(AND(ISNUMBER(B216),ISNUMBER(B215),B216&gt;0,B215&gt;0),LN(B216/B215),"")</x:f>
      </x:c>
      <x:c r="D216" s="16" t="str">
        <x:f>IF(ISNUMBER(C216),ABS(C216),"")</x:f>
      </x:c>
      <x:c r="E216" s="16" t="str">
        <x:f>IF(ISNUMBER(C216),C216^2,"")</x:f>
      </x:c>
      <x:c r="F216" s="16" t="str">
        <x:f>IF(AND(ISNUMBER(C216),ISNUMBER($J$6),$J$6&gt;0),(C216-$J$5)/$J$6,"")</x:f>
      </x:c>
      <x:c r="G216" s="1" t="str">
        <x:f>IF(ISNUMBER(F216),IF(ABS(F216)&gt;3,1,0),"")</x:f>
      </x:c>
      <x:c r="H216" s="1" t="str">
        <x:f>IF(ISNUMBER(F216),F216^4,"")</x:f>
      </x:c>
      <x:c r="I216" s="1"/>
      <x:c r="J216" s="1"/>
      <x:c r="K216" s="1"/>
      <x:c r="L216" s="1"/>
      <x:c r="M216" s="1"/>
      <x:c r="N216" s="1"/>
    </x:row>
    <x:row r="217" ht="22" customHeight="1">
      <x:c r="A217" s="14"/>
      <x:c r="B217" s="15"/>
      <x:c r="C217" s="16" t="str">
        <x:f>IF(AND(ISNUMBER(B217),ISNUMBER(B216),B217&gt;0,B216&gt;0),LN(B217/B216),"")</x:f>
      </x:c>
      <x:c r="D217" s="16" t="str">
        <x:f>IF(ISNUMBER(C217),ABS(C217),"")</x:f>
      </x:c>
      <x:c r="E217" s="16" t="str">
        <x:f>IF(ISNUMBER(C217),C217^2,"")</x:f>
      </x:c>
      <x:c r="F217" s="16" t="str">
        <x:f>IF(AND(ISNUMBER(C217),ISNUMBER($J$6),$J$6&gt;0),(C217-$J$5)/$J$6,"")</x:f>
      </x:c>
      <x:c r="G217" s="1" t="str">
        <x:f>IF(ISNUMBER(F217),IF(ABS(F217)&gt;3,1,0),"")</x:f>
      </x:c>
      <x:c r="H217" s="1" t="str">
        <x:f>IF(ISNUMBER(F217),F217^4,"")</x:f>
      </x:c>
      <x:c r="I217" s="1"/>
      <x:c r="J217" s="1"/>
      <x:c r="K217" s="1"/>
      <x:c r="L217" s="1"/>
      <x:c r="M217" s="1"/>
      <x:c r="N217" s="1"/>
    </x:row>
    <x:row r="218" ht="22" customHeight="1">
      <x:c r="A218" s="14"/>
      <x:c r="B218" s="15"/>
      <x:c r="C218" s="16" t="str">
        <x:f>IF(AND(ISNUMBER(B218),ISNUMBER(B217),B218&gt;0,B217&gt;0),LN(B218/B217),"")</x:f>
      </x:c>
      <x:c r="D218" s="16" t="str">
        <x:f>IF(ISNUMBER(C218),ABS(C218),"")</x:f>
      </x:c>
      <x:c r="E218" s="16" t="str">
        <x:f>IF(ISNUMBER(C218),C218^2,"")</x:f>
      </x:c>
      <x:c r="F218" s="16" t="str">
        <x:f>IF(AND(ISNUMBER(C218),ISNUMBER($J$6),$J$6&gt;0),(C218-$J$5)/$J$6,"")</x:f>
      </x:c>
      <x:c r="G218" s="1" t="str">
        <x:f>IF(ISNUMBER(F218),IF(ABS(F218)&gt;3,1,0),"")</x:f>
      </x:c>
      <x:c r="H218" s="1" t="str">
        <x:f>IF(ISNUMBER(F218),F218^4,"")</x:f>
      </x:c>
      <x:c r="I218" s="1"/>
      <x:c r="J218" s="1"/>
      <x:c r="K218" s="1"/>
      <x:c r="L218" s="1"/>
      <x:c r="M218" s="1"/>
      <x:c r="N218" s="1"/>
    </x:row>
    <x:row r="219" ht="22" customHeight="1">
      <x:c r="A219" s="14"/>
      <x:c r="B219" s="15"/>
      <x:c r="C219" s="16" t="str">
        <x:f>IF(AND(ISNUMBER(B219),ISNUMBER(B218),B219&gt;0,B218&gt;0),LN(B219/B218),"")</x:f>
      </x:c>
      <x:c r="D219" s="16" t="str">
        <x:f>IF(ISNUMBER(C219),ABS(C219),"")</x:f>
      </x:c>
      <x:c r="E219" s="16" t="str">
        <x:f>IF(ISNUMBER(C219),C219^2,"")</x:f>
      </x:c>
      <x:c r="F219" s="16" t="str">
        <x:f>IF(AND(ISNUMBER(C219),ISNUMBER($J$6),$J$6&gt;0),(C219-$J$5)/$J$6,"")</x:f>
      </x:c>
      <x:c r="G219" s="1" t="str">
        <x:f>IF(ISNUMBER(F219),IF(ABS(F219)&gt;3,1,0),"")</x:f>
      </x:c>
      <x:c r="H219" s="1" t="str">
        <x:f>IF(ISNUMBER(F219),F219^4,"")</x:f>
      </x:c>
      <x:c r="I219" s="1"/>
      <x:c r="J219" s="1"/>
      <x:c r="K219" s="1"/>
      <x:c r="L219" s="1"/>
      <x:c r="M219" s="1"/>
      <x:c r="N219" s="1"/>
    </x:row>
    <x:row r="220" ht="22" customHeight="1">
      <x:c r="A220" s="14"/>
      <x:c r="B220" s="15"/>
      <x:c r="C220" s="16" t="str">
        <x:f>IF(AND(ISNUMBER(B220),ISNUMBER(B219),B220&gt;0,B219&gt;0),LN(B220/B219),"")</x:f>
      </x:c>
      <x:c r="D220" s="16" t="str">
        <x:f>IF(ISNUMBER(C220),ABS(C220),"")</x:f>
      </x:c>
      <x:c r="E220" s="16" t="str">
        <x:f>IF(ISNUMBER(C220),C220^2,"")</x:f>
      </x:c>
      <x:c r="F220" s="16" t="str">
        <x:f>IF(AND(ISNUMBER(C220),ISNUMBER($J$6),$J$6&gt;0),(C220-$J$5)/$J$6,"")</x:f>
      </x:c>
      <x:c r="G220" s="1" t="str">
        <x:f>IF(ISNUMBER(F220),IF(ABS(F220)&gt;3,1,0),"")</x:f>
      </x:c>
      <x:c r="H220" s="1" t="str">
        <x:f>IF(ISNUMBER(F220),F220^4,"")</x:f>
      </x:c>
      <x:c r="I220" s="1"/>
      <x:c r="J220" s="1"/>
      <x:c r="K220" s="1"/>
      <x:c r="L220" s="1"/>
      <x:c r="M220" s="1"/>
      <x:c r="N220" s="1"/>
    </x:row>
    <x:row r="221" ht="22" customHeight="1">
      <x:c r="A221" s="14"/>
      <x:c r="B221" s="15"/>
      <x:c r="C221" s="16" t="str">
        <x:f>IF(AND(ISNUMBER(B221),ISNUMBER(B220),B221&gt;0,B220&gt;0),LN(B221/B220),"")</x:f>
      </x:c>
      <x:c r="D221" s="16" t="str">
        <x:f>IF(ISNUMBER(C221),ABS(C221),"")</x:f>
      </x:c>
      <x:c r="E221" s="16" t="str">
        <x:f>IF(ISNUMBER(C221),C221^2,"")</x:f>
      </x:c>
      <x:c r="F221" s="16" t="str">
        <x:f>IF(AND(ISNUMBER(C221),ISNUMBER($J$6),$J$6&gt;0),(C221-$J$5)/$J$6,"")</x:f>
      </x:c>
      <x:c r="G221" s="1" t="str">
        <x:f>IF(ISNUMBER(F221),IF(ABS(F221)&gt;3,1,0),"")</x:f>
      </x:c>
      <x:c r="H221" s="1" t="str">
        <x:f>IF(ISNUMBER(F221),F221^4,"")</x:f>
      </x:c>
      <x:c r="I221" s="1"/>
      <x:c r="J221" s="1"/>
      <x:c r="K221" s="1"/>
      <x:c r="L221" s="1"/>
      <x:c r="M221" s="1"/>
      <x:c r="N221" s="1"/>
    </x:row>
    <x:row r="222" ht="22" customHeight="1">
      <x:c r="A222" s="14"/>
      <x:c r="B222" s="15"/>
      <x:c r="C222" s="16" t="str">
        <x:f>IF(AND(ISNUMBER(B222),ISNUMBER(B221),B222&gt;0,B221&gt;0),LN(B222/B221),"")</x:f>
      </x:c>
      <x:c r="D222" s="16" t="str">
        <x:f>IF(ISNUMBER(C222),ABS(C222),"")</x:f>
      </x:c>
      <x:c r="E222" s="16" t="str">
        <x:f>IF(ISNUMBER(C222),C222^2,"")</x:f>
      </x:c>
      <x:c r="F222" s="16" t="str">
        <x:f>IF(AND(ISNUMBER(C222),ISNUMBER($J$6),$J$6&gt;0),(C222-$J$5)/$J$6,"")</x:f>
      </x:c>
      <x:c r="G222" s="1" t="str">
        <x:f>IF(ISNUMBER(F222),IF(ABS(F222)&gt;3,1,0),"")</x:f>
      </x:c>
      <x:c r="H222" s="1" t="str">
        <x:f>IF(ISNUMBER(F222),F222^4,"")</x:f>
      </x:c>
      <x:c r="I222" s="1"/>
      <x:c r="J222" s="1"/>
      <x:c r="K222" s="1"/>
      <x:c r="L222" s="1"/>
      <x:c r="M222" s="1"/>
      <x:c r="N222" s="1"/>
    </x:row>
    <x:row r="223" ht="22" customHeight="1">
      <x:c r="A223" s="14"/>
      <x:c r="B223" s="15"/>
      <x:c r="C223" s="16" t="str">
        <x:f>IF(AND(ISNUMBER(B223),ISNUMBER(B222),B223&gt;0,B222&gt;0),LN(B223/B222),"")</x:f>
      </x:c>
      <x:c r="D223" s="16" t="str">
        <x:f>IF(ISNUMBER(C223),ABS(C223),"")</x:f>
      </x:c>
      <x:c r="E223" s="16" t="str">
        <x:f>IF(ISNUMBER(C223),C223^2,"")</x:f>
      </x:c>
      <x:c r="F223" s="16" t="str">
        <x:f>IF(AND(ISNUMBER(C223),ISNUMBER($J$6),$J$6&gt;0),(C223-$J$5)/$J$6,"")</x:f>
      </x:c>
      <x:c r="G223" s="1" t="str">
        <x:f>IF(ISNUMBER(F223),IF(ABS(F223)&gt;3,1,0),"")</x:f>
      </x:c>
      <x:c r="H223" s="1" t="str">
        <x:f>IF(ISNUMBER(F223),F223^4,"")</x:f>
      </x:c>
      <x:c r="I223" s="1"/>
      <x:c r="J223" s="1"/>
      <x:c r="K223" s="1"/>
      <x:c r="L223" s="1"/>
      <x:c r="M223" s="1"/>
      <x:c r="N223" s="1"/>
    </x:row>
    <x:row r="224" ht="22" customHeight="1">
      <x:c r="A224" s="14"/>
      <x:c r="B224" s="15"/>
      <x:c r="C224" s="16" t="str">
        <x:f>IF(AND(ISNUMBER(B224),ISNUMBER(B223),B224&gt;0,B223&gt;0),LN(B224/B223),"")</x:f>
      </x:c>
      <x:c r="D224" s="16" t="str">
        <x:f>IF(ISNUMBER(C224),ABS(C224),"")</x:f>
      </x:c>
      <x:c r="E224" s="16" t="str">
        <x:f>IF(ISNUMBER(C224),C224^2,"")</x:f>
      </x:c>
      <x:c r="F224" s="16" t="str">
        <x:f>IF(AND(ISNUMBER(C224),ISNUMBER($J$6),$J$6&gt;0),(C224-$J$5)/$J$6,"")</x:f>
      </x:c>
      <x:c r="G224" s="1" t="str">
        <x:f>IF(ISNUMBER(F224),IF(ABS(F224)&gt;3,1,0),"")</x:f>
      </x:c>
      <x:c r="H224" s="1" t="str">
        <x:f>IF(ISNUMBER(F224),F224^4,"")</x:f>
      </x:c>
      <x:c r="I224" s="1"/>
      <x:c r="J224" s="1"/>
      <x:c r="K224" s="1"/>
      <x:c r="L224" s="1"/>
      <x:c r="M224" s="1"/>
      <x:c r="N224" s="1"/>
    </x:row>
    <x:row r="225" ht="22" customHeight="1">
      <x:c r="A225" s="14"/>
      <x:c r="B225" s="15"/>
      <x:c r="C225" s="16" t="str">
        <x:f>IF(AND(ISNUMBER(B225),ISNUMBER(B224),B225&gt;0,B224&gt;0),LN(B225/B224),"")</x:f>
      </x:c>
      <x:c r="D225" s="16" t="str">
        <x:f>IF(ISNUMBER(C225),ABS(C225),"")</x:f>
      </x:c>
      <x:c r="E225" s="16" t="str">
        <x:f>IF(ISNUMBER(C225),C225^2,"")</x:f>
      </x:c>
      <x:c r="F225" s="16" t="str">
        <x:f>IF(AND(ISNUMBER(C225),ISNUMBER($J$6),$J$6&gt;0),(C225-$J$5)/$J$6,"")</x:f>
      </x:c>
      <x:c r="G225" s="1" t="str">
        <x:f>IF(ISNUMBER(F225),IF(ABS(F225)&gt;3,1,0),"")</x:f>
      </x:c>
      <x:c r="H225" s="1" t="str">
        <x:f>IF(ISNUMBER(F225),F225^4,"")</x:f>
      </x:c>
      <x:c r="I225" s="1"/>
      <x:c r="J225" s="1"/>
      <x:c r="K225" s="1"/>
      <x:c r="L225" s="1"/>
      <x:c r="M225" s="1"/>
      <x:c r="N225" s="1"/>
    </x:row>
    <x:row r="226" ht="22" customHeight="1">
      <x:c r="A226" s="14"/>
      <x:c r="B226" s="15"/>
      <x:c r="C226" s="16" t="str">
        <x:f>IF(AND(ISNUMBER(B226),ISNUMBER(B225),B226&gt;0,B225&gt;0),LN(B226/B225),"")</x:f>
      </x:c>
      <x:c r="D226" s="16" t="str">
        <x:f>IF(ISNUMBER(C226),ABS(C226),"")</x:f>
      </x:c>
      <x:c r="E226" s="16" t="str">
        <x:f>IF(ISNUMBER(C226),C226^2,"")</x:f>
      </x:c>
      <x:c r="F226" s="16" t="str">
        <x:f>IF(AND(ISNUMBER(C226),ISNUMBER($J$6),$J$6&gt;0),(C226-$J$5)/$J$6,"")</x:f>
      </x:c>
      <x:c r="G226" s="1" t="str">
        <x:f>IF(ISNUMBER(F226),IF(ABS(F226)&gt;3,1,0),"")</x:f>
      </x:c>
      <x:c r="H226" s="1" t="str">
        <x:f>IF(ISNUMBER(F226),F226^4,"")</x:f>
      </x:c>
      <x:c r="I226" s="1"/>
      <x:c r="J226" s="1"/>
      <x:c r="K226" s="1"/>
      <x:c r="L226" s="1"/>
      <x:c r="M226" s="1"/>
      <x:c r="N226" s="1"/>
    </x:row>
    <x:row r="227" ht="22" customHeight="1">
      <x:c r="A227" s="14"/>
      <x:c r="B227" s="15"/>
      <x:c r="C227" s="16" t="str">
        <x:f>IF(AND(ISNUMBER(B227),ISNUMBER(B226),B227&gt;0,B226&gt;0),LN(B227/B226),"")</x:f>
      </x:c>
      <x:c r="D227" s="16" t="str">
        <x:f>IF(ISNUMBER(C227),ABS(C227),"")</x:f>
      </x:c>
      <x:c r="E227" s="16" t="str">
        <x:f>IF(ISNUMBER(C227),C227^2,"")</x:f>
      </x:c>
      <x:c r="F227" s="16" t="str">
        <x:f>IF(AND(ISNUMBER(C227),ISNUMBER($J$6),$J$6&gt;0),(C227-$J$5)/$J$6,"")</x:f>
      </x:c>
      <x:c r="G227" s="1" t="str">
        <x:f>IF(ISNUMBER(F227),IF(ABS(F227)&gt;3,1,0),"")</x:f>
      </x:c>
      <x:c r="H227" s="1" t="str">
        <x:f>IF(ISNUMBER(F227),F227^4,"")</x:f>
      </x:c>
      <x:c r="I227" s="1"/>
      <x:c r="J227" s="1"/>
      <x:c r="K227" s="1"/>
      <x:c r="L227" s="1"/>
      <x:c r="M227" s="1"/>
      <x:c r="N227" s="1"/>
    </x:row>
    <x:row r="228" ht="22" customHeight="1">
      <x:c r="A228" s="14"/>
      <x:c r="B228" s="15"/>
      <x:c r="C228" s="16" t="str">
        <x:f>IF(AND(ISNUMBER(B228),ISNUMBER(B227),B228&gt;0,B227&gt;0),LN(B228/B227),"")</x:f>
      </x:c>
      <x:c r="D228" s="16" t="str">
        <x:f>IF(ISNUMBER(C228),ABS(C228),"")</x:f>
      </x:c>
      <x:c r="E228" s="16" t="str">
        <x:f>IF(ISNUMBER(C228),C228^2,"")</x:f>
      </x:c>
      <x:c r="F228" s="16" t="str">
        <x:f>IF(AND(ISNUMBER(C228),ISNUMBER($J$6),$J$6&gt;0),(C228-$J$5)/$J$6,"")</x:f>
      </x:c>
      <x:c r="G228" s="1" t="str">
        <x:f>IF(ISNUMBER(F228),IF(ABS(F228)&gt;3,1,0),"")</x:f>
      </x:c>
      <x:c r="H228" s="1" t="str">
        <x:f>IF(ISNUMBER(F228),F228^4,"")</x:f>
      </x:c>
      <x:c r="I228" s="1"/>
      <x:c r="J228" s="1"/>
      <x:c r="K228" s="1"/>
      <x:c r="L228" s="1"/>
      <x:c r="M228" s="1"/>
      <x:c r="N228" s="1"/>
    </x:row>
    <x:row r="229" ht="22" customHeight="1">
      <x:c r="A229" s="14"/>
      <x:c r="B229" s="15"/>
      <x:c r="C229" s="16" t="str">
        <x:f>IF(AND(ISNUMBER(B229),ISNUMBER(B228),B229&gt;0,B228&gt;0),LN(B229/B228),"")</x:f>
      </x:c>
      <x:c r="D229" s="16" t="str">
        <x:f>IF(ISNUMBER(C229),ABS(C229),"")</x:f>
      </x:c>
      <x:c r="E229" s="16" t="str">
        <x:f>IF(ISNUMBER(C229),C229^2,"")</x:f>
      </x:c>
      <x:c r="F229" s="16" t="str">
        <x:f>IF(AND(ISNUMBER(C229),ISNUMBER($J$6),$J$6&gt;0),(C229-$J$5)/$J$6,"")</x:f>
      </x:c>
      <x:c r="G229" s="1" t="str">
        <x:f>IF(ISNUMBER(F229),IF(ABS(F229)&gt;3,1,0),"")</x:f>
      </x:c>
      <x:c r="H229" s="1" t="str">
        <x:f>IF(ISNUMBER(F229),F229^4,"")</x:f>
      </x:c>
      <x:c r="I229" s="1"/>
      <x:c r="J229" s="1"/>
      <x:c r="K229" s="1"/>
      <x:c r="L229" s="1"/>
      <x:c r="M229" s="1"/>
      <x:c r="N229" s="1"/>
    </x:row>
    <x:row r="230" ht="22" customHeight="1">
      <x:c r="A230" s="14"/>
      <x:c r="B230" s="15"/>
      <x:c r="C230" s="16" t="str">
        <x:f>IF(AND(ISNUMBER(B230),ISNUMBER(B229),B230&gt;0,B229&gt;0),LN(B230/B229),"")</x:f>
      </x:c>
      <x:c r="D230" s="16" t="str">
        <x:f>IF(ISNUMBER(C230),ABS(C230),"")</x:f>
      </x:c>
      <x:c r="E230" s="16" t="str">
        <x:f>IF(ISNUMBER(C230),C230^2,"")</x:f>
      </x:c>
      <x:c r="F230" s="16" t="str">
        <x:f>IF(AND(ISNUMBER(C230),ISNUMBER($J$6),$J$6&gt;0),(C230-$J$5)/$J$6,"")</x:f>
      </x:c>
      <x:c r="G230" s="1" t="str">
        <x:f>IF(ISNUMBER(F230),IF(ABS(F230)&gt;3,1,0),"")</x:f>
      </x:c>
      <x:c r="H230" s="1" t="str">
        <x:f>IF(ISNUMBER(F230),F230^4,"")</x:f>
      </x:c>
      <x:c r="I230" s="1"/>
      <x:c r="J230" s="1"/>
      <x:c r="K230" s="1"/>
      <x:c r="L230" s="1"/>
      <x:c r="M230" s="1"/>
      <x:c r="N230" s="1"/>
    </x:row>
    <x:row r="231" ht="22" customHeight="1">
      <x:c r="A231" s="14"/>
      <x:c r="B231" s="15"/>
      <x:c r="C231" s="16" t="str">
        <x:f>IF(AND(ISNUMBER(B231),ISNUMBER(B230),B231&gt;0,B230&gt;0),LN(B231/B230),"")</x:f>
      </x:c>
      <x:c r="D231" s="16" t="str">
        <x:f>IF(ISNUMBER(C231),ABS(C231),"")</x:f>
      </x:c>
      <x:c r="E231" s="16" t="str">
        <x:f>IF(ISNUMBER(C231),C231^2,"")</x:f>
      </x:c>
      <x:c r="F231" s="16" t="str">
        <x:f>IF(AND(ISNUMBER(C231),ISNUMBER($J$6),$J$6&gt;0),(C231-$J$5)/$J$6,"")</x:f>
      </x:c>
      <x:c r="G231" s="1" t="str">
        <x:f>IF(ISNUMBER(F231),IF(ABS(F231)&gt;3,1,0),"")</x:f>
      </x:c>
      <x:c r="H231" s="1" t="str">
        <x:f>IF(ISNUMBER(F231),F231^4,"")</x:f>
      </x:c>
      <x:c r="I231" s="1"/>
      <x:c r="J231" s="1"/>
      <x:c r="K231" s="1"/>
      <x:c r="L231" s="1"/>
      <x:c r="M231" s="1"/>
      <x:c r="N231" s="1"/>
    </x:row>
    <x:row r="232" ht="22" customHeight="1">
      <x:c r="A232" s="14"/>
      <x:c r="B232" s="15"/>
      <x:c r="C232" s="16" t="str">
        <x:f>IF(AND(ISNUMBER(B232),ISNUMBER(B231),B232&gt;0,B231&gt;0),LN(B232/B231),"")</x:f>
      </x:c>
      <x:c r="D232" s="16" t="str">
        <x:f>IF(ISNUMBER(C232),ABS(C232),"")</x:f>
      </x:c>
      <x:c r="E232" s="16" t="str">
        <x:f>IF(ISNUMBER(C232),C232^2,"")</x:f>
      </x:c>
      <x:c r="F232" s="16" t="str">
        <x:f>IF(AND(ISNUMBER(C232),ISNUMBER($J$6),$J$6&gt;0),(C232-$J$5)/$J$6,"")</x:f>
      </x:c>
      <x:c r="G232" s="1" t="str">
        <x:f>IF(ISNUMBER(F232),IF(ABS(F232)&gt;3,1,0),"")</x:f>
      </x:c>
      <x:c r="H232" s="1" t="str">
        <x:f>IF(ISNUMBER(F232),F232^4,"")</x:f>
      </x:c>
      <x:c r="I232" s="1"/>
      <x:c r="J232" s="1"/>
      <x:c r="K232" s="1"/>
      <x:c r="L232" s="1"/>
      <x:c r="M232" s="1"/>
      <x:c r="N232" s="1"/>
    </x:row>
    <x:row r="233" ht="22" customHeight="1">
      <x:c r="A233" s="14"/>
      <x:c r="B233" s="15"/>
      <x:c r="C233" s="16" t="str">
        <x:f>IF(AND(ISNUMBER(B233),ISNUMBER(B232),B233&gt;0,B232&gt;0),LN(B233/B232),"")</x:f>
      </x:c>
      <x:c r="D233" s="16" t="str">
        <x:f>IF(ISNUMBER(C233),ABS(C233),"")</x:f>
      </x:c>
      <x:c r="E233" s="16" t="str">
        <x:f>IF(ISNUMBER(C233),C233^2,"")</x:f>
      </x:c>
      <x:c r="F233" s="16" t="str">
        <x:f>IF(AND(ISNUMBER(C233),ISNUMBER($J$6),$J$6&gt;0),(C233-$J$5)/$J$6,"")</x:f>
      </x:c>
      <x:c r="G233" s="1" t="str">
        <x:f>IF(ISNUMBER(F233),IF(ABS(F233)&gt;3,1,0),"")</x:f>
      </x:c>
      <x:c r="H233" s="1" t="str">
        <x:f>IF(ISNUMBER(F233),F233^4,"")</x:f>
      </x:c>
      <x:c r="I233" s="1"/>
      <x:c r="J233" s="1"/>
      <x:c r="K233" s="1"/>
      <x:c r="L233" s="1"/>
      <x:c r="M233" s="1"/>
      <x:c r="N233" s="1"/>
    </x:row>
    <x:row r="234" ht="22" customHeight="1">
      <x:c r="A234" s="14"/>
      <x:c r="B234" s="15"/>
      <x:c r="C234" s="16" t="str">
        <x:f>IF(AND(ISNUMBER(B234),ISNUMBER(B233),B234&gt;0,B233&gt;0),LN(B234/B233),"")</x:f>
      </x:c>
      <x:c r="D234" s="16" t="str">
        <x:f>IF(ISNUMBER(C234),ABS(C234),"")</x:f>
      </x:c>
      <x:c r="E234" s="16" t="str">
        <x:f>IF(ISNUMBER(C234),C234^2,"")</x:f>
      </x:c>
      <x:c r="F234" s="16" t="str">
        <x:f>IF(AND(ISNUMBER(C234),ISNUMBER($J$6),$J$6&gt;0),(C234-$J$5)/$J$6,"")</x:f>
      </x:c>
      <x:c r="G234" s="1" t="str">
        <x:f>IF(ISNUMBER(F234),IF(ABS(F234)&gt;3,1,0),"")</x:f>
      </x:c>
      <x:c r="H234" s="1" t="str">
        <x:f>IF(ISNUMBER(F234),F234^4,"")</x:f>
      </x:c>
      <x:c r="I234" s="1"/>
      <x:c r="J234" s="1"/>
      <x:c r="K234" s="1"/>
      <x:c r="L234" s="1"/>
      <x:c r="M234" s="1"/>
      <x:c r="N234" s="1"/>
    </x:row>
    <x:row r="235" ht="22" customHeight="1">
      <x:c r="A235" s="14"/>
      <x:c r="B235" s="15"/>
      <x:c r="C235" s="16" t="str">
        <x:f>IF(AND(ISNUMBER(B235),ISNUMBER(B234),B235&gt;0,B234&gt;0),LN(B235/B234),"")</x:f>
      </x:c>
      <x:c r="D235" s="16" t="str">
        <x:f>IF(ISNUMBER(C235),ABS(C235),"")</x:f>
      </x:c>
      <x:c r="E235" s="16" t="str">
        <x:f>IF(ISNUMBER(C235),C235^2,"")</x:f>
      </x:c>
      <x:c r="F235" s="16" t="str">
        <x:f>IF(AND(ISNUMBER(C235),ISNUMBER($J$6),$J$6&gt;0),(C235-$J$5)/$J$6,"")</x:f>
      </x:c>
      <x:c r="G235" s="1" t="str">
        <x:f>IF(ISNUMBER(F235),IF(ABS(F235)&gt;3,1,0),"")</x:f>
      </x:c>
      <x:c r="H235" s="1" t="str">
        <x:f>IF(ISNUMBER(F235),F235^4,"")</x:f>
      </x:c>
      <x:c r="I235" s="1"/>
      <x:c r="J235" s="1"/>
      <x:c r="K235" s="1"/>
      <x:c r="L235" s="1"/>
      <x:c r="M235" s="1"/>
      <x:c r="N235" s="1"/>
    </x:row>
    <x:row r="236" ht="22" customHeight="1">
      <x:c r="A236" s="14"/>
      <x:c r="B236" s="15"/>
      <x:c r="C236" s="16" t="str">
        <x:f>IF(AND(ISNUMBER(B236),ISNUMBER(B235),B236&gt;0,B235&gt;0),LN(B236/B235),"")</x:f>
      </x:c>
      <x:c r="D236" s="16" t="str">
        <x:f>IF(ISNUMBER(C236),ABS(C236),"")</x:f>
      </x:c>
      <x:c r="E236" s="16" t="str">
        <x:f>IF(ISNUMBER(C236),C236^2,"")</x:f>
      </x:c>
      <x:c r="F236" s="16" t="str">
        <x:f>IF(AND(ISNUMBER(C236),ISNUMBER($J$6),$J$6&gt;0),(C236-$J$5)/$J$6,"")</x:f>
      </x:c>
      <x:c r="G236" s="1" t="str">
        <x:f>IF(ISNUMBER(F236),IF(ABS(F236)&gt;3,1,0),"")</x:f>
      </x:c>
      <x:c r="H236" s="1" t="str">
        <x:f>IF(ISNUMBER(F236),F236^4,"")</x:f>
      </x:c>
      <x:c r="I236" s="1"/>
      <x:c r="J236" s="1"/>
      <x:c r="K236" s="1"/>
      <x:c r="L236" s="1"/>
      <x:c r="M236" s="1"/>
      <x:c r="N236" s="1"/>
    </x:row>
    <x:row r="237" ht="22" customHeight="1">
      <x:c r="A237" s="14"/>
      <x:c r="B237" s="15"/>
      <x:c r="C237" s="16" t="str">
        <x:f>IF(AND(ISNUMBER(B237),ISNUMBER(B236),B237&gt;0,B236&gt;0),LN(B237/B236),"")</x:f>
      </x:c>
      <x:c r="D237" s="16" t="str">
        <x:f>IF(ISNUMBER(C237),ABS(C237),"")</x:f>
      </x:c>
      <x:c r="E237" s="16" t="str">
        <x:f>IF(ISNUMBER(C237),C237^2,"")</x:f>
      </x:c>
      <x:c r="F237" s="16" t="str">
        <x:f>IF(AND(ISNUMBER(C237),ISNUMBER($J$6),$J$6&gt;0),(C237-$J$5)/$J$6,"")</x:f>
      </x:c>
      <x:c r="G237" s="1" t="str">
        <x:f>IF(ISNUMBER(F237),IF(ABS(F237)&gt;3,1,0),"")</x:f>
      </x:c>
      <x:c r="H237" s="1" t="str">
        <x:f>IF(ISNUMBER(F237),F237^4,"")</x:f>
      </x:c>
      <x:c r="I237" s="1"/>
      <x:c r="J237" s="1"/>
      <x:c r="K237" s="1"/>
      <x:c r="L237" s="1"/>
      <x:c r="M237" s="1"/>
      <x:c r="N237" s="1"/>
    </x:row>
    <x:row r="238" ht="22" customHeight="1">
      <x:c r="A238" s="14"/>
      <x:c r="B238" s="15"/>
      <x:c r="C238" s="16" t="str">
        <x:f>IF(AND(ISNUMBER(B238),ISNUMBER(B237),B238&gt;0,B237&gt;0),LN(B238/B237),"")</x:f>
      </x:c>
      <x:c r="D238" s="16" t="str">
        <x:f>IF(ISNUMBER(C238),ABS(C238),"")</x:f>
      </x:c>
      <x:c r="E238" s="16" t="str">
        <x:f>IF(ISNUMBER(C238),C238^2,"")</x:f>
      </x:c>
      <x:c r="F238" s="16" t="str">
        <x:f>IF(AND(ISNUMBER(C238),ISNUMBER($J$6),$J$6&gt;0),(C238-$J$5)/$J$6,"")</x:f>
      </x:c>
      <x:c r="G238" s="1" t="str">
        <x:f>IF(ISNUMBER(F238),IF(ABS(F238)&gt;3,1,0),"")</x:f>
      </x:c>
      <x:c r="H238" s="1" t="str">
        <x:f>IF(ISNUMBER(F238),F238^4,"")</x:f>
      </x:c>
      <x:c r="I238" s="1"/>
      <x:c r="J238" s="1"/>
      <x:c r="K238" s="1"/>
      <x:c r="L238" s="1"/>
      <x:c r="M238" s="1"/>
      <x:c r="N238" s="1"/>
    </x:row>
    <x:row r="239" ht="22" customHeight="1">
      <x:c r="A239" s="14"/>
      <x:c r="B239" s="15"/>
      <x:c r="C239" s="16" t="str">
        <x:f>IF(AND(ISNUMBER(B239),ISNUMBER(B238),B239&gt;0,B238&gt;0),LN(B239/B238),"")</x:f>
      </x:c>
      <x:c r="D239" s="16" t="str">
        <x:f>IF(ISNUMBER(C239),ABS(C239),"")</x:f>
      </x:c>
      <x:c r="E239" s="16" t="str">
        <x:f>IF(ISNUMBER(C239),C239^2,"")</x:f>
      </x:c>
      <x:c r="F239" s="16" t="str">
        <x:f>IF(AND(ISNUMBER(C239),ISNUMBER($J$6),$J$6&gt;0),(C239-$J$5)/$J$6,"")</x:f>
      </x:c>
      <x:c r="G239" s="1" t="str">
        <x:f>IF(ISNUMBER(F239),IF(ABS(F239)&gt;3,1,0),"")</x:f>
      </x:c>
      <x:c r="H239" s="1" t="str">
        <x:f>IF(ISNUMBER(F239),F239^4,"")</x:f>
      </x:c>
      <x:c r="I239" s="1"/>
      <x:c r="J239" s="1"/>
      <x:c r="K239" s="1"/>
      <x:c r="L239" s="1"/>
      <x:c r="M239" s="1"/>
      <x:c r="N239" s="1"/>
    </x:row>
    <x:row r="240" ht="22" customHeight="1">
      <x:c r="A240" s="14"/>
      <x:c r="B240" s="15"/>
      <x:c r="C240" s="16" t="str">
        <x:f>IF(AND(ISNUMBER(B240),ISNUMBER(B239),B240&gt;0,B239&gt;0),LN(B240/B239),"")</x:f>
      </x:c>
      <x:c r="D240" s="16" t="str">
        <x:f>IF(ISNUMBER(C240),ABS(C240),"")</x:f>
      </x:c>
      <x:c r="E240" s="16" t="str">
        <x:f>IF(ISNUMBER(C240),C240^2,"")</x:f>
      </x:c>
      <x:c r="F240" s="16" t="str">
        <x:f>IF(AND(ISNUMBER(C240),ISNUMBER($J$6),$J$6&gt;0),(C240-$J$5)/$J$6,"")</x:f>
      </x:c>
      <x:c r="G240" s="1" t="str">
        <x:f>IF(ISNUMBER(F240),IF(ABS(F240)&gt;3,1,0),"")</x:f>
      </x:c>
      <x:c r="H240" s="1" t="str">
        <x:f>IF(ISNUMBER(F240),F240^4,"")</x:f>
      </x:c>
      <x:c r="I240" s="1"/>
      <x:c r="J240" s="1"/>
      <x:c r="K240" s="1"/>
      <x:c r="L240" s="1"/>
      <x:c r="M240" s="1"/>
      <x:c r="N240" s="1"/>
    </x:row>
    <x:row r="241" ht="22" customHeight="1">
      <x:c r="A241" s="14"/>
      <x:c r="B241" s="15"/>
      <x:c r="C241" s="16" t="str">
        <x:f>IF(AND(ISNUMBER(B241),ISNUMBER(B240),B241&gt;0,B240&gt;0),LN(B241/B240),"")</x:f>
      </x:c>
      <x:c r="D241" s="16" t="str">
        <x:f>IF(ISNUMBER(C241),ABS(C241),"")</x:f>
      </x:c>
      <x:c r="E241" s="16" t="str">
        <x:f>IF(ISNUMBER(C241),C241^2,"")</x:f>
      </x:c>
      <x:c r="F241" s="16" t="str">
        <x:f>IF(AND(ISNUMBER(C241),ISNUMBER($J$6),$J$6&gt;0),(C241-$J$5)/$J$6,"")</x:f>
      </x:c>
      <x:c r="G241" s="1" t="str">
        <x:f>IF(ISNUMBER(F241),IF(ABS(F241)&gt;3,1,0),"")</x:f>
      </x:c>
      <x:c r="H241" s="1" t="str">
        <x:f>IF(ISNUMBER(F241),F241^4,"")</x:f>
      </x:c>
      <x:c r="I241" s="1"/>
      <x:c r="J241" s="1"/>
      <x:c r="K241" s="1"/>
      <x:c r="L241" s="1"/>
      <x:c r="M241" s="1"/>
      <x:c r="N241" s="1"/>
    </x:row>
    <x:row r="242" ht="22" customHeight="1">
      <x:c r="A242" s="14"/>
      <x:c r="B242" s="15"/>
      <x:c r="C242" s="16" t="str">
        <x:f>IF(AND(ISNUMBER(B242),ISNUMBER(B241),B242&gt;0,B241&gt;0),LN(B242/B241),"")</x:f>
      </x:c>
      <x:c r="D242" s="16" t="str">
        <x:f>IF(ISNUMBER(C242),ABS(C242),"")</x:f>
      </x:c>
      <x:c r="E242" s="16" t="str">
        <x:f>IF(ISNUMBER(C242),C242^2,"")</x:f>
      </x:c>
      <x:c r="F242" s="16" t="str">
        <x:f>IF(AND(ISNUMBER(C242),ISNUMBER($J$6),$J$6&gt;0),(C242-$J$5)/$J$6,"")</x:f>
      </x:c>
      <x:c r="G242" s="1" t="str">
        <x:f>IF(ISNUMBER(F242),IF(ABS(F242)&gt;3,1,0),"")</x:f>
      </x:c>
      <x:c r="H242" s="1" t="str">
        <x:f>IF(ISNUMBER(F242),F242^4,"")</x:f>
      </x:c>
      <x:c r="I242" s="1"/>
      <x:c r="J242" s="1"/>
      <x:c r="K242" s="1"/>
      <x:c r="L242" s="1"/>
      <x:c r="M242" s="1"/>
      <x:c r="N242" s="1"/>
    </x:row>
    <x:row r="243" ht="22" customHeight="1">
      <x:c r="A243" s="14"/>
      <x:c r="B243" s="15"/>
      <x:c r="C243" s="16" t="str">
        <x:f>IF(AND(ISNUMBER(B243),ISNUMBER(B242),B243&gt;0,B242&gt;0),LN(B243/B242),"")</x:f>
      </x:c>
      <x:c r="D243" s="16" t="str">
        <x:f>IF(ISNUMBER(C243),ABS(C243),"")</x:f>
      </x:c>
      <x:c r="E243" s="16" t="str">
        <x:f>IF(ISNUMBER(C243),C243^2,"")</x:f>
      </x:c>
      <x:c r="F243" s="16" t="str">
        <x:f>IF(AND(ISNUMBER(C243),ISNUMBER($J$6),$J$6&gt;0),(C243-$J$5)/$J$6,"")</x:f>
      </x:c>
      <x:c r="G243" s="1" t="str">
        <x:f>IF(ISNUMBER(F243),IF(ABS(F243)&gt;3,1,0),"")</x:f>
      </x:c>
      <x:c r="H243" s="1" t="str">
        <x:f>IF(ISNUMBER(F243),F243^4,"")</x:f>
      </x:c>
      <x:c r="I243" s="1"/>
      <x:c r="J243" s="1"/>
      <x:c r="K243" s="1"/>
      <x:c r="L243" s="1"/>
      <x:c r="M243" s="1"/>
      <x:c r="N243" s="1"/>
    </x:row>
    <x:row r="244" ht="22" customHeight="1">
      <x:c r="A244" s="14"/>
      <x:c r="B244" s="15"/>
      <x:c r="C244" s="16" t="str">
        <x:f>IF(AND(ISNUMBER(B244),ISNUMBER(B243),B244&gt;0,B243&gt;0),LN(B244/B243),"")</x:f>
      </x:c>
      <x:c r="D244" s="16" t="str">
        <x:f>IF(ISNUMBER(C244),ABS(C244),"")</x:f>
      </x:c>
      <x:c r="E244" s="16" t="str">
        <x:f>IF(ISNUMBER(C244),C244^2,"")</x:f>
      </x:c>
      <x:c r="F244" s="16" t="str">
        <x:f>IF(AND(ISNUMBER(C244),ISNUMBER($J$6),$J$6&gt;0),(C244-$J$5)/$J$6,"")</x:f>
      </x:c>
      <x:c r="G244" s="1" t="str">
        <x:f>IF(ISNUMBER(F244),IF(ABS(F244)&gt;3,1,0),"")</x:f>
      </x:c>
      <x:c r="H244" s="1" t="str">
        <x:f>IF(ISNUMBER(F244),F244^4,"")</x:f>
      </x:c>
      <x:c r="I244" s="1"/>
      <x:c r="J244" s="1"/>
      <x:c r="K244" s="1"/>
      <x:c r="L244" s="1"/>
      <x:c r="M244" s="1"/>
      <x:c r="N244" s="1"/>
    </x:row>
    <x:row r="245" ht="22" customHeight="1">
      <x:c r="A245" s="14"/>
      <x:c r="B245" s="15"/>
      <x:c r="C245" s="16" t="str">
        <x:f>IF(AND(ISNUMBER(B245),ISNUMBER(B244),B245&gt;0,B244&gt;0),LN(B245/B244),"")</x:f>
      </x:c>
      <x:c r="D245" s="16" t="str">
        <x:f>IF(ISNUMBER(C245),ABS(C245),"")</x:f>
      </x:c>
      <x:c r="E245" s="16" t="str">
        <x:f>IF(ISNUMBER(C245),C245^2,"")</x:f>
      </x:c>
      <x:c r="F245" s="16" t="str">
        <x:f>IF(AND(ISNUMBER(C245),ISNUMBER($J$6),$J$6&gt;0),(C245-$J$5)/$J$6,"")</x:f>
      </x:c>
      <x:c r="G245" s="1" t="str">
        <x:f>IF(ISNUMBER(F245),IF(ABS(F245)&gt;3,1,0),"")</x:f>
      </x:c>
      <x:c r="H245" s="1" t="str">
        <x:f>IF(ISNUMBER(F245),F245^4,"")</x:f>
      </x:c>
      <x:c r="I245" s="1"/>
      <x:c r="J245" s="1"/>
      <x:c r="K245" s="1"/>
      <x:c r="L245" s="1"/>
      <x:c r="M245" s="1"/>
      <x:c r="N245" s="1"/>
    </x:row>
    <x:row r="246" ht="22" customHeight="1">
      <x:c r="A246" s="14"/>
      <x:c r="B246" s="15"/>
      <x:c r="C246" s="16" t="str">
        <x:f>IF(AND(ISNUMBER(B246),ISNUMBER(B245),B246&gt;0,B245&gt;0),LN(B246/B245),"")</x:f>
      </x:c>
      <x:c r="D246" s="16" t="str">
        <x:f>IF(ISNUMBER(C246),ABS(C246),"")</x:f>
      </x:c>
      <x:c r="E246" s="16" t="str">
        <x:f>IF(ISNUMBER(C246),C246^2,"")</x:f>
      </x:c>
      <x:c r="F246" s="16" t="str">
        <x:f>IF(AND(ISNUMBER(C246),ISNUMBER($J$6),$J$6&gt;0),(C246-$J$5)/$J$6,"")</x:f>
      </x:c>
      <x:c r="G246" s="1" t="str">
        <x:f>IF(ISNUMBER(F246),IF(ABS(F246)&gt;3,1,0),"")</x:f>
      </x:c>
      <x:c r="H246" s="1" t="str">
        <x:f>IF(ISNUMBER(F246),F246^4,"")</x:f>
      </x:c>
      <x:c r="I246" s="1"/>
      <x:c r="J246" s="1"/>
      <x:c r="K246" s="1"/>
      <x:c r="L246" s="1"/>
      <x:c r="M246" s="1"/>
      <x:c r="N246" s="1"/>
    </x:row>
    <x:row r="247" ht="22" customHeight="1">
      <x:c r="A247" s="14"/>
      <x:c r="B247" s="15"/>
      <x:c r="C247" s="16" t="str">
        <x:f>IF(AND(ISNUMBER(B247),ISNUMBER(B246),B247&gt;0,B246&gt;0),LN(B247/B246),"")</x:f>
      </x:c>
      <x:c r="D247" s="16" t="str">
        <x:f>IF(ISNUMBER(C247),ABS(C247),"")</x:f>
      </x:c>
      <x:c r="E247" s="16" t="str">
        <x:f>IF(ISNUMBER(C247),C247^2,"")</x:f>
      </x:c>
      <x:c r="F247" s="16" t="str">
        <x:f>IF(AND(ISNUMBER(C247),ISNUMBER($J$6),$J$6&gt;0),(C247-$J$5)/$J$6,"")</x:f>
      </x:c>
      <x:c r="G247" s="1" t="str">
        <x:f>IF(ISNUMBER(F247),IF(ABS(F247)&gt;3,1,0),"")</x:f>
      </x:c>
      <x:c r="H247" s="1" t="str">
        <x:f>IF(ISNUMBER(F247),F247^4,"")</x:f>
      </x:c>
      <x:c r="I247" s="1"/>
      <x:c r="J247" s="1"/>
      <x:c r="K247" s="1"/>
      <x:c r="L247" s="1"/>
      <x:c r="M247" s="1"/>
      <x:c r="N247" s="1"/>
    </x:row>
    <x:row r="248" ht="22" customHeight="1">
      <x:c r="A248" s="14"/>
      <x:c r="B248" s="15"/>
      <x:c r="C248" s="16" t="str">
        <x:f>IF(AND(ISNUMBER(B248),ISNUMBER(B247),B248&gt;0,B247&gt;0),LN(B248/B247),"")</x:f>
      </x:c>
      <x:c r="D248" s="16" t="str">
        <x:f>IF(ISNUMBER(C248),ABS(C248),"")</x:f>
      </x:c>
      <x:c r="E248" s="16" t="str">
        <x:f>IF(ISNUMBER(C248),C248^2,"")</x:f>
      </x:c>
      <x:c r="F248" s="16" t="str">
        <x:f>IF(AND(ISNUMBER(C248),ISNUMBER($J$6),$J$6&gt;0),(C248-$J$5)/$J$6,"")</x:f>
      </x:c>
      <x:c r="G248" s="1" t="str">
        <x:f>IF(ISNUMBER(F248),IF(ABS(F248)&gt;3,1,0),"")</x:f>
      </x:c>
      <x:c r="H248" s="1" t="str">
        <x:f>IF(ISNUMBER(F248),F248^4,"")</x:f>
      </x:c>
      <x:c r="I248" s="1"/>
      <x:c r="J248" s="1"/>
      <x:c r="K248" s="1"/>
      <x:c r="L248" s="1"/>
      <x:c r="M248" s="1"/>
      <x:c r="N248" s="1"/>
    </x:row>
    <x:row r="249" ht="22" customHeight="1">
      <x:c r="A249" s="14"/>
      <x:c r="B249" s="15"/>
      <x:c r="C249" s="16" t="str">
        <x:f>IF(AND(ISNUMBER(B249),ISNUMBER(B248),B249&gt;0,B248&gt;0),LN(B249/B248),"")</x:f>
      </x:c>
      <x:c r="D249" s="16" t="str">
        <x:f>IF(ISNUMBER(C249),ABS(C249),"")</x:f>
      </x:c>
      <x:c r="E249" s="16" t="str">
        <x:f>IF(ISNUMBER(C249),C249^2,"")</x:f>
      </x:c>
      <x:c r="F249" s="16" t="str">
        <x:f>IF(AND(ISNUMBER(C249),ISNUMBER($J$6),$J$6&gt;0),(C249-$J$5)/$J$6,"")</x:f>
      </x:c>
      <x:c r="G249" s="1" t="str">
        <x:f>IF(ISNUMBER(F249),IF(ABS(F249)&gt;3,1,0),"")</x:f>
      </x:c>
      <x:c r="H249" s="1" t="str">
        <x:f>IF(ISNUMBER(F249),F249^4,"")</x:f>
      </x:c>
      <x:c r="I249" s="1"/>
      <x:c r="J249" s="1"/>
      <x:c r="K249" s="1"/>
      <x:c r="L249" s="1"/>
      <x:c r="M249" s="1"/>
      <x:c r="N249" s="1"/>
    </x:row>
    <x:row r="250" ht="22" customHeight="1">
      <x:c r="A250" s="14"/>
      <x:c r="B250" s="15"/>
      <x:c r="C250" s="16" t="str">
        <x:f>IF(AND(ISNUMBER(B250),ISNUMBER(B249),B250&gt;0,B249&gt;0),LN(B250/B249),"")</x:f>
      </x:c>
      <x:c r="D250" s="16" t="str">
        <x:f>IF(ISNUMBER(C250),ABS(C250),"")</x:f>
      </x:c>
      <x:c r="E250" s="16" t="str">
        <x:f>IF(ISNUMBER(C250),C250^2,"")</x:f>
      </x:c>
      <x:c r="F250" s="16" t="str">
        <x:f>IF(AND(ISNUMBER(C250),ISNUMBER($J$6),$J$6&gt;0),(C250-$J$5)/$J$6,"")</x:f>
      </x:c>
      <x:c r="G250" s="1" t="str">
        <x:f>IF(ISNUMBER(F250),IF(ABS(F250)&gt;3,1,0),"")</x:f>
      </x:c>
      <x:c r="H250" s="1" t="str">
        <x:f>IF(ISNUMBER(F250),F250^4,"")</x:f>
      </x:c>
      <x:c r="I250" s="1"/>
      <x:c r="J250" s="1"/>
      <x:c r="K250" s="1"/>
      <x:c r="L250" s="1"/>
      <x:c r="M250" s="1"/>
      <x:c r="N250" s="1"/>
    </x:row>
    <x:row r="251" ht="22" customHeight="1">
      <x:c r="A251" s="14"/>
      <x:c r="B251" s="15"/>
      <x:c r="C251" s="16" t="str">
        <x:f>IF(AND(ISNUMBER(B251),ISNUMBER(B250),B251&gt;0,B250&gt;0),LN(B251/B250),"")</x:f>
      </x:c>
      <x:c r="D251" s="16" t="str">
        <x:f>IF(ISNUMBER(C251),ABS(C251),"")</x:f>
      </x:c>
      <x:c r="E251" s="16" t="str">
        <x:f>IF(ISNUMBER(C251),C251^2,"")</x:f>
      </x:c>
      <x:c r="F251" s="16" t="str">
        <x:f>IF(AND(ISNUMBER(C251),ISNUMBER($J$6),$J$6&gt;0),(C251-$J$5)/$J$6,"")</x:f>
      </x:c>
      <x:c r="G251" s="1" t="str">
        <x:f>IF(ISNUMBER(F251),IF(ABS(F251)&gt;3,1,0),"")</x:f>
      </x:c>
      <x:c r="H251" s="1" t="str">
        <x:f>IF(ISNUMBER(F251),F251^4,"")</x:f>
      </x:c>
      <x:c r="I251" s="1"/>
      <x:c r="J251" s="1"/>
      <x:c r="K251" s="1"/>
      <x:c r="L251" s="1"/>
      <x:c r="M251" s="1"/>
      <x:c r="N251" s="1"/>
    </x:row>
    <x:row r="252" ht="22" customHeight="1">
      <x:c r="A252" s="14"/>
      <x:c r="B252" s="15"/>
      <x:c r="C252" s="16" t="str">
        <x:f>IF(AND(ISNUMBER(B252),ISNUMBER(B251),B252&gt;0,B251&gt;0),LN(B252/B251),"")</x:f>
      </x:c>
      <x:c r="D252" s="16" t="str">
        <x:f>IF(ISNUMBER(C252),ABS(C252),"")</x:f>
      </x:c>
      <x:c r="E252" s="16" t="str">
        <x:f>IF(ISNUMBER(C252),C252^2,"")</x:f>
      </x:c>
      <x:c r="F252" s="16" t="str">
        <x:f>IF(AND(ISNUMBER(C252),ISNUMBER($J$6),$J$6&gt;0),(C252-$J$5)/$J$6,"")</x:f>
      </x:c>
      <x:c r="G252" s="1" t="str">
        <x:f>IF(ISNUMBER(F252),IF(ABS(F252)&gt;3,1,0),"")</x:f>
      </x:c>
      <x:c r="H252" s="1" t="str">
        <x:f>IF(ISNUMBER(F252),F252^4,"")</x:f>
      </x:c>
      <x:c r="I252" s="1"/>
      <x:c r="J252" s="1"/>
      <x:c r="K252" s="1"/>
      <x:c r="L252" s="1"/>
      <x:c r="M252" s="1"/>
      <x:c r="N252" s="1"/>
    </x:row>
    <x:row r="253" ht="22" customHeight="1">
      <x:c r="A253" s="14"/>
      <x:c r="B253" s="15"/>
      <x:c r="C253" s="16" t="str">
        <x:f>IF(AND(ISNUMBER(B253),ISNUMBER(B252),B253&gt;0,B252&gt;0),LN(B253/B252),"")</x:f>
      </x:c>
      <x:c r="D253" s="16" t="str">
        <x:f>IF(ISNUMBER(C253),ABS(C253),"")</x:f>
      </x:c>
      <x:c r="E253" s="16" t="str">
        <x:f>IF(ISNUMBER(C253),C253^2,"")</x:f>
      </x:c>
      <x:c r="F253" s="16" t="str">
        <x:f>IF(AND(ISNUMBER(C253),ISNUMBER($J$6),$J$6&gt;0),(C253-$J$5)/$J$6,"")</x:f>
      </x:c>
      <x:c r="G253" s="1" t="str">
        <x:f>IF(ISNUMBER(F253),IF(ABS(F253)&gt;3,1,0),"")</x:f>
      </x:c>
      <x:c r="H253" s="1" t="str">
        <x:f>IF(ISNUMBER(F253),F253^4,"")</x:f>
      </x:c>
      <x:c r="I253" s="1"/>
      <x:c r="J253" s="1"/>
      <x:c r="K253" s="1"/>
      <x:c r="L253" s="1"/>
      <x:c r="M253" s="1"/>
      <x:c r="N253" s="1"/>
    </x:row>
    <x:row r="254" ht="22" customHeight="1">
      <x:c r="A254" s="14"/>
      <x:c r="B254" s="15"/>
      <x:c r="C254" s="16" t="str">
        <x:f>IF(AND(ISNUMBER(B254),ISNUMBER(B253),B254&gt;0,B253&gt;0),LN(B254/B253),"")</x:f>
      </x:c>
      <x:c r="D254" s="16" t="str">
        <x:f>IF(ISNUMBER(C254),ABS(C254),"")</x:f>
      </x:c>
      <x:c r="E254" s="16" t="str">
        <x:f>IF(ISNUMBER(C254),C254^2,"")</x:f>
      </x:c>
      <x:c r="F254" s="16" t="str">
        <x:f>IF(AND(ISNUMBER(C254),ISNUMBER($J$6),$J$6&gt;0),(C254-$J$5)/$J$6,"")</x:f>
      </x:c>
      <x:c r="G254" s="1" t="str">
        <x:f>IF(ISNUMBER(F254),IF(ABS(F254)&gt;3,1,0),"")</x:f>
      </x:c>
      <x:c r="H254" s="1" t="str">
        <x:f>IF(ISNUMBER(F254),F254^4,"")</x:f>
      </x:c>
      <x:c r="I254" s="1"/>
      <x:c r="J254" s="1"/>
      <x:c r="K254" s="1"/>
      <x:c r="L254" s="1"/>
      <x:c r="M254" s="1"/>
      <x:c r="N254" s="1"/>
    </x:row>
    <x:row r="255" ht="22" customHeight="1">
      <x:c r="A255" s="14"/>
      <x:c r="B255" s="15"/>
      <x:c r="C255" s="16" t="str">
        <x:f>IF(AND(ISNUMBER(B255),ISNUMBER(B254),B255&gt;0,B254&gt;0),LN(B255/B254),"")</x:f>
      </x:c>
      <x:c r="D255" s="16" t="str">
        <x:f>IF(ISNUMBER(C255),ABS(C255),"")</x:f>
      </x:c>
      <x:c r="E255" s="16" t="str">
        <x:f>IF(ISNUMBER(C255),C255^2,"")</x:f>
      </x:c>
      <x:c r="F255" s="16" t="str">
        <x:f>IF(AND(ISNUMBER(C255),ISNUMBER($J$6),$J$6&gt;0),(C255-$J$5)/$J$6,"")</x:f>
      </x:c>
      <x:c r="G255" s="1" t="str">
        <x:f>IF(ISNUMBER(F255),IF(ABS(F255)&gt;3,1,0),"")</x:f>
      </x:c>
      <x:c r="H255" s="1" t="str">
        <x:f>IF(ISNUMBER(F255),F255^4,"")</x:f>
      </x:c>
      <x:c r="I255" s="1"/>
      <x:c r="J255" s="1"/>
      <x:c r="K255" s="1"/>
      <x:c r="L255" s="1"/>
      <x:c r="M255" s="1"/>
      <x:c r="N255" s="1"/>
    </x:row>
    <x:row r="256" ht="22" customHeight="1">
      <x:c r="A256" s="14"/>
      <x:c r="B256" s="15"/>
      <x:c r="C256" s="16" t="str">
        <x:f>IF(AND(ISNUMBER(B256),ISNUMBER(B255),B256&gt;0,B255&gt;0),LN(B256/B255),"")</x:f>
      </x:c>
      <x:c r="D256" s="16" t="str">
        <x:f>IF(ISNUMBER(C256),ABS(C256),"")</x:f>
      </x:c>
      <x:c r="E256" s="16" t="str">
        <x:f>IF(ISNUMBER(C256),C256^2,"")</x:f>
      </x:c>
      <x:c r="F256" s="16" t="str">
        <x:f>IF(AND(ISNUMBER(C256),ISNUMBER($J$6),$J$6&gt;0),(C256-$J$5)/$J$6,"")</x:f>
      </x:c>
      <x:c r="G256" s="1" t="str">
        <x:f>IF(ISNUMBER(F256),IF(ABS(F256)&gt;3,1,0),"")</x:f>
      </x:c>
      <x:c r="H256" s="1" t="str">
        <x:f>IF(ISNUMBER(F256),F256^4,"")</x:f>
      </x:c>
      <x:c r="I256" s="1"/>
      <x:c r="J256" s="1"/>
      <x:c r="K256" s="1"/>
      <x:c r="L256" s="1"/>
      <x:c r="M256" s="1"/>
      <x:c r="N256" s="1"/>
    </x:row>
    <x:row r="257" ht="22" customHeight="1">
      <x:c r="A257" s="14"/>
      <x:c r="B257" s="15"/>
      <x:c r="C257" s="16" t="str">
        <x:f>IF(AND(ISNUMBER(B257),ISNUMBER(B256),B257&gt;0,B256&gt;0),LN(B257/B256),"")</x:f>
      </x:c>
      <x:c r="D257" s="16" t="str">
        <x:f>IF(ISNUMBER(C257),ABS(C257),"")</x:f>
      </x:c>
      <x:c r="E257" s="16" t="str">
        <x:f>IF(ISNUMBER(C257),C257^2,"")</x:f>
      </x:c>
      <x:c r="F257" s="16" t="str">
        <x:f>IF(AND(ISNUMBER(C257),ISNUMBER($J$6),$J$6&gt;0),(C257-$J$5)/$J$6,"")</x:f>
      </x:c>
      <x:c r="G257" s="1" t="str">
        <x:f>IF(ISNUMBER(F257),IF(ABS(F257)&gt;3,1,0),"")</x:f>
      </x:c>
      <x:c r="H257" s="1" t="str">
        <x:f>IF(ISNUMBER(F257),F257^4,"")</x:f>
      </x:c>
      <x:c r="I257" s="1"/>
      <x:c r="J257" s="1"/>
      <x:c r="K257" s="1"/>
      <x:c r="L257" s="1"/>
      <x:c r="M257" s="1"/>
      <x:c r="N257" s="1"/>
    </x:row>
    <x:row r="258" ht="22" customHeight="1">
      <x:c r="A258" s="14"/>
      <x:c r="B258" s="15"/>
      <x:c r="C258" s="16" t="str">
        <x:f>IF(AND(ISNUMBER(B258),ISNUMBER(B257),B258&gt;0,B257&gt;0),LN(B258/B257),"")</x:f>
      </x:c>
      <x:c r="D258" s="16" t="str">
        <x:f>IF(ISNUMBER(C258),ABS(C258),"")</x:f>
      </x:c>
      <x:c r="E258" s="16" t="str">
        <x:f>IF(ISNUMBER(C258),C258^2,"")</x:f>
      </x:c>
      <x:c r="F258" s="16" t="str">
        <x:f>IF(AND(ISNUMBER(C258),ISNUMBER($J$6),$J$6&gt;0),(C258-$J$5)/$J$6,"")</x:f>
      </x:c>
      <x:c r="G258" s="1" t="str">
        <x:f>IF(ISNUMBER(F258),IF(ABS(F258)&gt;3,1,0),"")</x:f>
      </x:c>
      <x:c r="H258" s="1" t="str">
        <x:f>IF(ISNUMBER(F258),F258^4,"")</x:f>
      </x:c>
      <x:c r="I258" s="1"/>
      <x:c r="J258" s="1"/>
      <x:c r="K258" s="1"/>
      <x:c r="L258" s="1"/>
      <x:c r="M258" s="1"/>
      <x:c r="N258" s="1"/>
    </x:row>
    <x:row r="259" ht="22" customHeight="1">
      <x:c r="A259" s="14"/>
      <x:c r="B259" s="15"/>
      <x:c r="C259" s="16" t="str">
        <x:f>IF(AND(ISNUMBER(B259),ISNUMBER(B258),B259&gt;0,B258&gt;0),LN(B259/B258),"")</x:f>
      </x:c>
      <x:c r="D259" s="16" t="str">
        <x:f>IF(ISNUMBER(C259),ABS(C259),"")</x:f>
      </x:c>
      <x:c r="E259" s="16" t="str">
        <x:f>IF(ISNUMBER(C259),C259^2,"")</x:f>
      </x:c>
      <x:c r="F259" s="16" t="str">
        <x:f>IF(AND(ISNUMBER(C259),ISNUMBER($J$6),$J$6&gt;0),(C259-$J$5)/$J$6,"")</x:f>
      </x:c>
      <x:c r="G259" s="1" t="str">
        <x:f>IF(ISNUMBER(F259),IF(ABS(F259)&gt;3,1,0),"")</x:f>
      </x:c>
      <x:c r="H259" s="1" t="str">
        <x:f>IF(ISNUMBER(F259),F259^4,"")</x:f>
      </x:c>
      <x:c r="I259" s="1"/>
      <x:c r="J259" s="1"/>
      <x:c r="K259" s="1"/>
      <x:c r="L259" s="1"/>
      <x:c r="M259" s="1"/>
      <x:c r="N259" s="1"/>
    </x:row>
    <x:row r="260" ht="22" customHeight="1">
      <x:c r="A260" s="14"/>
      <x:c r="B260" s="15"/>
      <x:c r="C260" s="16" t="str">
        <x:f>IF(AND(ISNUMBER(B260),ISNUMBER(B259),B260&gt;0,B259&gt;0),LN(B260/B259),"")</x:f>
      </x:c>
      <x:c r="D260" s="16" t="str">
        <x:f>IF(ISNUMBER(C260),ABS(C260),"")</x:f>
      </x:c>
      <x:c r="E260" s="16" t="str">
        <x:f>IF(ISNUMBER(C260),C260^2,"")</x:f>
      </x:c>
      <x:c r="F260" s="16" t="str">
        <x:f>IF(AND(ISNUMBER(C260),ISNUMBER($J$6),$J$6&gt;0),(C260-$J$5)/$J$6,"")</x:f>
      </x:c>
      <x:c r="G260" s="1" t="str">
        <x:f>IF(ISNUMBER(F260),IF(ABS(F260)&gt;3,1,0),"")</x:f>
      </x:c>
      <x:c r="H260" s="1" t="str">
        <x:f>IF(ISNUMBER(F260),F260^4,"")</x:f>
      </x:c>
      <x:c r="I260" s="1"/>
      <x:c r="J260" s="1"/>
      <x:c r="K260" s="1"/>
      <x:c r="L260" s="1"/>
      <x:c r="M260" s="1"/>
      <x:c r="N260" s="1"/>
    </x:row>
    <x:row r="261" ht="22" customHeight="1">
      <x:c r="A261" s="14"/>
      <x:c r="B261" s="15"/>
      <x:c r="C261" s="16" t="str">
        <x:f>IF(AND(ISNUMBER(B261),ISNUMBER(B260),B261&gt;0,B260&gt;0),LN(B261/B260),"")</x:f>
      </x:c>
      <x:c r="D261" s="16" t="str">
        <x:f>IF(ISNUMBER(C261),ABS(C261),"")</x:f>
      </x:c>
      <x:c r="E261" s="16" t="str">
        <x:f>IF(ISNUMBER(C261),C261^2,"")</x:f>
      </x:c>
      <x:c r="F261" s="16" t="str">
        <x:f>IF(AND(ISNUMBER(C261),ISNUMBER($J$6),$J$6&gt;0),(C261-$J$5)/$J$6,"")</x:f>
      </x:c>
      <x:c r="G261" s="1" t="str">
        <x:f>IF(ISNUMBER(F261),IF(ABS(F261)&gt;3,1,0),"")</x:f>
      </x:c>
      <x:c r="H261" s="1" t="str">
        <x:f>IF(ISNUMBER(F261),F261^4,"")</x:f>
      </x:c>
      <x:c r="I261" s="1"/>
      <x:c r="J261" s="1"/>
      <x:c r="K261" s="1"/>
      <x:c r="L261" s="1"/>
      <x:c r="M261" s="1"/>
      <x:c r="N261" s="1"/>
    </x:row>
    <x:row r="262" ht="22" customHeight="1">
      <x:c r="A262" s="14"/>
      <x:c r="B262" s="15"/>
      <x:c r="C262" s="16" t="str">
        <x:f>IF(AND(ISNUMBER(B262),ISNUMBER(B261),B262&gt;0,B261&gt;0),LN(B262/B261),"")</x:f>
      </x:c>
      <x:c r="D262" s="16" t="str">
        <x:f>IF(ISNUMBER(C262),ABS(C262),"")</x:f>
      </x:c>
      <x:c r="E262" s="16" t="str">
        <x:f>IF(ISNUMBER(C262),C262^2,"")</x:f>
      </x:c>
      <x:c r="F262" s="16" t="str">
        <x:f>IF(AND(ISNUMBER(C262),ISNUMBER($J$6),$J$6&gt;0),(C262-$J$5)/$J$6,"")</x:f>
      </x:c>
      <x:c r="G262" s="1" t="str">
        <x:f>IF(ISNUMBER(F262),IF(ABS(F262)&gt;3,1,0),"")</x:f>
      </x:c>
      <x:c r="H262" s="1" t="str">
        <x:f>IF(ISNUMBER(F262),F262^4,"")</x:f>
      </x:c>
      <x:c r="I262" s="1"/>
      <x:c r="J262" s="1"/>
      <x:c r="K262" s="1"/>
      <x:c r="L262" s="1"/>
      <x:c r="M262" s="1"/>
      <x:c r="N262" s="1"/>
    </x:row>
    <x:row r="263" ht="22" customHeight="1">
      <x:c r="A263" s="14"/>
      <x:c r="B263" s="15"/>
      <x:c r="C263" s="16" t="str">
        <x:f>IF(AND(ISNUMBER(B263),ISNUMBER(B262),B263&gt;0,B262&gt;0),LN(B263/B262),"")</x:f>
      </x:c>
      <x:c r="D263" s="16" t="str">
        <x:f>IF(ISNUMBER(C263),ABS(C263),"")</x:f>
      </x:c>
      <x:c r="E263" s="16" t="str">
        <x:f>IF(ISNUMBER(C263),C263^2,"")</x:f>
      </x:c>
      <x:c r="F263" s="16" t="str">
        <x:f>IF(AND(ISNUMBER(C263),ISNUMBER($J$6),$J$6&gt;0),(C263-$J$5)/$J$6,"")</x:f>
      </x:c>
      <x:c r="G263" s="1" t="str">
        <x:f>IF(ISNUMBER(F263),IF(ABS(F263)&gt;3,1,0),"")</x:f>
      </x:c>
      <x:c r="H263" s="1" t="str">
        <x:f>IF(ISNUMBER(F263),F263^4,"")</x:f>
      </x:c>
      <x:c r="I263" s="1"/>
      <x:c r="J263" s="1"/>
      <x:c r="K263" s="1"/>
      <x:c r="L263" s="1"/>
      <x:c r="M263" s="1"/>
      <x:c r="N263" s="1"/>
    </x:row>
    <x:row r="264" ht="22" customHeight="1">
      <x:c r="A264" s="14"/>
      <x:c r="B264" s="15"/>
      <x:c r="C264" s="16" t="str">
        <x:f>IF(AND(ISNUMBER(B264),ISNUMBER(B263),B264&gt;0,B263&gt;0),LN(B264/B263),"")</x:f>
      </x:c>
      <x:c r="D264" s="16" t="str">
        <x:f>IF(ISNUMBER(C264),ABS(C264),"")</x:f>
      </x:c>
      <x:c r="E264" s="16" t="str">
        <x:f>IF(ISNUMBER(C264),C264^2,"")</x:f>
      </x:c>
      <x:c r="F264" s="16" t="str">
        <x:f>IF(AND(ISNUMBER(C264),ISNUMBER($J$6),$J$6&gt;0),(C264-$J$5)/$J$6,"")</x:f>
      </x:c>
      <x:c r="G264" s="1" t="str">
        <x:f>IF(ISNUMBER(F264),IF(ABS(F264)&gt;3,1,0),"")</x:f>
      </x:c>
      <x:c r="H264" s="1" t="str">
        <x:f>IF(ISNUMBER(F264),F264^4,"")</x:f>
      </x:c>
      <x:c r="I264" s="1"/>
      <x:c r="J264" s="1"/>
      <x:c r="K264" s="1"/>
      <x:c r="L264" s="1"/>
      <x:c r="M264" s="1"/>
      <x:c r="N264" s="1"/>
    </x:row>
    <x:row r="265" ht="22" customHeight="1">
      <x:c r="A265" s="14"/>
      <x:c r="B265" s="15"/>
      <x:c r="C265" s="16" t="str">
        <x:f>IF(AND(ISNUMBER(B265),ISNUMBER(B264),B265&gt;0,B264&gt;0),LN(B265/B264),"")</x:f>
      </x:c>
      <x:c r="D265" s="16" t="str">
        <x:f>IF(ISNUMBER(C265),ABS(C265),"")</x:f>
      </x:c>
      <x:c r="E265" s="16" t="str">
        <x:f>IF(ISNUMBER(C265),C265^2,"")</x:f>
      </x:c>
      <x:c r="F265" s="16" t="str">
        <x:f>IF(AND(ISNUMBER(C265),ISNUMBER($J$6),$J$6&gt;0),(C265-$J$5)/$J$6,"")</x:f>
      </x:c>
      <x:c r="G265" s="1" t="str">
        <x:f>IF(ISNUMBER(F265),IF(ABS(F265)&gt;3,1,0),"")</x:f>
      </x:c>
      <x:c r="H265" s="1" t="str">
        <x:f>IF(ISNUMBER(F265),F265^4,"")</x:f>
      </x:c>
      <x:c r="I265" s="1"/>
      <x:c r="J265" s="1"/>
      <x:c r="K265" s="1"/>
      <x:c r="L265" s="1"/>
      <x:c r="M265" s="1"/>
      <x:c r="N265" s="1"/>
    </x:row>
    <x:row r="266" ht="22" customHeight="1">
      <x:c r="A266" s="14"/>
      <x:c r="B266" s="15"/>
      <x:c r="C266" s="16" t="str">
        <x:f>IF(AND(ISNUMBER(B266),ISNUMBER(B265),B266&gt;0,B265&gt;0),LN(B266/B265),"")</x:f>
      </x:c>
      <x:c r="D266" s="16" t="str">
        <x:f>IF(ISNUMBER(C266),ABS(C266),"")</x:f>
      </x:c>
      <x:c r="E266" s="16" t="str">
        <x:f>IF(ISNUMBER(C266),C266^2,"")</x:f>
      </x:c>
      <x:c r="F266" s="16" t="str">
        <x:f>IF(AND(ISNUMBER(C266),ISNUMBER($J$6),$J$6&gt;0),(C266-$J$5)/$J$6,"")</x:f>
      </x:c>
      <x:c r="G266" s="1" t="str">
        <x:f>IF(ISNUMBER(F266),IF(ABS(F266)&gt;3,1,0),"")</x:f>
      </x:c>
      <x:c r="H266" s="1" t="str">
        <x:f>IF(ISNUMBER(F266),F266^4,"")</x:f>
      </x:c>
      <x:c r="I266" s="1"/>
      <x:c r="J266" s="1"/>
      <x:c r="K266" s="1"/>
      <x:c r="L266" s="1"/>
      <x:c r="M266" s="1"/>
      <x:c r="N266" s="1"/>
    </x:row>
    <x:row r="267" ht="22" customHeight="1">
      <x:c r="A267" s="14"/>
      <x:c r="B267" s="15"/>
      <x:c r="C267" s="16" t="str">
        <x:f>IF(AND(ISNUMBER(B267),ISNUMBER(B266),B267&gt;0,B266&gt;0),LN(B267/B266),"")</x:f>
      </x:c>
      <x:c r="D267" s="16" t="str">
        <x:f>IF(ISNUMBER(C267),ABS(C267),"")</x:f>
      </x:c>
      <x:c r="E267" s="16" t="str">
        <x:f>IF(ISNUMBER(C267),C267^2,"")</x:f>
      </x:c>
      <x:c r="F267" s="16" t="str">
        <x:f>IF(AND(ISNUMBER(C267),ISNUMBER($J$6),$J$6&gt;0),(C267-$J$5)/$J$6,"")</x:f>
      </x:c>
      <x:c r="G267" s="1" t="str">
        <x:f>IF(ISNUMBER(F267),IF(ABS(F267)&gt;3,1,0),"")</x:f>
      </x:c>
      <x:c r="H267" s="1" t="str">
        <x:f>IF(ISNUMBER(F267),F267^4,"")</x:f>
      </x:c>
      <x:c r="I267" s="1"/>
      <x:c r="J267" s="1"/>
      <x:c r="K267" s="1"/>
      <x:c r="L267" s="1"/>
      <x:c r="M267" s="1"/>
      <x:c r="N267" s="1"/>
    </x:row>
    <x:row r="268" ht="22" customHeight="1">
      <x:c r="A268" s="14"/>
      <x:c r="B268" s="15"/>
      <x:c r="C268" s="16" t="str">
        <x:f>IF(AND(ISNUMBER(B268),ISNUMBER(B267),B268&gt;0,B267&gt;0),LN(B268/B267),"")</x:f>
      </x:c>
      <x:c r="D268" s="16" t="str">
        <x:f>IF(ISNUMBER(C268),ABS(C268),"")</x:f>
      </x:c>
      <x:c r="E268" s="16" t="str">
        <x:f>IF(ISNUMBER(C268),C268^2,"")</x:f>
      </x:c>
      <x:c r="F268" s="16" t="str">
        <x:f>IF(AND(ISNUMBER(C268),ISNUMBER($J$6),$J$6&gt;0),(C268-$J$5)/$J$6,"")</x:f>
      </x:c>
      <x:c r="G268" s="1" t="str">
        <x:f>IF(ISNUMBER(F268),IF(ABS(F268)&gt;3,1,0),"")</x:f>
      </x:c>
      <x:c r="H268" s="1" t="str">
        <x:f>IF(ISNUMBER(F268),F268^4,"")</x:f>
      </x:c>
      <x:c r="I268" s="1"/>
      <x:c r="J268" s="1"/>
      <x:c r="K268" s="1"/>
      <x:c r="L268" s="1"/>
      <x:c r="M268" s="1"/>
      <x:c r="N268" s="1"/>
    </x:row>
    <x:row r="269" ht="22" customHeight="1">
      <x:c r="A269" s="14"/>
      <x:c r="B269" s="15"/>
      <x:c r="C269" s="16" t="str">
        <x:f>IF(AND(ISNUMBER(B269),ISNUMBER(B268),B269&gt;0,B268&gt;0),LN(B269/B268),"")</x:f>
      </x:c>
      <x:c r="D269" s="16" t="str">
        <x:f>IF(ISNUMBER(C269),ABS(C269),"")</x:f>
      </x:c>
      <x:c r="E269" s="16" t="str">
        <x:f>IF(ISNUMBER(C269),C269^2,"")</x:f>
      </x:c>
      <x:c r="F269" s="16" t="str">
        <x:f>IF(AND(ISNUMBER(C269),ISNUMBER($J$6),$J$6&gt;0),(C269-$J$5)/$J$6,"")</x:f>
      </x:c>
      <x:c r="G269" s="1" t="str">
        <x:f>IF(ISNUMBER(F269),IF(ABS(F269)&gt;3,1,0),"")</x:f>
      </x:c>
      <x:c r="H269" s="1" t="str">
        <x:f>IF(ISNUMBER(F269),F269^4,"")</x:f>
      </x:c>
      <x:c r="I269" s="1"/>
      <x:c r="J269" s="1"/>
      <x:c r="K269" s="1"/>
      <x:c r="L269" s="1"/>
      <x:c r="M269" s="1"/>
      <x:c r="N269" s="1"/>
    </x:row>
    <x:row r="270" ht="22" customHeight="1">
      <x:c r="A270" s="14"/>
      <x:c r="B270" s="15"/>
      <x:c r="C270" s="16" t="str">
        <x:f>IF(AND(ISNUMBER(B270),ISNUMBER(B269),B270&gt;0,B269&gt;0),LN(B270/B269),"")</x:f>
      </x:c>
      <x:c r="D270" s="16" t="str">
        <x:f>IF(ISNUMBER(C270),ABS(C270),"")</x:f>
      </x:c>
      <x:c r="E270" s="16" t="str">
        <x:f>IF(ISNUMBER(C270),C270^2,"")</x:f>
      </x:c>
      <x:c r="F270" s="16" t="str">
        <x:f>IF(AND(ISNUMBER(C270),ISNUMBER($J$6),$J$6&gt;0),(C270-$J$5)/$J$6,"")</x:f>
      </x:c>
      <x:c r="G270" s="1" t="str">
        <x:f>IF(ISNUMBER(F270),IF(ABS(F270)&gt;3,1,0),"")</x:f>
      </x:c>
      <x:c r="H270" s="1" t="str">
        <x:f>IF(ISNUMBER(F270),F270^4,"")</x:f>
      </x:c>
      <x:c r="I270" s="1"/>
      <x:c r="J270" s="1"/>
      <x:c r="K270" s="1"/>
      <x:c r="L270" s="1"/>
      <x:c r="M270" s="1"/>
      <x:c r="N270" s="1"/>
    </x:row>
    <x:row r="271" ht="22" customHeight="1">
      <x:c r="A271" s="14"/>
      <x:c r="B271" s="15"/>
      <x:c r="C271" s="16" t="str">
        <x:f>IF(AND(ISNUMBER(B271),ISNUMBER(B270),B271&gt;0,B270&gt;0),LN(B271/B270),"")</x:f>
      </x:c>
      <x:c r="D271" s="16" t="str">
        <x:f>IF(ISNUMBER(C271),ABS(C271),"")</x:f>
      </x:c>
      <x:c r="E271" s="16" t="str">
        <x:f>IF(ISNUMBER(C271),C271^2,"")</x:f>
      </x:c>
      <x:c r="F271" s="16" t="str">
        <x:f>IF(AND(ISNUMBER(C271),ISNUMBER($J$6),$J$6&gt;0),(C271-$J$5)/$J$6,"")</x:f>
      </x:c>
      <x:c r="G271" s="1" t="str">
        <x:f>IF(ISNUMBER(F271),IF(ABS(F271)&gt;3,1,0),"")</x:f>
      </x:c>
      <x:c r="H271" s="1" t="str">
        <x:f>IF(ISNUMBER(F271),F271^4,"")</x:f>
      </x:c>
      <x:c r="I271" s="1"/>
      <x:c r="J271" s="1"/>
      <x:c r="K271" s="1"/>
      <x:c r="L271" s="1"/>
      <x:c r="M271" s="1"/>
      <x:c r="N271" s="1"/>
    </x:row>
    <x:row r="272" ht="22" customHeight="1">
      <x:c r="A272" s="14"/>
      <x:c r="B272" s="15"/>
      <x:c r="C272" s="16" t="str">
        <x:f>IF(AND(ISNUMBER(B272),ISNUMBER(B271),B272&gt;0,B271&gt;0),LN(B272/B271),"")</x:f>
      </x:c>
      <x:c r="D272" s="16" t="str">
        <x:f>IF(ISNUMBER(C272),ABS(C272),"")</x:f>
      </x:c>
      <x:c r="E272" s="16" t="str">
        <x:f>IF(ISNUMBER(C272),C272^2,"")</x:f>
      </x:c>
      <x:c r="F272" s="16" t="str">
        <x:f>IF(AND(ISNUMBER(C272),ISNUMBER($J$6),$J$6&gt;0),(C272-$J$5)/$J$6,"")</x:f>
      </x:c>
      <x:c r="G272" s="1" t="str">
        <x:f>IF(ISNUMBER(F272),IF(ABS(F272)&gt;3,1,0),"")</x:f>
      </x:c>
      <x:c r="H272" s="1" t="str">
        <x:f>IF(ISNUMBER(F272),F272^4,"")</x:f>
      </x:c>
      <x:c r="I272" s="1"/>
      <x:c r="J272" s="1"/>
      <x:c r="K272" s="1"/>
      <x:c r="L272" s="1"/>
      <x:c r="M272" s="1"/>
      <x:c r="N272" s="1"/>
    </x:row>
    <x:row r="273" ht="22" customHeight="1">
      <x:c r="A273" s="14"/>
      <x:c r="B273" s="15"/>
      <x:c r="C273" s="16" t="str">
        <x:f>IF(AND(ISNUMBER(B273),ISNUMBER(B272),B273&gt;0,B272&gt;0),LN(B273/B272),"")</x:f>
      </x:c>
      <x:c r="D273" s="16" t="str">
        <x:f>IF(ISNUMBER(C273),ABS(C273),"")</x:f>
      </x:c>
      <x:c r="E273" s="16" t="str">
        <x:f>IF(ISNUMBER(C273),C273^2,"")</x:f>
      </x:c>
      <x:c r="F273" s="16" t="str">
        <x:f>IF(AND(ISNUMBER(C273),ISNUMBER($J$6),$J$6&gt;0),(C273-$J$5)/$J$6,"")</x:f>
      </x:c>
      <x:c r="G273" s="1" t="str">
        <x:f>IF(ISNUMBER(F273),IF(ABS(F273)&gt;3,1,0),"")</x:f>
      </x:c>
      <x:c r="H273" s="1" t="str">
        <x:f>IF(ISNUMBER(F273),F273^4,"")</x:f>
      </x:c>
      <x:c r="I273" s="1"/>
      <x:c r="J273" s="1"/>
      <x:c r="K273" s="1"/>
      <x:c r="L273" s="1"/>
      <x:c r="M273" s="1"/>
      <x:c r="N273" s="1"/>
    </x:row>
    <x:row r="274" ht="22" customHeight="1">
      <x:c r="A274" s="14"/>
      <x:c r="B274" s="15"/>
      <x:c r="C274" s="16" t="str">
        <x:f>IF(AND(ISNUMBER(B274),ISNUMBER(B273),B274&gt;0,B273&gt;0),LN(B274/B273),"")</x:f>
      </x:c>
      <x:c r="D274" s="16" t="str">
        <x:f>IF(ISNUMBER(C274),ABS(C274),"")</x:f>
      </x:c>
      <x:c r="E274" s="16" t="str">
        <x:f>IF(ISNUMBER(C274),C274^2,"")</x:f>
      </x:c>
      <x:c r="F274" s="16" t="str">
        <x:f>IF(AND(ISNUMBER(C274),ISNUMBER($J$6),$J$6&gt;0),(C274-$J$5)/$J$6,"")</x:f>
      </x:c>
      <x:c r="G274" s="1" t="str">
        <x:f>IF(ISNUMBER(F274),IF(ABS(F274)&gt;3,1,0),"")</x:f>
      </x:c>
      <x:c r="H274" s="1" t="str">
        <x:f>IF(ISNUMBER(F274),F274^4,"")</x:f>
      </x:c>
      <x:c r="I274" s="1"/>
      <x:c r="J274" s="1"/>
      <x:c r="K274" s="1"/>
      <x:c r="L274" s="1"/>
      <x:c r="M274" s="1"/>
      <x:c r="N274" s="1"/>
    </x:row>
    <x:row r="275" ht="22" customHeight="1">
      <x:c r="A275" s="14"/>
      <x:c r="B275" s="15"/>
      <x:c r="C275" s="16" t="str">
        <x:f>IF(AND(ISNUMBER(B275),ISNUMBER(B274),B275&gt;0,B274&gt;0),LN(B275/B274),"")</x:f>
      </x:c>
      <x:c r="D275" s="16" t="str">
        <x:f>IF(ISNUMBER(C275),ABS(C275),"")</x:f>
      </x:c>
      <x:c r="E275" s="16" t="str">
        <x:f>IF(ISNUMBER(C275),C275^2,"")</x:f>
      </x:c>
      <x:c r="F275" s="16" t="str">
        <x:f>IF(AND(ISNUMBER(C275),ISNUMBER($J$6),$J$6&gt;0),(C275-$J$5)/$J$6,"")</x:f>
      </x:c>
      <x:c r="G275" s="1" t="str">
        <x:f>IF(ISNUMBER(F275),IF(ABS(F275)&gt;3,1,0),"")</x:f>
      </x:c>
      <x:c r="H275" s="1" t="str">
        <x:f>IF(ISNUMBER(F275),F275^4,"")</x:f>
      </x:c>
      <x:c r="I275" s="1"/>
      <x:c r="J275" s="1"/>
      <x:c r="K275" s="1"/>
      <x:c r="L275" s="1"/>
      <x:c r="M275" s="1"/>
      <x:c r="N275" s="1"/>
    </x:row>
    <x:row r="276" ht="22" customHeight="1">
      <x:c r="A276" s="14"/>
      <x:c r="B276" s="15"/>
      <x:c r="C276" s="16" t="str">
        <x:f>IF(AND(ISNUMBER(B276),ISNUMBER(B275),B276&gt;0,B275&gt;0),LN(B276/B275),"")</x:f>
      </x:c>
      <x:c r="D276" s="16" t="str">
        <x:f>IF(ISNUMBER(C276),ABS(C276),"")</x:f>
      </x:c>
      <x:c r="E276" s="16" t="str">
        <x:f>IF(ISNUMBER(C276),C276^2,"")</x:f>
      </x:c>
      <x:c r="F276" s="16" t="str">
        <x:f>IF(AND(ISNUMBER(C276),ISNUMBER($J$6),$J$6&gt;0),(C276-$J$5)/$J$6,"")</x:f>
      </x:c>
      <x:c r="G276" s="1" t="str">
        <x:f>IF(ISNUMBER(F276),IF(ABS(F276)&gt;3,1,0),"")</x:f>
      </x:c>
      <x:c r="H276" s="1" t="str">
        <x:f>IF(ISNUMBER(F276),F276^4,"")</x:f>
      </x:c>
      <x:c r="I276" s="1"/>
      <x:c r="J276" s="1"/>
      <x:c r="K276" s="1"/>
      <x:c r="L276" s="1"/>
      <x:c r="M276" s="1"/>
      <x:c r="N276" s="1"/>
    </x:row>
    <x:row r="277" ht="22" customHeight="1">
      <x:c r="A277" s="14"/>
      <x:c r="B277" s="15"/>
      <x:c r="C277" s="16" t="str">
        <x:f>IF(AND(ISNUMBER(B277),ISNUMBER(B276),B277&gt;0,B276&gt;0),LN(B277/B276),"")</x:f>
      </x:c>
      <x:c r="D277" s="16" t="str">
        <x:f>IF(ISNUMBER(C277),ABS(C277),"")</x:f>
      </x:c>
      <x:c r="E277" s="16" t="str">
        <x:f>IF(ISNUMBER(C277),C277^2,"")</x:f>
      </x:c>
      <x:c r="F277" s="16" t="str">
        <x:f>IF(AND(ISNUMBER(C277),ISNUMBER($J$6),$J$6&gt;0),(C277-$J$5)/$J$6,"")</x:f>
      </x:c>
      <x:c r="G277" s="1" t="str">
        <x:f>IF(ISNUMBER(F277),IF(ABS(F277)&gt;3,1,0),"")</x:f>
      </x:c>
      <x:c r="H277" s="1" t="str">
        <x:f>IF(ISNUMBER(F277),F277^4,"")</x:f>
      </x:c>
      <x:c r="I277" s="1"/>
      <x:c r="J277" s="1"/>
      <x:c r="K277" s="1"/>
      <x:c r="L277" s="1"/>
      <x:c r="M277" s="1"/>
      <x:c r="N277" s="1"/>
    </x:row>
    <x:row r="278" ht="22" customHeight="1">
      <x:c r="A278" s="14"/>
      <x:c r="B278" s="15"/>
      <x:c r="C278" s="16" t="str">
        <x:f>IF(AND(ISNUMBER(B278),ISNUMBER(B277),B278&gt;0,B277&gt;0),LN(B278/B277),"")</x:f>
      </x:c>
      <x:c r="D278" s="16" t="str">
        <x:f>IF(ISNUMBER(C278),ABS(C278),"")</x:f>
      </x:c>
      <x:c r="E278" s="16" t="str">
        <x:f>IF(ISNUMBER(C278),C278^2,"")</x:f>
      </x:c>
      <x:c r="F278" s="16" t="str">
        <x:f>IF(AND(ISNUMBER(C278),ISNUMBER($J$6),$J$6&gt;0),(C278-$J$5)/$J$6,"")</x:f>
      </x:c>
      <x:c r="G278" s="1" t="str">
        <x:f>IF(ISNUMBER(F278),IF(ABS(F278)&gt;3,1,0),"")</x:f>
      </x:c>
      <x:c r="H278" s="1" t="str">
        <x:f>IF(ISNUMBER(F278),F278^4,"")</x:f>
      </x:c>
      <x:c r="I278" s="1"/>
      <x:c r="J278" s="1"/>
      <x:c r="K278" s="1"/>
      <x:c r="L278" s="1"/>
      <x:c r="M278" s="1"/>
      <x:c r="N278" s="1"/>
    </x:row>
    <x:row r="279" ht="22" customHeight="1">
      <x:c r="A279" s="14"/>
      <x:c r="B279" s="15"/>
      <x:c r="C279" s="16" t="str">
        <x:f>IF(AND(ISNUMBER(B279),ISNUMBER(B278),B279&gt;0,B278&gt;0),LN(B279/B278),"")</x:f>
      </x:c>
      <x:c r="D279" s="16" t="str">
        <x:f>IF(ISNUMBER(C279),ABS(C279),"")</x:f>
      </x:c>
      <x:c r="E279" s="16" t="str">
        <x:f>IF(ISNUMBER(C279),C279^2,"")</x:f>
      </x:c>
      <x:c r="F279" s="16" t="str">
        <x:f>IF(AND(ISNUMBER(C279),ISNUMBER($J$6),$J$6&gt;0),(C279-$J$5)/$J$6,"")</x:f>
      </x:c>
      <x:c r="G279" s="1" t="str">
        <x:f>IF(ISNUMBER(F279),IF(ABS(F279)&gt;3,1,0),"")</x:f>
      </x:c>
      <x:c r="H279" s="1" t="str">
        <x:f>IF(ISNUMBER(F279),F279^4,"")</x:f>
      </x:c>
      <x:c r="I279" s="1"/>
      <x:c r="J279" s="1"/>
      <x:c r="K279" s="1"/>
      <x:c r="L279" s="1"/>
      <x:c r="M279" s="1"/>
      <x:c r="N279" s="1"/>
    </x:row>
    <x:row r="280" ht="22" customHeight="1">
      <x:c r="A280" s="14"/>
      <x:c r="B280" s="15"/>
      <x:c r="C280" s="16" t="str">
        <x:f>IF(AND(ISNUMBER(B280),ISNUMBER(B279),B280&gt;0,B279&gt;0),LN(B280/B279),"")</x:f>
      </x:c>
      <x:c r="D280" s="16" t="str">
        <x:f>IF(ISNUMBER(C280),ABS(C280),"")</x:f>
      </x:c>
      <x:c r="E280" s="16" t="str">
        <x:f>IF(ISNUMBER(C280),C280^2,"")</x:f>
      </x:c>
      <x:c r="F280" s="16" t="str">
        <x:f>IF(AND(ISNUMBER(C280),ISNUMBER($J$6),$J$6&gt;0),(C280-$J$5)/$J$6,"")</x:f>
      </x:c>
      <x:c r="G280" s="1" t="str">
        <x:f>IF(ISNUMBER(F280),IF(ABS(F280)&gt;3,1,0),"")</x:f>
      </x:c>
      <x:c r="H280" s="1" t="str">
        <x:f>IF(ISNUMBER(F280),F280^4,"")</x:f>
      </x:c>
      <x:c r="I280" s="1"/>
      <x:c r="J280" s="1"/>
      <x:c r="K280" s="1"/>
      <x:c r="L280" s="1"/>
      <x:c r="M280" s="1"/>
      <x:c r="N280" s="1"/>
    </x:row>
    <x:row r="281" ht="22" customHeight="1">
      <x:c r="A281" s="14"/>
      <x:c r="B281" s="15"/>
      <x:c r="C281" s="16" t="str">
        <x:f>IF(AND(ISNUMBER(B281),ISNUMBER(B280),B281&gt;0,B280&gt;0),LN(B281/B280),"")</x:f>
      </x:c>
      <x:c r="D281" s="16" t="str">
        <x:f>IF(ISNUMBER(C281),ABS(C281),"")</x:f>
      </x:c>
      <x:c r="E281" s="16" t="str">
        <x:f>IF(ISNUMBER(C281),C281^2,"")</x:f>
      </x:c>
      <x:c r="F281" s="16" t="str">
        <x:f>IF(AND(ISNUMBER(C281),ISNUMBER($J$6),$J$6&gt;0),(C281-$J$5)/$J$6,"")</x:f>
      </x:c>
      <x:c r="G281" s="1" t="str">
        <x:f>IF(ISNUMBER(F281),IF(ABS(F281)&gt;3,1,0),"")</x:f>
      </x:c>
      <x:c r="H281" s="1" t="str">
        <x:f>IF(ISNUMBER(F281),F281^4,"")</x:f>
      </x:c>
      <x:c r="I281" s="1"/>
      <x:c r="J281" s="1"/>
      <x:c r="K281" s="1"/>
      <x:c r="L281" s="1"/>
      <x:c r="M281" s="1"/>
      <x:c r="N281" s="1"/>
    </x:row>
    <x:row r="282" ht="22" customHeight="1">
      <x:c r="A282" s="14"/>
      <x:c r="B282" s="15"/>
      <x:c r="C282" s="16" t="str">
        <x:f>IF(AND(ISNUMBER(B282),ISNUMBER(B281),B282&gt;0,B281&gt;0),LN(B282/B281),"")</x:f>
      </x:c>
      <x:c r="D282" s="16" t="str">
        <x:f>IF(ISNUMBER(C282),ABS(C282),"")</x:f>
      </x:c>
      <x:c r="E282" s="16" t="str">
        <x:f>IF(ISNUMBER(C282),C282^2,"")</x:f>
      </x:c>
      <x:c r="F282" s="16" t="str">
        <x:f>IF(AND(ISNUMBER(C282),ISNUMBER($J$6),$J$6&gt;0),(C282-$J$5)/$J$6,"")</x:f>
      </x:c>
      <x:c r="G282" s="1" t="str">
        <x:f>IF(ISNUMBER(F282),IF(ABS(F282)&gt;3,1,0),"")</x:f>
      </x:c>
      <x:c r="H282" s="1" t="str">
        <x:f>IF(ISNUMBER(F282),F282^4,"")</x:f>
      </x:c>
      <x:c r="I282" s="1"/>
      <x:c r="J282" s="1"/>
      <x:c r="K282" s="1"/>
      <x:c r="L282" s="1"/>
      <x:c r="M282" s="1"/>
      <x:c r="N282" s="1"/>
    </x:row>
    <x:row r="283" ht="22" customHeight="1">
      <x:c r="A283" s="14"/>
      <x:c r="B283" s="15"/>
      <x:c r="C283" s="16" t="str">
        <x:f>IF(AND(ISNUMBER(B283),ISNUMBER(B282),B283&gt;0,B282&gt;0),LN(B283/B282),"")</x:f>
      </x:c>
      <x:c r="D283" s="16" t="str">
        <x:f>IF(ISNUMBER(C283),ABS(C283),"")</x:f>
      </x:c>
      <x:c r="E283" s="16" t="str">
        <x:f>IF(ISNUMBER(C283),C283^2,"")</x:f>
      </x:c>
      <x:c r="F283" s="16" t="str">
        <x:f>IF(AND(ISNUMBER(C283),ISNUMBER($J$6),$J$6&gt;0),(C283-$J$5)/$J$6,"")</x:f>
      </x:c>
      <x:c r="G283" s="1" t="str">
        <x:f>IF(ISNUMBER(F283),IF(ABS(F283)&gt;3,1,0),"")</x:f>
      </x:c>
      <x:c r="H283" s="1" t="str">
        <x:f>IF(ISNUMBER(F283),F283^4,"")</x:f>
      </x:c>
      <x:c r="I283" s="1"/>
      <x:c r="J283" s="1"/>
      <x:c r="K283" s="1"/>
      <x:c r="L283" s="1"/>
      <x:c r="M283" s="1"/>
      <x:c r="N283" s="1"/>
    </x:row>
    <x:row r="284" ht="22" customHeight="1">
      <x:c r="A284" s="14"/>
      <x:c r="B284" s="15"/>
      <x:c r="C284" s="16" t="str">
        <x:f>IF(AND(ISNUMBER(B284),ISNUMBER(B283),B284&gt;0,B283&gt;0),LN(B284/B283),"")</x:f>
      </x:c>
      <x:c r="D284" s="16" t="str">
        <x:f>IF(ISNUMBER(C284),ABS(C284),"")</x:f>
      </x:c>
      <x:c r="E284" s="16" t="str">
        <x:f>IF(ISNUMBER(C284),C284^2,"")</x:f>
      </x:c>
      <x:c r="F284" s="16" t="str">
        <x:f>IF(AND(ISNUMBER(C284),ISNUMBER($J$6),$J$6&gt;0),(C284-$J$5)/$J$6,"")</x:f>
      </x:c>
      <x:c r="G284" s="1" t="str">
        <x:f>IF(ISNUMBER(F284),IF(ABS(F284)&gt;3,1,0),"")</x:f>
      </x:c>
      <x:c r="H284" s="1" t="str">
        <x:f>IF(ISNUMBER(F284),F284^4,"")</x:f>
      </x:c>
      <x:c r="I284" s="1"/>
      <x:c r="J284" s="1"/>
      <x:c r="K284" s="1"/>
      <x:c r="L284" s="1"/>
      <x:c r="M284" s="1"/>
      <x:c r="N284" s="1"/>
    </x:row>
    <x:row r="285" ht="22" customHeight="1">
      <x:c r="A285" s="14"/>
      <x:c r="B285" s="15"/>
      <x:c r="C285" s="16" t="str">
        <x:f>IF(AND(ISNUMBER(B285),ISNUMBER(B284),B285&gt;0,B284&gt;0),LN(B285/B284),"")</x:f>
      </x:c>
      <x:c r="D285" s="16" t="str">
        <x:f>IF(ISNUMBER(C285),ABS(C285),"")</x:f>
      </x:c>
      <x:c r="E285" s="16" t="str">
        <x:f>IF(ISNUMBER(C285),C285^2,"")</x:f>
      </x:c>
      <x:c r="F285" s="16" t="str">
        <x:f>IF(AND(ISNUMBER(C285),ISNUMBER($J$6),$J$6&gt;0),(C285-$J$5)/$J$6,"")</x:f>
      </x:c>
      <x:c r="G285" s="1" t="str">
        <x:f>IF(ISNUMBER(F285),IF(ABS(F285)&gt;3,1,0),"")</x:f>
      </x:c>
      <x:c r="H285" s="1" t="str">
        <x:f>IF(ISNUMBER(F285),F285^4,"")</x:f>
      </x:c>
      <x:c r="I285" s="1"/>
      <x:c r="J285" s="1"/>
      <x:c r="K285" s="1"/>
      <x:c r="L285" s="1"/>
      <x:c r="M285" s="1"/>
      <x:c r="N285" s="1"/>
    </x:row>
    <x:row r="286" ht="22" customHeight="1">
      <x:c r="A286" s="14"/>
      <x:c r="B286" s="15"/>
      <x:c r="C286" s="16" t="str">
        <x:f>IF(AND(ISNUMBER(B286),ISNUMBER(B285),B286&gt;0,B285&gt;0),LN(B286/B285),"")</x:f>
      </x:c>
      <x:c r="D286" s="16" t="str">
        <x:f>IF(ISNUMBER(C286),ABS(C286),"")</x:f>
      </x:c>
      <x:c r="E286" s="16" t="str">
        <x:f>IF(ISNUMBER(C286),C286^2,"")</x:f>
      </x:c>
      <x:c r="F286" s="16" t="str">
        <x:f>IF(AND(ISNUMBER(C286),ISNUMBER($J$6),$J$6&gt;0),(C286-$J$5)/$J$6,"")</x:f>
      </x:c>
      <x:c r="G286" s="1" t="str">
        <x:f>IF(ISNUMBER(F286),IF(ABS(F286)&gt;3,1,0),"")</x:f>
      </x:c>
      <x:c r="H286" s="1" t="str">
        <x:f>IF(ISNUMBER(F286),F286^4,"")</x:f>
      </x:c>
      <x:c r="I286" s="1"/>
      <x:c r="J286" s="1"/>
      <x:c r="K286" s="1"/>
      <x:c r="L286" s="1"/>
      <x:c r="M286" s="1"/>
      <x:c r="N286" s="1"/>
    </x:row>
    <x:row r="287" ht="22" customHeight="1">
      <x:c r="A287" s="14"/>
      <x:c r="B287" s="15"/>
      <x:c r="C287" s="16" t="str">
        <x:f>IF(AND(ISNUMBER(B287),ISNUMBER(B286),B287&gt;0,B286&gt;0),LN(B287/B286),"")</x:f>
      </x:c>
      <x:c r="D287" s="16" t="str">
        <x:f>IF(ISNUMBER(C287),ABS(C287),"")</x:f>
      </x:c>
      <x:c r="E287" s="16" t="str">
        <x:f>IF(ISNUMBER(C287),C287^2,"")</x:f>
      </x:c>
      <x:c r="F287" s="16" t="str">
        <x:f>IF(AND(ISNUMBER(C287),ISNUMBER($J$6),$J$6&gt;0),(C287-$J$5)/$J$6,"")</x:f>
      </x:c>
      <x:c r="G287" s="1" t="str">
        <x:f>IF(ISNUMBER(F287),IF(ABS(F287)&gt;3,1,0),"")</x:f>
      </x:c>
      <x:c r="H287" s="1" t="str">
        <x:f>IF(ISNUMBER(F287),F287^4,"")</x:f>
      </x:c>
      <x:c r="I287" s="1"/>
      <x:c r="J287" s="1"/>
      <x:c r="K287" s="1"/>
      <x:c r="L287" s="1"/>
      <x:c r="M287" s="1"/>
      <x:c r="N287" s="1"/>
    </x:row>
    <x:row r="288" ht="22" customHeight="1">
      <x:c r="A288" s="14"/>
      <x:c r="B288" s="15"/>
      <x:c r="C288" s="16" t="str">
        <x:f>IF(AND(ISNUMBER(B288),ISNUMBER(B287),B288&gt;0,B287&gt;0),LN(B288/B287),"")</x:f>
      </x:c>
      <x:c r="D288" s="16" t="str">
        <x:f>IF(ISNUMBER(C288),ABS(C288),"")</x:f>
      </x:c>
      <x:c r="E288" s="16" t="str">
        <x:f>IF(ISNUMBER(C288),C288^2,"")</x:f>
      </x:c>
      <x:c r="F288" s="16" t="str">
        <x:f>IF(AND(ISNUMBER(C288),ISNUMBER($J$6),$J$6&gt;0),(C288-$J$5)/$J$6,"")</x:f>
      </x:c>
      <x:c r="G288" s="1" t="str">
        <x:f>IF(ISNUMBER(F288),IF(ABS(F288)&gt;3,1,0),"")</x:f>
      </x:c>
      <x:c r="H288" s="1" t="str">
        <x:f>IF(ISNUMBER(F288),F288^4,"")</x:f>
      </x:c>
      <x:c r="I288" s="1"/>
      <x:c r="J288" s="1"/>
      <x:c r="K288" s="1"/>
      <x:c r="L288" s="1"/>
      <x:c r="M288" s="1"/>
      <x:c r="N288" s="1"/>
    </x:row>
    <x:row r="289" ht="22" customHeight="1">
      <x:c r="A289" s="14"/>
      <x:c r="B289" s="15"/>
      <x:c r="C289" s="16" t="str">
        <x:f>IF(AND(ISNUMBER(B289),ISNUMBER(B288),B289&gt;0,B288&gt;0),LN(B289/B288),"")</x:f>
      </x:c>
      <x:c r="D289" s="16" t="str">
        <x:f>IF(ISNUMBER(C289),ABS(C289),"")</x:f>
      </x:c>
      <x:c r="E289" s="16" t="str">
        <x:f>IF(ISNUMBER(C289),C289^2,"")</x:f>
      </x:c>
      <x:c r="F289" s="16" t="str">
        <x:f>IF(AND(ISNUMBER(C289),ISNUMBER($J$6),$J$6&gt;0),(C289-$J$5)/$J$6,"")</x:f>
      </x:c>
      <x:c r="G289" s="1" t="str">
        <x:f>IF(ISNUMBER(F289),IF(ABS(F289)&gt;3,1,0),"")</x:f>
      </x:c>
      <x:c r="H289" s="1" t="str">
        <x:f>IF(ISNUMBER(F289),F289^4,"")</x:f>
      </x:c>
      <x:c r="I289" s="1"/>
      <x:c r="J289" s="1"/>
      <x:c r="K289" s="1"/>
      <x:c r="L289" s="1"/>
      <x:c r="M289" s="1"/>
      <x:c r="N289" s="1"/>
    </x:row>
    <x:row r="290" ht="22" customHeight="1">
      <x:c r="A290" s="14"/>
      <x:c r="B290" s="15"/>
      <x:c r="C290" s="16" t="str">
        <x:f>IF(AND(ISNUMBER(B290),ISNUMBER(B289),B290&gt;0,B289&gt;0),LN(B290/B289),"")</x:f>
      </x:c>
      <x:c r="D290" s="16" t="str">
        <x:f>IF(ISNUMBER(C290),ABS(C290),"")</x:f>
      </x:c>
      <x:c r="E290" s="16" t="str">
        <x:f>IF(ISNUMBER(C290),C290^2,"")</x:f>
      </x:c>
      <x:c r="F290" s="16" t="str">
        <x:f>IF(AND(ISNUMBER(C290),ISNUMBER($J$6),$J$6&gt;0),(C290-$J$5)/$J$6,"")</x:f>
      </x:c>
      <x:c r="G290" s="1" t="str">
        <x:f>IF(ISNUMBER(F290),IF(ABS(F290)&gt;3,1,0),"")</x:f>
      </x:c>
      <x:c r="H290" s="1" t="str">
        <x:f>IF(ISNUMBER(F290),F290^4,"")</x:f>
      </x:c>
      <x:c r="I290" s="1"/>
      <x:c r="J290" s="1"/>
      <x:c r="K290" s="1"/>
      <x:c r="L290" s="1"/>
      <x:c r="M290" s="1"/>
      <x:c r="N290" s="1"/>
    </x:row>
    <x:row r="291" ht="22" customHeight="1">
      <x:c r="A291" s="14"/>
      <x:c r="B291" s="15"/>
      <x:c r="C291" s="16" t="str">
        <x:f>IF(AND(ISNUMBER(B291),ISNUMBER(B290),B291&gt;0,B290&gt;0),LN(B291/B290),"")</x:f>
      </x:c>
      <x:c r="D291" s="16" t="str">
        <x:f>IF(ISNUMBER(C291),ABS(C291),"")</x:f>
      </x:c>
      <x:c r="E291" s="16" t="str">
        <x:f>IF(ISNUMBER(C291),C291^2,"")</x:f>
      </x:c>
      <x:c r="F291" s="16" t="str">
        <x:f>IF(AND(ISNUMBER(C291),ISNUMBER($J$6),$J$6&gt;0),(C291-$J$5)/$J$6,"")</x:f>
      </x:c>
      <x:c r="G291" s="1" t="str">
        <x:f>IF(ISNUMBER(F291),IF(ABS(F291)&gt;3,1,0),"")</x:f>
      </x:c>
      <x:c r="H291" s="1" t="str">
        <x:f>IF(ISNUMBER(F291),F291^4,"")</x:f>
      </x:c>
      <x:c r="I291" s="1"/>
      <x:c r="J291" s="1"/>
      <x:c r="K291" s="1"/>
      <x:c r="L291" s="1"/>
      <x:c r="M291" s="1"/>
      <x:c r="N291" s="1"/>
    </x:row>
    <x:row r="292" ht="22" customHeight="1">
      <x:c r="A292" s="14"/>
      <x:c r="B292" s="15"/>
      <x:c r="C292" s="16" t="str">
        <x:f>IF(AND(ISNUMBER(B292),ISNUMBER(B291),B292&gt;0,B291&gt;0),LN(B292/B291),"")</x:f>
      </x:c>
      <x:c r="D292" s="16" t="str">
        <x:f>IF(ISNUMBER(C292),ABS(C292),"")</x:f>
      </x:c>
      <x:c r="E292" s="16" t="str">
        <x:f>IF(ISNUMBER(C292),C292^2,"")</x:f>
      </x:c>
      <x:c r="F292" s="16" t="str">
        <x:f>IF(AND(ISNUMBER(C292),ISNUMBER($J$6),$J$6&gt;0),(C292-$J$5)/$J$6,"")</x:f>
      </x:c>
      <x:c r="G292" s="1" t="str">
        <x:f>IF(ISNUMBER(F292),IF(ABS(F292)&gt;3,1,0),"")</x:f>
      </x:c>
      <x:c r="H292" s="1" t="str">
        <x:f>IF(ISNUMBER(F292),F292^4,"")</x:f>
      </x:c>
      <x:c r="I292" s="1"/>
      <x:c r="J292" s="1"/>
      <x:c r="K292" s="1"/>
      <x:c r="L292" s="1"/>
      <x:c r="M292" s="1"/>
      <x:c r="N292" s="1"/>
    </x:row>
    <x:row r="293" ht="22" customHeight="1">
      <x:c r="A293" s="14"/>
      <x:c r="B293" s="15"/>
      <x:c r="C293" s="16" t="str">
        <x:f>IF(AND(ISNUMBER(B293),ISNUMBER(B292),B293&gt;0,B292&gt;0),LN(B293/B292),"")</x:f>
      </x:c>
      <x:c r="D293" s="16" t="str">
        <x:f>IF(ISNUMBER(C293),ABS(C293),"")</x:f>
      </x:c>
      <x:c r="E293" s="16" t="str">
        <x:f>IF(ISNUMBER(C293),C293^2,"")</x:f>
      </x:c>
      <x:c r="F293" s="16" t="str">
        <x:f>IF(AND(ISNUMBER(C293),ISNUMBER($J$6),$J$6&gt;0),(C293-$J$5)/$J$6,"")</x:f>
      </x:c>
      <x:c r="G293" s="1" t="str">
        <x:f>IF(ISNUMBER(F293),IF(ABS(F293)&gt;3,1,0),"")</x:f>
      </x:c>
      <x:c r="H293" s="1" t="str">
        <x:f>IF(ISNUMBER(F293),F293^4,"")</x:f>
      </x:c>
      <x:c r="I293" s="1"/>
      <x:c r="J293" s="1"/>
      <x:c r="K293" s="1"/>
      <x:c r="L293" s="1"/>
      <x:c r="M293" s="1"/>
      <x:c r="N293" s="1"/>
    </x:row>
    <x:row r="294" ht="22" customHeight="1">
      <x:c r="A294" s="14"/>
      <x:c r="B294" s="15"/>
      <x:c r="C294" s="16" t="str">
        <x:f>IF(AND(ISNUMBER(B294),ISNUMBER(B293),B294&gt;0,B293&gt;0),LN(B294/B293),"")</x:f>
      </x:c>
      <x:c r="D294" s="16" t="str">
        <x:f>IF(ISNUMBER(C294),ABS(C294),"")</x:f>
      </x:c>
      <x:c r="E294" s="16" t="str">
        <x:f>IF(ISNUMBER(C294),C294^2,"")</x:f>
      </x:c>
      <x:c r="F294" s="16" t="str">
        <x:f>IF(AND(ISNUMBER(C294),ISNUMBER($J$6),$J$6&gt;0),(C294-$J$5)/$J$6,"")</x:f>
      </x:c>
      <x:c r="G294" s="1" t="str">
        <x:f>IF(ISNUMBER(F294),IF(ABS(F294)&gt;3,1,0),"")</x:f>
      </x:c>
      <x:c r="H294" s="1" t="str">
        <x:f>IF(ISNUMBER(F294),F294^4,"")</x:f>
      </x:c>
      <x:c r="I294" s="1"/>
      <x:c r="J294" s="1"/>
      <x:c r="K294" s="1"/>
      <x:c r="L294" s="1"/>
      <x:c r="M294" s="1"/>
      <x:c r="N294" s="1"/>
    </x:row>
    <x:row r="295" ht="22" customHeight="1">
      <x:c r="A295" s="14"/>
      <x:c r="B295" s="15"/>
      <x:c r="C295" s="16" t="str">
        <x:f>IF(AND(ISNUMBER(B295),ISNUMBER(B294),B295&gt;0,B294&gt;0),LN(B295/B294),"")</x:f>
      </x:c>
      <x:c r="D295" s="16" t="str">
        <x:f>IF(ISNUMBER(C295),ABS(C295),"")</x:f>
      </x:c>
      <x:c r="E295" s="16" t="str">
        <x:f>IF(ISNUMBER(C295),C295^2,"")</x:f>
      </x:c>
      <x:c r="F295" s="16" t="str">
        <x:f>IF(AND(ISNUMBER(C295),ISNUMBER($J$6),$J$6&gt;0),(C295-$J$5)/$J$6,"")</x:f>
      </x:c>
      <x:c r="G295" s="1" t="str">
        <x:f>IF(ISNUMBER(F295),IF(ABS(F295)&gt;3,1,0),"")</x:f>
      </x:c>
      <x:c r="H295" s="1" t="str">
        <x:f>IF(ISNUMBER(F295),F295^4,"")</x:f>
      </x:c>
      <x:c r="I295" s="1"/>
      <x:c r="J295" s="1"/>
      <x:c r="K295" s="1"/>
      <x:c r="L295" s="1"/>
      <x:c r="M295" s="1"/>
      <x:c r="N295" s="1"/>
    </x:row>
    <x:row r="296" ht="22" customHeight="1">
      <x:c r="A296" s="14"/>
      <x:c r="B296" s="15"/>
      <x:c r="C296" s="16" t="str">
        <x:f>IF(AND(ISNUMBER(B296),ISNUMBER(B295),B296&gt;0,B295&gt;0),LN(B296/B295),"")</x:f>
      </x:c>
      <x:c r="D296" s="16" t="str">
        <x:f>IF(ISNUMBER(C296),ABS(C296),"")</x:f>
      </x:c>
      <x:c r="E296" s="16" t="str">
        <x:f>IF(ISNUMBER(C296),C296^2,"")</x:f>
      </x:c>
      <x:c r="F296" s="16" t="str">
        <x:f>IF(AND(ISNUMBER(C296),ISNUMBER($J$6),$J$6&gt;0),(C296-$J$5)/$J$6,"")</x:f>
      </x:c>
      <x:c r="G296" s="1" t="str">
        <x:f>IF(ISNUMBER(F296),IF(ABS(F296)&gt;3,1,0),"")</x:f>
      </x:c>
      <x:c r="H296" s="1" t="str">
        <x:f>IF(ISNUMBER(F296),F296^4,"")</x:f>
      </x:c>
      <x:c r="I296" s="1"/>
      <x:c r="J296" s="1"/>
      <x:c r="K296" s="1"/>
      <x:c r="L296" s="1"/>
      <x:c r="M296" s="1"/>
      <x:c r="N296" s="1"/>
    </x:row>
    <x:row r="297" ht="22" customHeight="1">
      <x:c r="A297" s="14"/>
      <x:c r="B297" s="15"/>
      <x:c r="C297" s="16" t="str">
        <x:f>IF(AND(ISNUMBER(B297),ISNUMBER(B296),B297&gt;0,B296&gt;0),LN(B297/B296),"")</x:f>
      </x:c>
      <x:c r="D297" s="16" t="str">
        <x:f>IF(ISNUMBER(C297),ABS(C297),"")</x:f>
      </x:c>
      <x:c r="E297" s="16" t="str">
        <x:f>IF(ISNUMBER(C297),C297^2,"")</x:f>
      </x:c>
      <x:c r="F297" s="16" t="str">
        <x:f>IF(AND(ISNUMBER(C297),ISNUMBER($J$6),$J$6&gt;0),(C297-$J$5)/$J$6,"")</x:f>
      </x:c>
      <x:c r="G297" s="1" t="str">
        <x:f>IF(ISNUMBER(F297),IF(ABS(F297)&gt;3,1,0),"")</x:f>
      </x:c>
      <x:c r="H297" s="1" t="str">
        <x:f>IF(ISNUMBER(F297),F297^4,"")</x:f>
      </x:c>
      <x:c r="I297" s="1"/>
      <x:c r="J297" s="1"/>
      <x:c r="K297" s="1"/>
      <x:c r="L297" s="1"/>
      <x:c r="M297" s="1"/>
      <x:c r="N297" s="1"/>
    </x:row>
    <x:row r="298" ht="22" customHeight="1">
      <x:c r="A298" s="14"/>
      <x:c r="B298" s="15"/>
      <x:c r="C298" s="16" t="str">
        <x:f>IF(AND(ISNUMBER(B298),ISNUMBER(B297),B298&gt;0,B297&gt;0),LN(B298/B297),"")</x:f>
      </x:c>
      <x:c r="D298" s="16" t="str">
        <x:f>IF(ISNUMBER(C298),ABS(C298),"")</x:f>
      </x:c>
      <x:c r="E298" s="16" t="str">
        <x:f>IF(ISNUMBER(C298),C298^2,"")</x:f>
      </x:c>
      <x:c r="F298" s="16" t="str">
        <x:f>IF(AND(ISNUMBER(C298),ISNUMBER($J$6),$J$6&gt;0),(C298-$J$5)/$J$6,"")</x:f>
      </x:c>
      <x:c r="G298" s="1" t="str">
        <x:f>IF(ISNUMBER(F298),IF(ABS(F298)&gt;3,1,0),"")</x:f>
      </x:c>
      <x:c r="H298" s="1" t="str">
        <x:f>IF(ISNUMBER(F298),F298^4,"")</x:f>
      </x:c>
      <x:c r="I298" s="1"/>
      <x:c r="J298" s="1"/>
      <x:c r="K298" s="1"/>
      <x:c r="L298" s="1"/>
      <x:c r="M298" s="1"/>
      <x:c r="N298" s="1"/>
    </x:row>
    <x:row r="299" ht="22" customHeight="1">
      <x:c r="A299" s="14"/>
      <x:c r="B299" s="15"/>
      <x:c r="C299" s="16" t="str">
        <x:f>IF(AND(ISNUMBER(B299),ISNUMBER(B298),B299&gt;0,B298&gt;0),LN(B299/B298),"")</x:f>
      </x:c>
      <x:c r="D299" s="16" t="str">
        <x:f>IF(ISNUMBER(C299),ABS(C299),"")</x:f>
      </x:c>
      <x:c r="E299" s="16" t="str">
        <x:f>IF(ISNUMBER(C299),C299^2,"")</x:f>
      </x:c>
      <x:c r="F299" s="16" t="str">
        <x:f>IF(AND(ISNUMBER(C299),ISNUMBER($J$6),$J$6&gt;0),(C299-$J$5)/$J$6,"")</x:f>
      </x:c>
      <x:c r="G299" s="1" t="str">
        <x:f>IF(ISNUMBER(F299),IF(ABS(F299)&gt;3,1,0),"")</x:f>
      </x:c>
      <x:c r="H299" s="1" t="str">
        <x:f>IF(ISNUMBER(F299),F299^4,"")</x:f>
      </x:c>
      <x:c r="I299" s="1"/>
      <x:c r="J299" s="1"/>
      <x:c r="K299" s="1"/>
      <x:c r="L299" s="1"/>
      <x:c r="M299" s="1"/>
      <x:c r="N299" s="1"/>
    </x:row>
    <x:row r="300" ht="22" customHeight="1">
      <x:c r="A300" s="14"/>
      <x:c r="B300" s="15"/>
      <x:c r="C300" s="16" t="str">
        <x:f>IF(AND(ISNUMBER(B300),ISNUMBER(B299),B300&gt;0,B299&gt;0),LN(B300/B299),"")</x:f>
      </x:c>
      <x:c r="D300" s="16" t="str">
        <x:f>IF(ISNUMBER(C300),ABS(C300),"")</x:f>
      </x:c>
      <x:c r="E300" s="16" t="str">
        <x:f>IF(ISNUMBER(C300),C300^2,"")</x:f>
      </x:c>
      <x:c r="F300" s="16" t="str">
        <x:f>IF(AND(ISNUMBER(C300),ISNUMBER($J$6),$J$6&gt;0),(C300-$J$5)/$J$6,"")</x:f>
      </x:c>
      <x:c r="G300" s="1" t="str">
        <x:f>IF(ISNUMBER(F300),IF(ABS(F300)&gt;3,1,0),"")</x:f>
      </x:c>
      <x:c r="H300" s="1" t="str">
        <x:f>IF(ISNUMBER(F300),F300^4,"")</x:f>
      </x:c>
      <x:c r="I300" s="1"/>
      <x:c r="J300" s="1"/>
      <x:c r="K300" s="1"/>
      <x:c r="L300" s="1"/>
      <x:c r="M300" s="1"/>
      <x:c r="N300" s="1"/>
    </x:row>
    <x:row r="301" ht="22" customHeight="1">
      <x:c r="A301" s="14"/>
      <x:c r="B301" s="15"/>
      <x:c r="C301" s="16" t="str">
        <x:f>IF(AND(ISNUMBER(B301),ISNUMBER(B300),B301&gt;0,B300&gt;0),LN(B301/B300),"")</x:f>
      </x:c>
      <x:c r="D301" s="16" t="str">
        <x:f>IF(ISNUMBER(C301),ABS(C301),"")</x:f>
      </x:c>
      <x:c r="E301" s="16" t="str">
        <x:f>IF(ISNUMBER(C301),C301^2,"")</x:f>
      </x:c>
      <x:c r="F301" s="16" t="str">
        <x:f>IF(AND(ISNUMBER(C301),ISNUMBER($J$6),$J$6&gt;0),(C301-$J$5)/$J$6,"")</x:f>
      </x:c>
      <x:c r="G301" s="1" t="str">
        <x:f>IF(ISNUMBER(F301),IF(ABS(F301)&gt;3,1,0),"")</x:f>
      </x:c>
      <x:c r="H301" s="1" t="str">
        <x:f>IF(ISNUMBER(F301),F301^4,"")</x:f>
      </x:c>
      <x:c r="I301" s="1"/>
      <x:c r="J301" s="1"/>
      <x:c r="K301" s="1"/>
      <x:c r="L301" s="1"/>
      <x:c r="M301" s="1"/>
      <x:c r="N301" s="1"/>
    </x:row>
    <x:row r="302" ht="22" customHeight="1">
      <x:c r="A302" s="14"/>
      <x:c r="B302" s="15"/>
      <x:c r="C302" s="16" t="str">
        <x:f>IF(AND(ISNUMBER(B302),ISNUMBER(B301),B302&gt;0,B301&gt;0),LN(B302/B301),"")</x:f>
      </x:c>
      <x:c r="D302" s="16" t="str">
        <x:f>IF(ISNUMBER(C302),ABS(C302),"")</x:f>
      </x:c>
      <x:c r="E302" s="16" t="str">
        <x:f>IF(ISNUMBER(C302),C302^2,"")</x:f>
      </x:c>
      <x:c r="F302" s="16" t="str">
        <x:f>IF(AND(ISNUMBER(C302),ISNUMBER($J$6),$J$6&gt;0),(C302-$J$5)/$J$6,"")</x:f>
      </x:c>
      <x:c r="G302" s="1" t="str">
        <x:f>IF(ISNUMBER(F302),IF(ABS(F302)&gt;3,1,0),"")</x:f>
      </x:c>
      <x:c r="H302" s="1" t="str">
        <x:f>IF(ISNUMBER(F302),F302^4,"")</x:f>
      </x:c>
      <x:c r="I302" s="1"/>
      <x:c r="J302" s="1"/>
      <x:c r="K302" s="1"/>
      <x:c r="L302" s="1"/>
      <x:c r="M302" s="1"/>
      <x:c r="N302" s="1"/>
    </x:row>
    <x:row r="303" ht="22" customHeight="1">
      <x:c r="A303" s="14"/>
      <x:c r="B303" s="15"/>
      <x:c r="C303" s="16" t="str">
        <x:f>IF(AND(ISNUMBER(B303),ISNUMBER(B302),B303&gt;0,B302&gt;0),LN(B303/B302),"")</x:f>
      </x:c>
      <x:c r="D303" s="16" t="str">
        <x:f>IF(ISNUMBER(C303),ABS(C303),"")</x:f>
      </x:c>
      <x:c r="E303" s="16" t="str">
        <x:f>IF(ISNUMBER(C303),C303^2,"")</x:f>
      </x:c>
      <x:c r="F303" s="16" t="str">
        <x:f>IF(AND(ISNUMBER(C303),ISNUMBER($J$6),$J$6&gt;0),(C303-$J$5)/$J$6,"")</x:f>
      </x:c>
      <x:c r="G303" s="1" t="str">
        <x:f>IF(ISNUMBER(F303),IF(ABS(F303)&gt;3,1,0),"")</x:f>
      </x:c>
      <x:c r="H303" s="1" t="str">
        <x:f>IF(ISNUMBER(F303),F303^4,"")</x:f>
      </x:c>
      <x:c r="I303" s="1"/>
      <x:c r="J303" s="1"/>
      <x:c r="K303" s="1"/>
      <x:c r="L303" s="1"/>
      <x:c r="M303" s="1"/>
      <x:c r="N303" s="1"/>
    </x:row>
    <x:row r="304" ht="22" customHeight="1">
      <x:c r="A304" s="14"/>
      <x:c r="B304" s="15"/>
      <x:c r="C304" s="16" t="str">
        <x:f>IF(AND(ISNUMBER(B304),ISNUMBER(B303),B304&gt;0,B303&gt;0),LN(B304/B303),"")</x:f>
      </x:c>
      <x:c r="D304" s="16" t="str">
        <x:f>IF(ISNUMBER(C304),ABS(C304),"")</x:f>
      </x:c>
      <x:c r="E304" s="16" t="str">
        <x:f>IF(ISNUMBER(C304),C304^2,"")</x:f>
      </x:c>
      <x:c r="F304" s="16" t="str">
        <x:f>IF(AND(ISNUMBER(C304),ISNUMBER($J$6),$J$6&gt;0),(C304-$J$5)/$J$6,"")</x:f>
      </x:c>
      <x:c r="G304" s="1" t="str">
        <x:f>IF(ISNUMBER(F304),IF(ABS(F304)&gt;3,1,0),"")</x:f>
      </x:c>
      <x:c r="H304" s="1" t="str">
        <x:f>IF(ISNUMBER(F304),F304^4,"")</x:f>
      </x:c>
      <x:c r="I304" s="1"/>
      <x:c r="J304" s="1"/>
      <x:c r="K304" s="1"/>
      <x:c r="L304" s="1"/>
      <x:c r="M304" s="1"/>
      <x:c r="N304" s="1"/>
    </x:row>
    <x:row r="305" ht="22" customHeight="1">
      <x:c r="A305" s="14"/>
      <x:c r="B305" s="15"/>
      <x:c r="C305" s="16" t="str">
        <x:f>IF(AND(ISNUMBER(B305),ISNUMBER(B304),B305&gt;0,B304&gt;0),LN(B305/B304),"")</x:f>
      </x:c>
      <x:c r="D305" s="16" t="str">
        <x:f>IF(ISNUMBER(C305),ABS(C305),"")</x:f>
      </x:c>
      <x:c r="E305" s="16" t="str">
        <x:f>IF(ISNUMBER(C305),C305^2,"")</x:f>
      </x:c>
      <x:c r="F305" s="16" t="str">
        <x:f>IF(AND(ISNUMBER(C305),ISNUMBER($J$6),$J$6&gt;0),(C305-$J$5)/$J$6,"")</x:f>
      </x:c>
      <x:c r="G305" s="1" t="str">
        <x:f>IF(ISNUMBER(F305),IF(ABS(F305)&gt;3,1,0),"")</x:f>
      </x:c>
      <x:c r="H305" s="1" t="str">
        <x:f>IF(ISNUMBER(F305),F305^4,"")</x:f>
      </x:c>
      <x:c r="I305" s="1"/>
      <x:c r="J305" s="1"/>
      <x:c r="K305" s="1"/>
      <x:c r="L305" s="1"/>
      <x:c r="M305" s="1"/>
      <x:c r="N305" s="1"/>
    </x:row>
    <x:row r="306" ht="22" customHeight="1">
      <x:c r="A306" s="14"/>
      <x:c r="B306" s="15"/>
      <x:c r="C306" s="16" t="str">
        <x:f>IF(AND(ISNUMBER(B306),ISNUMBER(B305),B306&gt;0,B305&gt;0),LN(B306/B305),"")</x:f>
      </x:c>
      <x:c r="D306" s="16" t="str">
        <x:f>IF(ISNUMBER(C306),ABS(C306),"")</x:f>
      </x:c>
      <x:c r="E306" s="16" t="str">
        <x:f>IF(ISNUMBER(C306),C306^2,"")</x:f>
      </x:c>
      <x:c r="F306" s="16" t="str">
        <x:f>IF(AND(ISNUMBER(C306),ISNUMBER($J$6),$J$6&gt;0),(C306-$J$5)/$J$6,"")</x:f>
      </x:c>
      <x:c r="G306" s="1" t="str">
        <x:f>IF(ISNUMBER(F306),IF(ABS(F306)&gt;3,1,0),"")</x:f>
      </x:c>
      <x:c r="H306" s="1" t="str">
        <x:f>IF(ISNUMBER(F306),F306^4,"")</x:f>
      </x:c>
      <x:c r="I306" s="1"/>
      <x:c r="J306" s="1"/>
      <x:c r="K306" s="1"/>
      <x:c r="L306" s="1"/>
      <x:c r="M306" s="1"/>
      <x:c r="N306" s="1"/>
    </x:row>
    <x:row r="307" ht="22" customHeight="1">
      <x:c r="A307" s="14"/>
      <x:c r="B307" s="15"/>
      <x:c r="C307" s="16" t="str">
        <x:f>IF(AND(ISNUMBER(B307),ISNUMBER(B306),B307&gt;0,B306&gt;0),LN(B307/B306),"")</x:f>
      </x:c>
      <x:c r="D307" s="16" t="str">
        <x:f>IF(ISNUMBER(C307),ABS(C307),"")</x:f>
      </x:c>
      <x:c r="E307" s="16" t="str">
        <x:f>IF(ISNUMBER(C307),C307^2,"")</x:f>
      </x:c>
      <x:c r="F307" s="16" t="str">
        <x:f>IF(AND(ISNUMBER(C307),ISNUMBER($J$6),$J$6&gt;0),(C307-$J$5)/$J$6,"")</x:f>
      </x:c>
      <x:c r="G307" s="1" t="str">
        <x:f>IF(ISNUMBER(F307),IF(ABS(F307)&gt;3,1,0),"")</x:f>
      </x:c>
      <x:c r="H307" s="1" t="str">
        <x:f>IF(ISNUMBER(F307),F307^4,"")</x:f>
      </x:c>
      <x:c r="I307" s="1"/>
      <x:c r="J307" s="1"/>
      <x:c r="K307" s="1"/>
      <x:c r="L307" s="1"/>
      <x:c r="M307" s="1"/>
      <x:c r="N307" s="1"/>
    </x:row>
    <x:row r="308" ht="22" customHeight="1">
      <x:c r="A308" s="14"/>
      <x:c r="B308" s="15"/>
      <x:c r="C308" s="16" t="str">
        <x:f>IF(AND(ISNUMBER(B308),ISNUMBER(B307),B308&gt;0,B307&gt;0),LN(B308/B307),"")</x:f>
      </x:c>
      <x:c r="D308" s="16" t="str">
        <x:f>IF(ISNUMBER(C308),ABS(C308),"")</x:f>
      </x:c>
      <x:c r="E308" s="16" t="str">
        <x:f>IF(ISNUMBER(C308),C308^2,"")</x:f>
      </x:c>
      <x:c r="F308" s="16" t="str">
        <x:f>IF(AND(ISNUMBER(C308),ISNUMBER($J$6),$J$6&gt;0),(C308-$J$5)/$J$6,"")</x:f>
      </x:c>
      <x:c r="G308" s="1" t="str">
        <x:f>IF(ISNUMBER(F308),IF(ABS(F308)&gt;3,1,0),"")</x:f>
      </x:c>
      <x:c r="H308" s="1" t="str">
        <x:f>IF(ISNUMBER(F308),F308^4,"")</x:f>
      </x:c>
      <x:c r="I308" s="1"/>
      <x:c r="J308" s="1"/>
      <x:c r="K308" s="1"/>
      <x:c r="L308" s="1"/>
      <x:c r="M308" s="1"/>
      <x:c r="N308" s="1"/>
    </x:row>
    <x:row r="309" ht="22" customHeight="1">
      <x:c r="A309" s="14"/>
      <x:c r="B309" s="15"/>
      <x:c r="C309" s="16" t="str">
        <x:f>IF(AND(ISNUMBER(B309),ISNUMBER(B308),B309&gt;0,B308&gt;0),LN(B309/B308),"")</x:f>
      </x:c>
      <x:c r="D309" s="16" t="str">
        <x:f>IF(ISNUMBER(C309),ABS(C309),"")</x:f>
      </x:c>
      <x:c r="E309" s="16" t="str">
        <x:f>IF(ISNUMBER(C309),C309^2,"")</x:f>
      </x:c>
      <x:c r="F309" s="16" t="str">
        <x:f>IF(AND(ISNUMBER(C309),ISNUMBER($J$6),$J$6&gt;0),(C309-$J$5)/$J$6,"")</x:f>
      </x:c>
      <x:c r="G309" s="1" t="str">
        <x:f>IF(ISNUMBER(F309),IF(ABS(F309)&gt;3,1,0),"")</x:f>
      </x:c>
      <x:c r="H309" s="1" t="str">
        <x:f>IF(ISNUMBER(F309),F309^4,"")</x:f>
      </x:c>
      <x:c r="I309" s="1"/>
      <x:c r="J309" s="1"/>
      <x:c r="K309" s="1"/>
      <x:c r="L309" s="1"/>
      <x:c r="M309" s="1"/>
      <x:c r="N309" s="1"/>
    </x:row>
    <x:row r="310" ht="22" customHeight="1">
      <x:c r="A310" s="14"/>
      <x:c r="B310" s="15"/>
      <x:c r="C310" s="16" t="str">
        <x:f>IF(AND(ISNUMBER(B310),ISNUMBER(B309),B310&gt;0,B309&gt;0),LN(B310/B309),"")</x:f>
      </x:c>
      <x:c r="D310" s="16" t="str">
        <x:f>IF(ISNUMBER(C310),ABS(C310),"")</x:f>
      </x:c>
      <x:c r="E310" s="16" t="str">
        <x:f>IF(ISNUMBER(C310),C310^2,"")</x:f>
      </x:c>
      <x:c r="F310" s="16" t="str">
        <x:f>IF(AND(ISNUMBER(C310),ISNUMBER($J$6),$J$6&gt;0),(C310-$J$5)/$J$6,"")</x:f>
      </x:c>
      <x:c r="G310" s="1" t="str">
        <x:f>IF(ISNUMBER(F310),IF(ABS(F310)&gt;3,1,0),"")</x:f>
      </x:c>
      <x:c r="H310" s="1" t="str">
        <x:f>IF(ISNUMBER(F310),F310^4,"")</x:f>
      </x:c>
      <x:c r="I310" s="1"/>
      <x:c r="J310" s="1"/>
      <x:c r="K310" s="1"/>
      <x:c r="L310" s="1"/>
      <x:c r="M310" s="1"/>
      <x:c r="N310" s="1"/>
    </x:row>
    <x:row r="311" ht="22" customHeight="1">
      <x:c r="A311" s="14"/>
      <x:c r="B311" s="15"/>
      <x:c r="C311" s="16" t="str">
        <x:f>IF(AND(ISNUMBER(B311),ISNUMBER(B310),B311&gt;0,B310&gt;0),LN(B311/B310),"")</x:f>
      </x:c>
      <x:c r="D311" s="16" t="str">
        <x:f>IF(ISNUMBER(C311),ABS(C311),"")</x:f>
      </x:c>
      <x:c r="E311" s="16" t="str">
        <x:f>IF(ISNUMBER(C311),C311^2,"")</x:f>
      </x:c>
      <x:c r="F311" s="16" t="str">
        <x:f>IF(AND(ISNUMBER(C311),ISNUMBER($J$6),$J$6&gt;0),(C311-$J$5)/$J$6,"")</x:f>
      </x:c>
      <x:c r="G311" s="1" t="str">
        <x:f>IF(ISNUMBER(F311),IF(ABS(F311)&gt;3,1,0),"")</x:f>
      </x:c>
      <x:c r="H311" s="1" t="str">
        <x:f>IF(ISNUMBER(F311),F311^4,"")</x:f>
      </x:c>
      <x:c r="I311" s="1"/>
      <x:c r="J311" s="1"/>
      <x:c r="K311" s="1"/>
      <x:c r="L311" s="1"/>
      <x:c r="M311" s="1"/>
      <x:c r="N311" s="1"/>
    </x:row>
    <x:row r="312" ht="22" customHeight="1">
      <x:c r="A312" s="14"/>
      <x:c r="B312" s="15"/>
      <x:c r="C312" s="16" t="str">
        <x:f>IF(AND(ISNUMBER(B312),ISNUMBER(B311),B312&gt;0,B311&gt;0),LN(B312/B311),"")</x:f>
      </x:c>
      <x:c r="D312" s="16" t="str">
        <x:f>IF(ISNUMBER(C312),ABS(C312),"")</x:f>
      </x:c>
      <x:c r="E312" s="16" t="str">
        <x:f>IF(ISNUMBER(C312),C312^2,"")</x:f>
      </x:c>
      <x:c r="F312" s="16" t="str">
        <x:f>IF(AND(ISNUMBER(C312),ISNUMBER($J$6),$J$6&gt;0),(C312-$J$5)/$J$6,"")</x:f>
      </x:c>
      <x:c r="G312" s="1" t="str">
        <x:f>IF(ISNUMBER(F312),IF(ABS(F312)&gt;3,1,0),"")</x:f>
      </x:c>
      <x:c r="H312" s="1" t="str">
        <x:f>IF(ISNUMBER(F312),F312^4,"")</x:f>
      </x:c>
      <x:c r="I312" s="1"/>
      <x:c r="J312" s="1"/>
      <x:c r="K312" s="1"/>
      <x:c r="L312" s="1"/>
      <x:c r="M312" s="1"/>
      <x:c r="N312" s="1"/>
    </x:row>
    <x:row r="313" ht="22" customHeight="1">
      <x:c r="A313" s="14"/>
      <x:c r="B313" s="15"/>
      <x:c r="C313" s="16" t="str">
        <x:f>IF(AND(ISNUMBER(B313),ISNUMBER(B312),B313&gt;0,B312&gt;0),LN(B313/B312),"")</x:f>
      </x:c>
      <x:c r="D313" s="16" t="str">
        <x:f>IF(ISNUMBER(C313),ABS(C313),"")</x:f>
      </x:c>
      <x:c r="E313" s="16" t="str">
        <x:f>IF(ISNUMBER(C313),C313^2,"")</x:f>
      </x:c>
      <x:c r="F313" s="16" t="str">
        <x:f>IF(AND(ISNUMBER(C313),ISNUMBER($J$6),$J$6&gt;0),(C313-$J$5)/$J$6,"")</x:f>
      </x:c>
      <x:c r="G313" s="1" t="str">
        <x:f>IF(ISNUMBER(F313),IF(ABS(F313)&gt;3,1,0),"")</x:f>
      </x:c>
      <x:c r="H313" s="1" t="str">
        <x:f>IF(ISNUMBER(F313),F313^4,"")</x:f>
      </x:c>
      <x:c r="I313" s="1"/>
      <x:c r="J313" s="1"/>
      <x:c r="K313" s="1"/>
      <x:c r="L313" s="1"/>
      <x:c r="M313" s="1"/>
      <x:c r="N313" s="1"/>
    </x:row>
    <x:row r="314" ht="22" customHeight="1">
      <x:c r="A314" s="14"/>
      <x:c r="B314" s="15"/>
      <x:c r="C314" s="16" t="str">
        <x:f>IF(AND(ISNUMBER(B314),ISNUMBER(B313),B314&gt;0,B313&gt;0),LN(B314/B313),"")</x:f>
      </x:c>
      <x:c r="D314" s="16" t="str">
        <x:f>IF(ISNUMBER(C314),ABS(C314),"")</x:f>
      </x:c>
      <x:c r="E314" s="16" t="str">
        <x:f>IF(ISNUMBER(C314),C314^2,"")</x:f>
      </x:c>
      <x:c r="F314" s="16" t="str">
        <x:f>IF(AND(ISNUMBER(C314),ISNUMBER($J$6),$J$6&gt;0),(C314-$J$5)/$J$6,"")</x:f>
      </x:c>
      <x:c r="G314" s="1" t="str">
        <x:f>IF(ISNUMBER(F314),IF(ABS(F314)&gt;3,1,0),"")</x:f>
      </x:c>
      <x:c r="H314" s="1" t="str">
        <x:f>IF(ISNUMBER(F314),F314^4,"")</x:f>
      </x:c>
      <x:c r="I314" s="1"/>
      <x:c r="J314" s="1"/>
      <x:c r="K314" s="1"/>
      <x:c r="L314" s="1"/>
      <x:c r="M314" s="1"/>
      <x:c r="N314" s="1"/>
    </x:row>
    <x:row r="315" ht="22" customHeight="1">
      <x:c r="A315" s="14"/>
      <x:c r="B315" s="15"/>
      <x:c r="C315" s="16" t="str">
        <x:f>IF(AND(ISNUMBER(B315),ISNUMBER(B314),B315&gt;0,B314&gt;0),LN(B315/B314),"")</x:f>
      </x:c>
      <x:c r="D315" s="16" t="str">
        <x:f>IF(ISNUMBER(C315),ABS(C315),"")</x:f>
      </x:c>
      <x:c r="E315" s="16" t="str">
        <x:f>IF(ISNUMBER(C315),C315^2,"")</x:f>
      </x:c>
      <x:c r="F315" s="16" t="str">
        <x:f>IF(AND(ISNUMBER(C315),ISNUMBER($J$6),$J$6&gt;0),(C315-$J$5)/$J$6,"")</x:f>
      </x:c>
      <x:c r="G315" s="1" t="str">
        <x:f>IF(ISNUMBER(F315),IF(ABS(F315)&gt;3,1,0),"")</x:f>
      </x:c>
      <x:c r="H315" s="1" t="str">
        <x:f>IF(ISNUMBER(F315),F315^4,"")</x:f>
      </x:c>
      <x:c r="I315" s="1"/>
      <x:c r="J315" s="1"/>
      <x:c r="K315" s="1"/>
      <x:c r="L315" s="1"/>
      <x:c r="M315" s="1"/>
      <x:c r="N315" s="1"/>
    </x:row>
    <x:row r="316" ht="22" customHeight="1">
      <x:c r="A316" s="14"/>
      <x:c r="B316" s="15"/>
      <x:c r="C316" s="16" t="str">
        <x:f>IF(AND(ISNUMBER(B316),ISNUMBER(B315),B316&gt;0,B315&gt;0),LN(B316/B315),"")</x:f>
      </x:c>
      <x:c r="D316" s="16" t="str">
        <x:f>IF(ISNUMBER(C316),ABS(C316),"")</x:f>
      </x:c>
      <x:c r="E316" s="16" t="str">
        <x:f>IF(ISNUMBER(C316),C316^2,"")</x:f>
      </x:c>
      <x:c r="F316" s="16" t="str">
        <x:f>IF(AND(ISNUMBER(C316),ISNUMBER($J$6),$J$6&gt;0),(C316-$J$5)/$J$6,"")</x:f>
      </x:c>
      <x:c r="G316" s="1" t="str">
        <x:f>IF(ISNUMBER(F316),IF(ABS(F316)&gt;3,1,0),"")</x:f>
      </x:c>
      <x:c r="H316" s="1" t="str">
        <x:f>IF(ISNUMBER(F316),F316^4,"")</x:f>
      </x:c>
      <x:c r="I316" s="1"/>
      <x:c r="J316" s="1"/>
      <x:c r="K316" s="1"/>
      <x:c r="L316" s="1"/>
      <x:c r="M316" s="1"/>
      <x:c r="N316" s="1"/>
    </x:row>
    <x:row r="317" ht="22" customHeight="1">
      <x:c r="A317" s="14"/>
      <x:c r="B317" s="15"/>
      <x:c r="C317" s="16" t="str">
        <x:f>IF(AND(ISNUMBER(B317),ISNUMBER(B316),B317&gt;0,B316&gt;0),LN(B317/B316),"")</x:f>
      </x:c>
      <x:c r="D317" s="16" t="str">
        <x:f>IF(ISNUMBER(C317),ABS(C317),"")</x:f>
      </x:c>
      <x:c r="E317" s="16" t="str">
        <x:f>IF(ISNUMBER(C317),C317^2,"")</x:f>
      </x:c>
      <x:c r="F317" s="16" t="str">
        <x:f>IF(AND(ISNUMBER(C317),ISNUMBER($J$6),$J$6&gt;0),(C317-$J$5)/$J$6,"")</x:f>
      </x:c>
      <x:c r="G317" s="1" t="str">
        <x:f>IF(ISNUMBER(F317),IF(ABS(F317)&gt;3,1,0),"")</x:f>
      </x:c>
      <x:c r="H317" s="1" t="str">
        <x:f>IF(ISNUMBER(F317),F317^4,"")</x:f>
      </x:c>
      <x:c r="I317" s="1"/>
      <x:c r="J317" s="1"/>
      <x:c r="K317" s="1"/>
      <x:c r="L317" s="1"/>
      <x:c r="M317" s="1"/>
      <x:c r="N317" s="1"/>
    </x:row>
    <x:row r="318" ht="22" customHeight="1">
      <x:c r="A318" s="14"/>
      <x:c r="B318" s="15"/>
      <x:c r="C318" s="16" t="str">
        <x:f>IF(AND(ISNUMBER(B318),ISNUMBER(B317),B318&gt;0,B317&gt;0),LN(B318/B317),"")</x:f>
      </x:c>
      <x:c r="D318" s="16" t="str">
        <x:f>IF(ISNUMBER(C318),ABS(C318),"")</x:f>
      </x:c>
      <x:c r="E318" s="16" t="str">
        <x:f>IF(ISNUMBER(C318),C318^2,"")</x:f>
      </x:c>
      <x:c r="F318" s="16" t="str">
        <x:f>IF(AND(ISNUMBER(C318),ISNUMBER($J$6),$J$6&gt;0),(C318-$J$5)/$J$6,"")</x:f>
      </x:c>
      <x:c r="G318" s="1" t="str">
        <x:f>IF(ISNUMBER(F318),IF(ABS(F318)&gt;3,1,0),"")</x:f>
      </x:c>
      <x:c r="H318" s="1" t="str">
        <x:f>IF(ISNUMBER(F318),F318^4,"")</x:f>
      </x:c>
      <x:c r="I318" s="1"/>
      <x:c r="J318" s="1"/>
      <x:c r="K318" s="1"/>
      <x:c r="L318" s="1"/>
      <x:c r="M318" s="1"/>
      <x:c r="N318" s="1"/>
    </x:row>
    <x:row r="319" ht="22" customHeight="1">
      <x:c r="A319" s="14"/>
      <x:c r="B319" s="15"/>
      <x:c r="C319" s="16" t="str">
        <x:f>IF(AND(ISNUMBER(B319),ISNUMBER(B318),B319&gt;0,B318&gt;0),LN(B319/B318),"")</x:f>
      </x:c>
      <x:c r="D319" s="16" t="str">
        <x:f>IF(ISNUMBER(C319),ABS(C319),"")</x:f>
      </x:c>
      <x:c r="E319" s="16" t="str">
        <x:f>IF(ISNUMBER(C319),C319^2,"")</x:f>
      </x:c>
      <x:c r="F319" s="16" t="str">
        <x:f>IF(AND(ISNUMBER(C319),ISNUMBER($J$6),$J$6&gt;0),(C319-$J$5)/$J$6,"")</x:f>
      </x:c>
      <x:c r="G319" s="1" t="str">
        <x:f>IF(ISNUMBER(F319),IF(ABS(F319)&gt;3,1,0),"")</x:f>
      </x:c>
      <x:c r="H319" s="1" t="str">
        <x:f>IF(ISNUMBER(F319),F319^4,"")</x:f>
      </x:c>
      <x:c r="I319" s="1"/>
      <x:c r="J319" s="1"/>
      <x:c r="K319" s="1"/>
      <x:c r="L319" s="1"/>
      <x:c r="M319" s="1"/>
      <x:c r="N319" s="1"/>
    </x:row>
    <x:row r="320" ht="22" customHeight="1">
      <x:c r="A320" s="14"/>
      <x:c r="B320" s="15"/>
      <x:c r="C320" s="16" t="str">
        <x:f>IF(AND(ISNUMBER(B320),ISNUMBER(B319),B320&gt;0,B319&gt;0),LN(B320/B319),"")</x:f>
      </x:c>
      <x:c r="D320" s="16" t="str">
        <x:f>IF(ISNUMBER(C320),ABS(C320),"")</x:f>
      </x:c>
      <x:c r="E320" s="16" t="str">
        <x:f>IF(ISNUMBER(C320),C320^2,"")</x:f>
      </x:c>
      <x:c r="F320" s="16" t="str">
        <x:f>IF(AND(ISNUMBER(C320),ISNUMBER($J$6),$J$6&gt;0),(C320-$J$5)/$J$6,"")</x:f>
      </x:c>
      <x:c r="G320" s="1" t="str">
        <x:f>IF(ISNUMBER(F320),IF(ABS(F320)&gt;3,1,0),"")</x:f>
      </x:c>
      <x:c r="H320" s="1" t="str">
        <x:f>IF(ISNUMBER(F320),F320^4,"")</x:f>
      </x:c>
      <x:c r="I320" s="1"/>
      <x:c r="J320" s="1"/>
      <x:c r="K320" s="1"/>
      <x:c r="L320" s="1"/>
      <x:c r="M320" s="1"/>
      <x:c r="N320" s="1"/>
    </x:row>
    <x:row r="321" ht="22" customHeight="1">
      <x:c r="A321" s="14"/>
      <x:c r="B321" s="15"/>
      <x:c r="C321" s="16" t="str">
        <x:f>IF(AND(ISNUMBER(B321),ISNUMBER(B320),B321&gt;0,B320&gt;0),LN(B321/B320),"")</x:f>
      </x:c>
      <x:c r="D321" s="16" t="str">
        <x:f>IF(ISNUMBER(C321),ABS(C321),"")</x:f>
      </x:c>
      <x:c r="E321" s="16" t="str">
        <x:f>IF(ISNUMBER(C321),C321^2,"")</x:f>
      </x:c>
      <x:c r="F321" s="16" t="str">
        <x:f>IF(AND(ISNUMBER(C321),ISNUMBER($J$6),$J$6&gt;0),(C321-$J$5)/$J$6,"")</x:f>
      </x:c>
      <x:c r="G321" s="1" t="str">
        <x:f>IF(ISNUMBER(F321),IF(ABS(F321)&gt;3,1,0),"")</x:f>
      </x:c>
      <x:c r="H321" s="1" t="str">
        <x:f>IF(ISNUMBER(F321),F321^4,"")</x:f>
      </x:c>
      <x:c r="I321" s="1"/>
      <x:c r="J321" s="1"/>
      <x:c r="K321" s="1"/>
      <x:c r="L321" s="1"/>
      <x:c r="M321" s="1"/>
      <x:c r="N321" s="1"/>
    </x:row>
    <x:row r="322" ht="22" customHeight="1">
      <x:c r="A322" s="14"/>
      <x:c r="B322" s="15"/>
      <x:c r="C322" s="16" t="str">
        <x:f>IF(AND(ISNUMBER(B322),ISNUMBER(B321),B322&gt;0,B321&gt;0),LN(B322/B321),"")</x:f>
      </x:c>
      <x:c r="D322" s="16" t="str">
        <x:f>IF(ISNUMBER(C322),ABS(C322),"")</x:f>
      </x:c>
      <x:c r="E322" s="16" t="str">
        <x:f>IF(ISNUMBER(C322),C322^2,"")</x:f>
      </x:c>
      <x:c r="F322" s="16" t="str">
        <x:f>IF(AND(ISNUMBER(C322),ISNUMBER($J$6),$J$6&gt;0),(C322-$J$5)/$J$6,"")</x:f>
      </x:c>
      <x:c r="G322" s="1" t="str">
        <x:f>IF(ISNUMBER(F322),IF(ABS(F322)&gt;3,1,0),"")</x:f>
      </x:c>
      <x:c r="H322" s="1" t="str">
        <x:f>IF(ISNUMBER(F322),F322^4,"")</x:f>
      </x:c>
      <x:c r="I322" s="1"/>
      <x:c r="J322" s="1"/>
      <x:c r="K322" s="1"/>
      <x:c r="L322" s="1"/>
      <x:c r="M322" s="1"/>
      <x:c r="N322" s="1"/>
    </x:row>
    <x:row r="323" ht="22" customHeight="1">
      <x:c r="A323" s="14"/>
      <x:c r="B323" s="15"/>
      <x:c r="C323" s="16" t="str">
        <x:f>IF(AND(ISNUMBER(B323),ISNUMBER(B322),B323&gt;0,B322&gt;0),LN(B323/B322),"")</x:f>
      </x:c>
      <x:c r="D323" s="16" t="str">
        <x:f>IF(ISNUMBER(C323),ABS(C323),"")</x:f>
      </x:c>
      <x:c r="E323" s="16" t="str">
        <x:f>IF(ISNUMBER(C323),C323^2,"")</x:f>
      </x:c>
      <x:c r="F323" s="16" t="str">
        <x:f>IF(AND(ISNUMBER(C323),ISNUMBER($J$6),$J$6&gt;0),(C323-$J$5)/$J$6,"")</x:f>
      </x:c>
      <x:c r="G323" s="1" t="str">
        <x:f>IF(ISNUMBER(F323),IF(ABS(F323)&gt;3,1,0),"")</x:f>
      </x:c>
      <x:c r="H323" s="1" t="str">
        <x:f>IF(ISNUMBER(F323),F323^4,"")</x:f>
      </x:c>
      <x:c r="I323" s="1"/>
      <x:c r="J323" s="1"/>
      <x:c r="K323" s="1"/>
      <x:c r="L323" s="1"/>
      <x:c r="M323" s="1"/>
      <x:c r="N323" s="1"/>
    </x:row>
    <x:row r="324" ht="22" customHeight="1">
      <x:c r="A324" s="14"/>
      <x:c r="B324" s="15"/>
      <x:c r="C324" s="16" t="str">
        <x:f>IF(AND(ISNUMBER(B324),ISNUMBER(B323),B324&gt;0,B323&gt;0),LN(B324/B323),"")</x:f>
      </x:c>
      <x:c r="D324" s="16" t="str">
        <x:f>IF(ISNUMBER(C324),ABS(C324),"")</x:f>
      </x:c>
      <x:c r="E324" s="16" t="str">
        <x:f>IF(ISNUMBER(C324),C324^2,"")</x:f>
      </x:c>
      <x:c r="F324" s="16" t="str">
        <x:f>IF(AND(ISNUMBER(C324),ISNUMBER($J$6),$J$6&gt;0),(C324-$J$5)/$J$6,"")</x:f>
      </x:c>
      <x:c r="G324" s="1" t="str">
        <x:f>IF(ISNUMBER(F324),IF(ABS(F324)&gt;3,1,0),"")</x:f>
      </x:c>
      <x:c r="H324" s="1" t="str">
        <x:f>IF(ISNUMBER(F324),F324^4,"")</x:f>
      </x:c>
      <x:c r="I324" s="1"/>
      <x:c r="J324" s="1"/>
      <x:c r="K324" s="1"/>
      <x:c r="L324" s="1"/>
      <x:c r="M324" s="1"/>
      <x:c r="N324" s="1"/>
    </x:row>
    <x:row r="325" ht="22" customHeight="1">
      <x:c r="A325" s="14"/>
      <x:c r="B325" s="15"/>
      <x:c r="C325" s="16" t="str">
        <x:f>IF(AND(ISNUMBER(B325),ISNUMBER(B324),B325&gt;0,B324&gt;0),LN(B325/B324),"")</x:f>
      </x:c>
      <x:c r="D325" s="16" t="str">
        <x:f>IF(ISNUMBER(C325),ABS(C325),"")</x:f>
      </x:c>
      <x:c r="E325" s="16" t="str">
        <x:f>IF(ISNUMBER(C325),C325^2,"")</x:f>
      </x:c>
      <x:c r="F325" s="16" t="str">
        <x:f>IF(AND(ISNUMBER(C325),ISNUMBER($J$6),$J$6&gt;0),(C325-$J$5)/$J$6,"")</x:f>
      </x:c>
      <x:c r="G325" s="1" t="str">
        <x:f>IF(ISNUMBER(F325),IF(ABS(F325)&gt;3,1,0),"")</x:f>
      </x:c>
      <x:c r="H325" s="1" t="str">
        <x:f>IF(ISNUMBER(F325),F325^4,"")</x:f>
      </x:c>
      <x:c r="I325" s="1"/>
      <x:c r="J325" s="1"/>
      <x:c r="K325" s="1"/>
      <x:c r="L325" s="1"/>
      <x:c r="M325" s="1"/>
      <x:c r="N325" s="1"/>
    </x:row>
    <x:row r="326" ht="22" customHeight="1">
      <x:c r="A326" s="14"/>
      <x:c r="B326" s="15"/>
      <x:c r="C326" s="16" t="str">
        <x:f>IF(AND(ISNUMBER(B326),ISNUMBER(B325),B326&gt;0,B325&gt;0),LN(B326/B325),"")</x:f>
      </x:c>
      <x:c r="D326" s="16" t="str">
        <x:f>IF(ISNUMBER(C326),ABS(C326),"")</x:f>
      </x:c>
      <x:c r="E326" s="16" t="str">
        <x:f>IF(ISNUMBER(C326),C326^2,"")</x:f>
      </x:c>
      <x:c r="F326" s="16" t="str">
        <x:f>IF(AND(ISNUMBER(C326),ISNUMBER($J$6),$J$6&gt;0),(C326-$J$5)/$J$6,"")</x:f>
      </x:c>
      <x:c r="G326" s="1" t="str">
        <x:f>IF(ISNUMBER(F326),IF(ABS(F326)&gt;3,1,0),"")</x:f>
      </x:c>
      <x:c r="H326" s="1" t="str">
        <x:f>IF(ISNUMBER(F326),F326^4,"")</x:f>
      </x:c>
      <x:c r="I326" s="1"/>
      <x:c r="J326" s="1"/>
      <x:c r="K326" s="1"/>
      <x:c r="L326" s="1"/>
      <x:c r="M326" s="1"/>
      <x:c r="N326" s="1"/>
    </x:row>
    <x:row r="327" ht="22" customHeight="1">
      <x:c r="A327" s="14"/>
      <x:c r="B327" s="15"/>
      <x:c r="C327" s="16" t="str">
        <x:f>IF(AND(ISNUMBER(B327),ISNUMBER(B326),B327&gt;0,B326&gt;0),LN(B327/B326),"")</x:f>
      </x:c>
      <x:c r="D327" s="16" t="str">
        <x:f>IF(ISNUMBER(C327),ABS(C327),"")</x:f>
      </x:c>
      <x:c r="E327" s="16" t="str">
        <x:f>IF(ISNUMBER(C327),C327^2,"")</x:f>
      </x:c>
      <x:c r="F327" s="16" t="str">
        <x:f>IF(AND(ISNUMBER(C327),ISNUMBER($J$6),$J$6&gt;0),(C327-$J$5)/$J$6,"")</x:f>
      </x:c>
      <x:c r="G327" s="1" t="str">
        <x:f>IF(ISNUMBER(F327),IF(ABS(F327)&gt;3,1,0),"")</x:f>
      </x:c>
      <x:c r="H327" s="1" t="str">
        <x:f>IF(ISNUMBER(F327),F327^4,"")</x:f>
      </x:c>
      <x:c r="I327" s="1"/>
      <x:c r="J327" s="1"/>
      <x:c r="K327" s="1"/>
      <x:c r="L327" s="1"/>
      <x:c r="M327" s="1"/>
      <x:c r="N327" s="1"/>
    </x:row>
    <x:row r="328" ht="22" customHeight="1">
      <x:c r="A328" s="14"/>
      <x:c r="B328" s="15"/>
      <x:c r="C328" s="16" t="str">
        <x:f>IF(AND(ISNUMBER(B328),ISNUMBER(B327),B328&gt;0,B327&gt;0),LN(B328/B327),"")</x:f>
      </x:c>
      <x:c r="D328" s="16" t="str">
        <x:f>IF(ISNUMBER(C328),ABS(C328),"")</x:f>
      </x:c>
      <x:c r="E328" s="16" t="str">
        <x:f>IF(ISNUMBER(C328),C328^2,"")</x:f>
      </x:c>
      <x:c r="F328" s="16" t="str">
        <x:f>IF(AND(ISNUMBER(C328),ISNUMBER($J$6),$J$6&gt;0),(C328-$J$5)/$J$6,"")</x:f>
      </x:c>
      <x:c r="G328" s="1" t="str">
        <x:f>IF(ISNUMBER(F328),IF(ABS(F328)&gt;3,1,0),"")</x:f>
      </x:c>
      <x:c r="H328" s="1" t="str">
        <x:f>IF(ISNUMBER(F328),F328^4,"")</x:f>
      </x:c>
      <x:c r="I328" s="1"/>
      <x:c r="J328" s="1"/>
      <x:c r="K328" s="1"/>
      <x:c r="L328" s="1"/>
      <x:c r="M328" s="1"/>
      <x:c r="N328" s="1"/>
    </x:row>
    <x:row r="329" ht="22" customHeight="1">
      <x:c r="A329" s="14"/>
      <x:c r="B329" s="15"/>
      <x:c r="C329" s="16" t="str">
        <x:f>IF(AND(ISNUMBER(B329),ISNUMBER(B328),B329&gt;0,B328&gt;0),LN(B329/B328),"")</x:f>
      </x:c>
      <x:c r="D329" s="16" t="str">
        <x:f>IF(ISNUMBER(C329),ABS(C329),"")</x:f>
      </x:c>
      <x:c r="E329" s="16" t="str">
        <x:f>IF(ISNUMBER(C329),C329^2,"")</x:f>
      </x:c>
      <x:c r="F329" s="16" t="str">
        <x:f>IF(AND(ISNUMBER(C329),ISNUMBER($J$6),$J$6&gt;0),(C329-$J$5)/$J$6,"")</x:f>
      </x:c>
      <x:c r="G329" s="1" t="str">
        <x:f>IF(ISNUMBER(F329),IF(ABS(F329)&gt;3,1,0),"")</x:f>
      </x:c>
      <x:c r="H329" s="1" t="str">
        <x:f>IF(ISNUMBER(F329),F329^4,"")</x:f>
      </x:c>
      <x:c r="I329" s="1"/>
      <x:c r="J329" s="1"/>
      <x:c r="K329" s="1"/>
      <x:c r="L329" s="1"/>
      <x:c r="M329" s="1"/>
      <x:c r="N329" s="1"/>
    </x:row>
    <x:row r="330" ht="22" customHeight="1">
      <x:c r="A330" s="14"/>
      <x:c r="B330" s="15"/>
      <x:c r="C330" s="16" t="str">
        <x:f>IF(AND(ISNUMBER(B330),ISNUMBER(B329),B330&gt;0,B329&gt;0),LN(B330/B329),"")</x:f>
      </x:c>
      <x:c r="D330" s="16" t="str">
        <x:f>IF(ISNUMBER(C330),ABS(C330),"")</x:f>
      </x:c>
      <x:c r="E330" s="16" t="str">
        <x:f>IF(ISNUMBER(C330),C330^2,"")</x:f>
      </x:c>
      <x:c r="F330" s="16" t="str">
        <x:f>IF(AND(ISNUMBER(C330),ISNUMBER($J$6),$J$6&gt;0),(C330-$J$5)/$J$6,"")</x:f>
      </x:c>
      <x:c r="G330" s="1" t="str">
        <x:f>IF(ISNUMBER(F330),IF(ABS(F330)&gt;3,1,0),"")</x:f>
      </x:c>
      <x:c r="H330" s="1" t="str">
        <x:f>IF(ISNUMBER(F330),F330^4,"")</x:f>
      </x:c>
      <x:c r="I330" s="1"/>
      <x:c r="J330" s="1"/>
      <x:c r="K330" s="1"/>
      <x:c r="L330" s="1"/>
      <x:c r="M330" s="1"/>
      <x:c r="N330" s="1"/>
    </x:row>
    <x:row r="331" ht="22" customHeight="1">
      <x:c r="A331" s="14"/>
      <x:c r="B331" s="15"/>
      <x:c r="C331" s="16" t="str">
        <x:f>IF(AND(ISNUMBER(B331),ISNUMBER(B330),B331&gt;0,B330&gt;0),LN(B331/B330),"")</x:f>
      </x:c>
      <x:c r="D331" s="16" t="str">
        <x:f>IF(ISNUMBER(C331),ABS(C331),"")</x:f>
      </x:c>
      <x:c r="E331" s="16" t="str">
        <x:f>IF(ISNUMBER(C331),C331^2,"")</x:f>
      </x:c>
      <x:c r="F331" s="16" t="str">
        <x:f>IF(AND(ISNUMBER(C331),ISNUMBER($J$6),$J$6&gt;0),(C331-$J$5)/$J$6,"")</x:f>
      </x:c>
      <x:c r="G331" s="1" t="str">
        <x:f>IF(ISNUMBER(F331),IF(ABS(F331)&gt;3,1,0),"")</x:f>
      </x:c>
      <x:c r="H331" s="1" t="str">
        <x:f>IF(ISNUMBER(F331),F331^4,"")</x:f>
      </x:c>
      <x:c r="I331" s="1"/>
      <x:c r="J331" s="1"/>
      <x:c r="K331" s="1"/>
      <x:c r="L331" s="1"/>
      <x:c r="M331" s="1"/>
      <x:c r="N331" s="1"/>
    </x:row>
    <x:row r="332" ht="22" customHeight="1">
      <x:c r="A332" s="14"/>
      <x:c r="B332" s="15"/>
      <x:c r="C332" s="16" t="str">
        <x:f>IF(AND(ISNUMBER(B332),ISNUMBER(B331),B332&gt;0,B331&gt;0),LN(B332/B331),"")</x:f>
      </x:c>
      <x:c r="D332" s="16" t="str">
        <x:f>IF(ISNUMBER(C332),ABS(C332),"")</x:f>
      </x:c>
      <x:c r="E332" s="16" t="str">
        <x:f>IF(ISNUMBER(C332),C332^2,"")</x:f>
      </x:c>
      <x:c r="F332" s="16" t="str">
        <x:f>IF(AND(ISNUMBER(C332),ISNUMBER($J$6),$J$6&gt;0),(C332-$J$5)/$J$6,"")</x:f>
      </x:c>
      <x:c r="G332" s="1" t="str">
        <x:f>IF(ISNUMBER(F332),IF(ABS(F332)&gt;3,1,0),"")</x:f>
      </x:c>
      <x:c r="H332" s="1" t="str">
        <x:f>IF(ISNUMBER(F332),F332^4,"")</x:f>
      </x:c>
      <x:c r="I332" s="1"/>
      <x:c r="J332" s="1"/>
      <x:c r="K332" s="1"/>
      <x:c r="L332" s="1"/>
      <x:c r="M332" s="1"/>
      <x:c r="N332" s="1"/>
    </x:row>
    <x:row r="333" ht="22" customHeight="1">
      <x:c r="A333" s="14"/>
      <x:c r="B333" s="15"/>
      <x:c r="C333" s="16" t="str">
        <x:f>IF(AND(ISNUMBER(B333),ISNUMBER(B332),B333&gt;0,B332&gt;0),LN(B333/B332),"")</x:f>
      </x:c>
      <x:c r="D333" s="16" t="str">
        <x:f>IF(ISNUMBER(C333),ABS(C333),"")</x:f>
      </x:c>
      <x:c r="E333" s="16" t="str">
        <x:f>IF(ISNUMBER(C333),C333^2,"")</x:f>
      </x:c>
      <x:c r="F333" s="16" t="str">
        <x:f>IF(AND(ISNUMBER(C333),ISNUMBER($J$6),$J$6&gt;0),(C333-$J$5)/$J$6,"")</x:f>
      </x:c>
      <x:c r="G333" s="1" t="str">
        <x:f>IF(ISNUMBER(F333),IF(ABS(F333)&gt;3,1,0),"")</x:f>
      </x:c>
      <x:c r="H333" s="1" t="str">
        <x:f>IF(ISNUMBER(F333),F333^4,"")</x:f>
      </x:c>
      <x:c r="I333" s="1"/>
      <x:c r="J333" s="1"/>
      <x:c r="K333" s="1"/>
      <x:c r="L333" s="1"/>
      <x:c r="M333" s="1"/>
      <x:c r="N333" s="1"/>
    </x:row>
    <x:row r="334" ht="22" customHeight="1">
      <x:c r="A334" s="14"/>
      <x:c r="B334" s="15"/>
      <x:c r="C334" s="16" t="str">
        <x:f>IF(AND(ISNUMBER(B334),ISNUMBER(B333),B334&gt;0,B333&gt;0),LN(B334/B333),"")</x:f>
      </x:c>
      <x:c r="D334" s="16" t="str">
        <x:f>IF(ISNUMBER(C334),ABS(C334),"")</x:f>
      </x:c>
      <x:c r="E334" s="16" t="str">
        <x:f>IF(ISNUMBER(C334),C334^2,"")</x:f>
      </x:c>
      <x:c r="F334" s="16" t="str">
        <x:f>IF(AND(ISNUMBER(C334),ISNUMBER($J$6),$J$6&gt;0),(C334-$J$5)/$J$6,"")</x:f>
      </x:c>
      <x:c r="G334" s="1" t="str">
        <x:f>IF(ISNUMBER(F334),IF(ABS(F334)&gt;3,1,0),"")</x:f>
      </x:c>
      <x:c r="H334" s="1" t="str">
        <x:f>IF(ISNUMBER(F334),F334^4,"")</x:f>
      </x:c>
      <x:c r="I334" s="1"/>
      <x:c r="J334" s="1"/>
      <x:c r="K334" s="1"/>
      <x:c r="L334" s="1"/>
      <x:c r="M334" s="1"/>
      <x:c r="N334" s="1"/>
    </x:row>
    <x:row r="335" ht="22" customHeight="1">
      <x:c r="A335" s="14"/>
      <x:c r="B335" s="15"/>
      <x:c r="C335" s="16" t="str">
        <x:f>IF(AND(ISNUMBER(B335),ISNUMBER(B334),B335&gt;0,B334&gt;0),LN(B335/B334),"")</x:f>
      </x:c>
      <x:c r="D335" s="16" t="str">
        <x:f>IF(ISNUMBER(C335),ABS(C335),"")</x:f>
      </x:c>
      <x:c r="E335" s="16" t="str">
        <x:f>IF(ISNUMBER(C335),C335^2,"")</x:f>
      </x:c>
      <x:c r="F335" s="16" t="str">
        <x:f>IF(AND(ISNUMBER(C335),ISNUMBER($J$6),$J$6&gt;0),(C335-$J$5)/$J$6,"")</x:f>
      </x:c>
      <x:c r="G335" s="1" t="str">
        <x:f>IF(ISNUMBER(F335),IF(ABS(F335)&gt;3,1,0),"")</x:f>
      </x:c>
      <x:c r="H335" s="1" t="str">
        <x:f>IF(ISNUMBER(F335),F335^4,"")</x:f>
      </x:c>
      <x:c r="I335" s="1"/>
      <x:c r="J335" s="1"/>
      <x:c r="K335" s="1"/>
      <x:c r="L335" s="1"/>
      <x:c r="M335" s="1"/>
      <x:c r="N335" s="1"/>
    </x:row>
    <x:row r="336" ht="22" customHeight="1">
      <x:c r="A336" s="14"/>
      <x:c r="B336" s="15"/>
      <x:c r="C336" s="16" t="str">
        <x:f>IF(AND(ISNUMBER(B336),ISNUMBER(B335),B336&gt;0,B335&gt;0),LN(B336/B335),"")</x:f>
      </x:c>
      <x:c r="D336" s="16" t="str">
        <x:f>IF(ISNUMBER(C336),ABS(C336),"")</x:f>
      </x:c>
      <x:c r="E336" s="16" t="str">
        <x:f>IF(ISNUMBER(C336),C336^2,"")</x:f>
      </x:c>
      <x:c r="F336" s="16" t="str">
        <x:f>IF(AND(ISNUMBER(C336),ISNUMBER($J$6),$J$6&gt;0),(C336-$J$5)/$J$6,"")</x:f>
      </x:c>
      <x:c r="G336" s="1" t="str">
        <x:f>IF(ISNUMBER(F336),IF(ABS(F336)&gt;3,1,0),"")</x:f>
      </x:c>
      <x:c r="H336" s="1" t="str">
        <x:f>IF(ISNUMBER(F336),F336^4,"")</x:f>
      </x:c>
      <x:c r="I336" s="1"/>
      <x:c r="J336" s="1"/>
      <x:c r="K336" s="1"/>
      <x:c r="L336" s="1"/>
      <x:c r="M336" s="1"/>
      <x:c r="N336" s="1"/>
    </x:row>
    <x:row r="337" ht="22" customHeight="1">
      <x:c r="A337" s="14"/>
      <x:c r="B337" s="15"/>
      <x:c r="C337" s="16" t="str">
        <x:f>IF(AND(ISNUMBER(B337),ISNUMBER(B336),B337&gt;0,B336&gt;0),LN(B337/B336),"")</x:f>
      </x:c>
      <x:c r="D337" s="16" t="str">
        <x:f>IF(ISNUMBER(C337),ABS(C337),"")</x:f>
      </x:c>
      <x:c r="E337" s="16" t="str">
        <x:f>IF(ISNUMBER(C337),C337^2,"")</x:f>
      </x:c>
      <x:c r="F337" s="16" t="str">
        <x:f>IF(AND(ISNUMBER(C337),ISNUMBER($J$6),$J$6&gt;0),(C337-$J$5)/$J$6,"")</x:f>
      </x:c>
      <x:c r="G337" s="1" t="str">
        <x:f>IF(ISNUMBER(F337),IF(ABS(F337)&gt;3,1,0),"")</x:f>
      </x:c>
      <x:c r="H337" s="1" t="str">
        <x:f>IF(ISNUMBER(F337),F337^4,"")</x:f>
      </x:c>
      <x:c r="I337" s="1"/>
      <x:c r="J337" s="1"/>
      <x:c r="K337" s="1"/>
      <x:c r="L337" s="1"/>
      <x:c r="M337" s="1"/>
      <x:c r="N337" s="1"/>
    </x:row>
    <x:row r="338" ht="22" customHeight="1">
      <x:c r="A338" s="14"/>
      <x:c r="B338" s="15"/>
      <x:c r="C338" s="16" t="str">
        <x:f>IF(AND(ISNUMBER(B338),ISNUMBER(B337),B338&gt;0,B337&gt;0),LN(B338/B337),"")</x:f>
      </x:c>
      <x:c r="D338" s="16" t="str">
        <x:f>IF(ISNUMBER(C338),ABS(C338),"")</x:f>
      </x:c>
      <x:c r="E338" s="16" t="str">
        <x:f>IF(ISNUMBER(C338),C338^2,"")</x:f>
      </x:c>
      <x:c r="F338" s="16" t="str">
        <x:f>IF(AND(ISNUMBER(C338),ISNUMBER($J$6),$J$6&gt;0),(C338-$J$5)/$J$6,"")</x:f>
      </x:c>
      <x:c r="G338" s="1" t="str">
        <x:f>IF(ISNUMBER(F338),IF(ABS(F338)&gt;3,1,0),"")</x:f>
      </x:c>
      <x:c r="H338" s="1" t="str">
        <x:f>IF(ISNUMBER(F338),F338^4,"")</x:f>
      </x:c>
      <x:c r="I338" s="1"/>
      <x:c r="J338" s="1"/>
      <x:c r="K338" s="1"/>
      <x:c r="L338" s="1"/>
      <x:c r="M338" s="1"/>
      <x:c r="N338" s="1"/>
    </x:row>
    <x:row r="339" ht="22" customHeight="1">
      <x:c r="A339" s="14"/>
      <x:c r="B339" s="15"/>
      <x:c r="C339" s="16" t="str">
        <x:f>IF(AND(ISNUMBER(B339),ISNUMBER(B338),B339&gt;0,B338&gt;0),LN(B339/B338),"")</x:f>
      </x:c>
      <x:c r="D339" s="16" t="str">
        <x:f>IF(ISNUMBER(C339),ABS(C339),"")</x:f>
      </x:c>
      <x:c r="E339" s="16" t="str">
        <x:f>IF(ISNUMBER(C339),C339^2,"")</x:f>
      </x:c>
      <x:c r="F339" s="16" t="str">
        <x:f>IF(AND(ISNUMBER(C339),ISNUMBER($J$6),$J$6&gt;0),(C339-$J$5)/$J$6,"")</x:f>
      </x:c>
      <x:c r="G339" s="1" t="str">
        <x:f>IF(ISNUMBER(F339),IF(ABS(F339)&gt;3,1,0),"")</x:f>
      </x:c>
      <x:c r="H339" s="1" t="str">
        <x:f>IF(ISNUMBER(F339),F339^4,"")</x:f>
      </x:c>
      <x:c r="I339" s="1"/>
      <x:c r="J339" s="1"/>
      <x:c r="K339" s="1"/>
      <x:c r="L339" s="1"/>
      <x:c r="M339" s="1"/>
      <x:c r="N339" s="1"/>
    </x:row>
    <x:row r="340" ht="22" customHeight="1">
      <x:c r="A340" s="14"/>
      <x:c r="B340" s="15"/>
      <x:c r="C340" s="16" t="str">
        <x:f>IF(AND(ISNUMBER(B340),ISNUMBER(B339),B340&gt;0,B339&gt;0),LN(B340/B339),"")</x:f>
      </x:c>
      <x:c r="D340" s="16" t="str">
        <x:f>IF(ISNUMBER(C340),ABS(C340),"")</x:f>
      </x:c>
      <x:c r="E340" s="16" t="str">
        <x:f>IF(ISNUMBER(C340),C340^2,"")</x:f>
      </x:c>
      <x:c r="F340" s="16" t="str">
        <x:f>IF(AND(ISNUMBER(C340),ISNUMBER($J$6),$J$6&gt;0),(C340-$J$5)/$J$6,"")</x:f>
      </x:c>
      <x:c r="G340" s="1" t="str">
        <x:f>IF(ISNUMBER(F340),IF(ABS(F340)&gt;3,1,0),"")</x:f>
      </x:c>
      <x:c r="H340" s="1" t="str">
        <x:f>IF(ISNUMBER(F340),F340^4,"")</x:f>
      </x:c>
      <x:c r="I340" s="1"/>
      <x:c r="J340" s="1"/>
      <x:c r="K340" s="1"/>
      <x:c r="L340" s="1"/>
      <x:c r="M340" s="1"/>
      <x:c r="N340" s="1"/>
    </x:row>
    <x:row r="341" ht="22" customHeight="1">
      <x:c r="A341" s="14"/>
      <x:c r="B341" s="15"/>
      <x:c r="C341" s="16" t="str">
        <x:f>IF(AND(ISNUMBER(B341),ISNUMBER(B340),B341&gt;0,B340&gt;0),LN(B341/B340),"")</x:f>
      </x:c>
      <x:c r="D341" s="16" t="str">
        <x:f>IF(ISNUMBER(C341),ABS(C341),"")</x:f>
      </x:c>
      <x:c r="E341" s="16" t="str">
        <x:f>IF(ISNUMBER(C341),C341^2,"")</x:f>
      </x:c>
      <x:c r="F341" s="16" t="str">
        <x:f>IF(AND(ISNUMBER(C341),ISNUMBER($J$6),$J$6&gt;0),(C341-$J$5)/$J$6,"")</x:f>
      </x:c>
      <x:c r="G341" s="1" t="str">
        <x:f>IF(ISNUMBER(F341),IF(ABS(F341)&gt;3,1,0),"")</x:f>
      </x:c>
      <x:c r="H341" s="1" t="str">
        <x:f>IF(ISNUMBER(F341),F341^4,"")</x:f>
      </x:c>
      <x:c r="I341" s="1"/>
      <x:c r="J341" s="1"/>
      <x:c r="K341" s="1"/>
      <x:c r="L341" s="1"/>
      <x:c r="M341" s="1"/>
      <x:c r="N341" s="1"/>
    </x:row>
    <x:row r="342" ht="22" customHeight="1">
      <x:c r="A342" s="14"/>
      <x:c r="B342" s="15"/>
      <x:c r="C342" s="16" t="str">
        <x:f>IF(AND(ISNUMBER(B342),ISNUMBER(B341),B342&gt;0,B341&gt;0),LN(B342/B341),"")</x:f>
      </x:c>
      <x:c r="D342" s="16" t="str">
        <x:f>IF(ISNUMBER(C342),ABS(C342),"")</x:f>
      </x:c>
      <x:c r="E342" s="16" t="str">
        <x:f>IF(ISNUMBER(C342),C342^2,"")</x:f>
      </x:c>
      <x:c r="F342" s="16" t="str">
        <x:f>IF(AND(ISNUMBER(C342),ISNUMBER($J$6),$J$6&gt;0),(C342-$J$5)/$J$6,"")</x:f>
      </x:c>
      <x:c r="G342" s="1" t="str">
        <x:f>IF(ISNUMBER(F342),IF(ABS(F342)&gt;3,1,0),"")</x:f>
      </x:c>
      <x:c r="H342" s="1" t="str">
        <x:f>IF(ISNUMBER(F342),F342^4,"")</x:f>
      </x:c>
      <x:c r="I342" s="1"/>
      <x:c r="J342" s="1"/>
      <x:c r="K342" s="1"/>
      <x:c r="L342" s="1"/>
      <x:c r="M342" s="1"/>
      <x:c r="N342" s="1"/>
    </x:row>
    <x:row r="343" ht="22" customHeight="1">
      <x:c r="A343" s="14"/>
      <x:c r="B343" s="15"/>
      <x:c r="C343" s="16" t="str">
        <x:f>IF(AND(ISNUMBER(B343),ISNUMBER(B342),B343&gt;0,B342&gt;0),LN(B343/B342),"")</x:f>
      </x:c>
      <x:c r="D343" s="16" t="str">
        <x:f>IF(ISNUMBER(C343),ABS(C343),"")</x:f>
      </x:c>
      <x:c r="E343" s="16" t="str">
        <x:f>IF(ISNUMBER(C343),C343^2,"")</x:f>
      </x:c>
      <x:c r="F343" s="16" t="str">
        <x:f>IF(AND(ISNUMBER(C343),ISNUMBER($J$6),$J$6&gt;0),(C343-$J$5)/$J$6,"")</x:f>
      </x:c>
      <x:c r="G343" s="1" t="str">
        <x:f>IF(ISNUMBER(F343),IF(ABS(F343)&gt;3,1,0),"")</x:f>
      </x:c>
      <x:c r="H343" s="1" t="str">
        <x:f>IF(ISNUMBER(F343),F343^4,"")</x:f>
      </x:c>
      <x:c r="I343" s="1"/>
      <x:c r="J343" s="1"/>
      <x:c r="K343" s="1"/>
      <x:c r="L343" s="1"/>
      <x:c r="M343" s="1"/>
      <x:c r="N343" s="1"/>
    </x:row>
    <x:row r="344" ht="22" customHeight="1">
      <x:c r="A344" s="14"/>
      <x:c r="B344" s="15"/>
      <x:c r="C344" s="16" t="str">
        <x:f>IF(AND(ISNUMBER(B344),ISNUMBER(B343),B344&gt;0,B343&gt;0),LN(B344/B343),"")</x:f>
      </x:c>
      <x:c r="D344" s="16" t="str">
        <x:f>IF(ISNUMBER(C344),ABS(C344),"")</x:f>
      </x:c>
      <x:c r="E344" s="16" t="str">
        <x:f>IF(ISNUMBER(C344),C344^2,"")</x:f>
      </x:c>
      <x:c r="F344" s="16" t="str">
        <x:f>IF(AND(ISNUMBER(C344),ISNUMBER($J$6),$J$6&gt;0),(C344-$J$5)/$J$6,"")</x:f>
      </x:c>
      <x:c r="G344" s="1" t="str">
        <x:f>IF(ISNUMBER(F344),IF(ABS(F344)&gt;3,1,0),"")</x:f>
      </x:c>
      <x:c r="H344" s="1" t="str">
        <x:f>IF(ISNUMBER(F344),F344^4,"")</x:f>
      </x:c>
      <x:c r="I344" s="1"/>
      <x:c r="J344" s="1"/>
      <x:c r="K344" s="1"/>
      <x:c r="L344" s="1"/>
      <x:c r="M344" s="1"/>
      <x:c r="N344" s="1"/>
    </x:row>
    <x:row r="345" ht="22" customHeight="1">
      <x:c r="A345" s="14"/>
      <x:c r="B345" s="15"/>
      <x:c r="C345" s="16" t="str">
        <x:f>IF(AND(ISNUMBER(B345),ISNUMBER(B344),B345&gt;0,B344&gt;0),LN(B345/B344),"")</x:f>
      </x:c>
      <x:c r="D345" s="16" t="str">
        <x:f>IF(ISNUMBER(C345),ABS(C345),"")</x:f>
      </x:c>
      <x:c r="E345" s="16" t="str">
        <x:f>IF(ISNUMBER(C345),C345^2,"")</x:f>
      </x:c>
      <x:c r="F345" s="16" t="str">
        <x:f>IF(AND(ISNUMBER(C345),ISNUMBER($J$6),$J$6&gt;0),(C345-$J$5)/$J$6,"")</x:f>
      </x:c>
      <x:c r="G345" s="1" t="str">
        <x:f>IF(ISNUMBER(F345),IF(ABS(F345)&gt;3,1,0),"")</x:f>
      </x:c>
      <x:c r="H345" s="1" t="str">
        <x:f>IF(ISNUMBER(F345),F345^4,"")</x:f>
      </x:c>
      <x:c r="I345" s="1"/>
      <x:c r="J345" s="1"/>
      <x:c r="K345" s="1"/>
      <x:c r="L345" s="1"/>
      <x:c r="M345" s="1"/>
      <x:c r="N345" s="1"/>
    </x:row>
    <x:row r="346" ht="22" customHeight="1">
      <x:c r="A346" s="14"/>
      <x:c r="B346" s="15"/>
      <x:c r="C346" s="16" t="str">
        <x:f>IF(AND(ISNUMBER(B346),ISNUMBER(B345),B346&gt;0,B345&gt;0),LN(B346/B345),"")</x:f>
      </x:c>
      <x:c r="D346" s="16" t="str">
        <x:f>IF(ISNUMBER(C346),ABS(C346),"")</x:f>
      </x:c>
      <x:c r="E346" s="16" t="str">
        <x:f>IF(ISNUMBER(C346),C346^2,"")</x:f>
      </x:c>
      <x:c r="F346" s="16" t="str">
        <x:f>IF(AND(ISNUMBER(C346),ISNUMBER($J$6),$J$6&gt;0),(C346-$J$5)/$J$6,"")</x:f>
      </x:c>
      <x:c r="G346" s="1" t="str">
        <x:f>IF(ISNUMBER(F346),IF(ABS(F346)&gt;3,1,0),"")</x:f>
      </x:c>
      <x:c r="H346" s="1" t="str">
        <x:f>IF(ISNUMBER(F346),F346^4,"")</x:f>
      </x:c>
      <x:c r="I346" s="1"/>
      <x:c r="J346" s="1"/>
      <x:c r="K346" s="1"/>
      <x:c r="L346" s="1"/>
      <x:c r="M346" s="1"/>
      <x:c r="N346" s="1"/>
    </x:row>
    <x:row r="347" ht="22" customHeight="1">
      <x:c r="A347" s="14"/>
      <x:c r="B347" s="15"/>
      <x:c r="C347" s="16" t="str">
        <x:f>IF(AND(ISNUMBER(B347),ISNUMBER(B346),B347&gt;0,B346&gt;0),LN(B347/B346),"")</x:f>
      </x:c>
      <x:c r="D347" s="16" t="str">
        <x:f>IF(ISNUMBER(C347),ABS(C347),"")</x:f>
      </x:c>
      <x:c r="E347" s="16" t="str">
        <x:f>IF(ISNUMBER(C347),C347^2,"")</x:f>
      </x:c>
      <x:c r="F347" s="16" t="str">
        <x:f>IF(AND(ISNUMBER(C347),ISNUMBER($J$6),$J$6&gt;0),(C347-$J$5)/$J$6,"")</x:f>
      </x:c>
      <x:c r="G347" s="1" t="str">
        <x:f>IF(ISNUMBER(F347),IF(ABS(F347)&gt;3,1,0),"")</x:f>
      </x:c>
      <x:c r="H347" s="1" t="str">
        <x:f>IF(ISNUMBER(F347),F347^4,"")</x:f>
      </x:c>
      <x:c r="I347" s="1"/>
      <x:c r="J347" s="1"/>
      <x:c r="K347" s="1"/>
      <x:c r="L347" s="1"/>
      <x:c r="M347" s="1"/>
      <x:c r="N347" s="1"/>
    </x:row>
    <x:row r="348" ht="22" customHeight="1">
      <x:c r="A348" s="14"/>
      <x:c r="B348" s="15"/>
      <x:c r="C348" s="16" t="str">
        <x:f>IF(AND(ISNUMBER(B348),ISNUMBER(B347),B348&gt;0,B347&gt;0),LN(B348/B347),"")</x:f>
      </x:c>
      <x:c r="D348" s="16" t="str">
        <x:f>IF(ISNUMBER(C348),ABS(C348),"")</x:f>
      </x:c>
      <x:c r="E348" s="16" t="str">
        <x:f>IF(ISNUMBER(C348),C348^2,"")</x:f>
      </x:c>
      <x:c r="F348" s="16" t="str">
        <x:f>IF(AND(ISNUMBER(C348),ISNUMBER($J$6),$J$6&gt;0),(C348-$J$5)/$J$6,"")</x:f>
      </x:c>
      <x:c r="G348" s="1" t="str">
        <x:f>IF(ISNUMBER(F348),IF(ABS(F348)&gt;3,1,0),"")</x:f>
      </x:c>
      <x:c r="H348" s="1" t="str">
        <x:f>IF(ISNUMBER(F348),F348^4,"")</x:f>
      </x:c>
      <x:c r="I348" s="1"/>
      <x:c r="J348" s="1"/>
      <x:c r="K348" s="1"/>
      <x:c r="L348" s="1"/>
      <x:c r="M348" s="1"/>
      <x:c r="N348" s="1"/>
    </x:row>
    <x:row r="349" ht="22" customHeight="1">
      <x:c r="A349" s="14"/>
      <x:c r="B349" s="15"/>
      <x:c r="C349" s="16" t="str">
        <x:f>IF(AND(ISNUMBER(B349),ISNUMBER(B348),B349&gt;0,B348&gt;0),LN(B349/B348),"")</x:f>
      </x:c>
      <x:c r="D349" s="16" t="str">
        <x:f>IF(ISNUMBER(C349),ABS(C349),"")</x:f>
      </x:c>
      <x:c r="E349" s="16" t="str">
        <x:f>IF(ISNUMBER(C349),C349^2,"")</x:f>
      </x:c>
      <x:c r="F349" s="16" t="str">
        <x:f>IF(AND(ISNUMBER(C349),ISNUMBER($J$6),$J$6&gt;0),(C349-$J$5)/$J$6,"")</x:f>
      </x:c>
      <x:c r="G349" s="1" t="str">
        <x:f>IF(ISNUMBER(F349),IF(ABS(F349)&gt;3,1,0),"")</x:f>
      </x:c>
      <x:c r="H349" s="1" t="str">
        <x:f>IF(ISNUMBER(F349),F349^4,"")</x:f>
      </x:c>
      <x:c r="I349" s="1"/>
      <x:c r="J349" s="1"/>
      <x:c r="K349" s="1"/>
      <x:c r="L349" s="1"/>
      <x:c r="M349" s="1"/>
      <x:c r="N349" s="1"/>
    </x:row>
    <x:row r="350" ht="22" customHeight="1">
      <x:c r="A350" s="14"/>
      <x:c r="B350" s="15"/>
      <x:c r="C350" s="16" t="str">
        <x:f>IF(AND(ISNUMBER(B350),ISNUMBER(B349),B350&gt;0,B349&gt;0),LN(B350/B349),"")</x:f>
      </x:c>
      <x:c r="D350" s="16" t="str">
        <x:f>IF(ISNUMBER(C350),ABS(C350),"")</x:f>
      </x:c>
      <x:c r="E350" s="16" t="str">
        <x:f>IF(ISNUMBER(C350),C350^2,"")</x:f>
      </x:c>
      <x:c r="F350" s="16" t="str">
        <x:f>IF(AND(ISNUMBER(C350),ISNUMBER($J$6),$J$6&gt;0),(C350-$J$5)/$J$6,"")</x:f>
      </x:c>
      <x:c r="G350" s="1" t="str">
        <x:f>IF(ISNUMBER(F350),IF(ABS(F350)&gt;3,1,0),"")</x:f>
      </x:c>
      <x:c r="H350" s="1" t="str">
        <x:f>IF(ISNUMBER(F350),F350^4,"")</x:f>
      </x:c>
      <x:c r="I350" s="1"/>
      <x:c r="J350" s="1"/>
      <x:c r="K350" s="1"/>
      <x:c r="L350" s="1"/>
      <x:c r="M350" s="1"/>
      <x:c r="N350" s="1"/>
    </x:row>
    <x:row r="351" ht="22" customHeight="1">
      <x:c r="A351" s="14"/>
      <x:c r="B351" s="15"/>
      <x:c r="C351" s="16" t="str">
        <x:f>IF(AND(ISNUMBER(B351),ISNUMBER(B350),B351&gt;0,B350&gt;0),LN(B351/B350),"")</x:f>
      </x:c>
      <x:c r="D351" s="16" t="str">
        <x:f>IF(ISNUMBER(C351),ABS(C351),"")</x:f>
      </x:c>
      <x:c r="E351" s="16" t="str">
        <x:f>IF(ISNUMBER(C351),C351^2,"")</x:f>
      </x:c>
      <x:c r="F351" s="16" t="str">
        <x:f>IF(AND(ISNUMBER(C351),ISNUMBER($J$6),$J$6&gt;0),(C351-$J$5)/$J$6,"")</x:f>
      </x:c>
      <x:c r="G351" s="1" t="str">
        <x:f>IF(ISNUMBER(F351),IF(ABS(F351)&gt;3,1,0),"")</x:f>
      </x:c>
      <x:c r="H351" s="1" t="str">
        <x:f>IF(ISNUMBER(F351),F351^4,"")</x:f>
      </x:c>
      <x:c r="I351" s="1"/>
      <x:c r="J351" s="1"/>
      <x:c r="K351" s="1"/>
      <x:c r="L351" s="1"/>
      <x:c r="M351" s="1"/>
      <x:c r="N351" s="1"/>
    </x:row>
    <x:row r="352" ht="22" customHeight="1">
      <x:c r="A352" s="14"/>
      <x:c r="B352" s="15"/>
      <x:c r="C352" s="16" t="str">
        <x:f>IF(AND(ISNUMBER(B352),ISNUMBER(B351),B352&gt;0,B351&gt;0),LN(B352/B351),"")</x:f>
      </x:c>
      <x:c r="D352" s="16" t="str">
        <x:f>IF(ISNUMBER(C352),ABS(C352),"")</x:f>
      </x:c>
      <x:c r="E352" s="16" t="str">
        <x:f>IF(ISNUMBER(C352),C352^2,"")</x:f>
      </x:c>
      <x:c r="F352" s="16" t="str">
        <x:f>IF(AND(ISNUMBER(C352),ISNUMBER($J$6),$J$6&gt;0),(C352-$J$5)/$J$6,"")</x:f>
      </x:c>
      <x:c r="G352" s="1" t="str">
        <x:f>IF(ISNUMBER(F352),IF(ABS(F352)&gt;3,1,0),"")</x:f>
      </x:c>
      <x:c r="H352" s="1" t="str">
        <x:f>IF(ISNUMBER(F352),F352^4,"")</x:f>
      </x:c>
      <x:c r="I352" s="1"/>
      <x:c r="J352" s="1"/>
      <x:c r="K352" s="1"/>
      <x:c r="L352" s="1"/>
      <x:c r="M352" s="1"/>
      <x:c r="N352" s="1"/>
    </x:row>
    <x:row r="353" ht="22" customHeight="1">
      <x:c r="A353" s="14"/>
      <x:c r="B353" s="15"/>
      <x:c r="C353" s="16" t="str">
        <x:f>IF(AND(ISNUMBER(B353),ISNUMBER(B352),B353&gt;0,B352&gt;0),LN(B353/B352),"")</x:f>
      </x:c>
      <x:c r="D353" s="16" t="str">
        <x:f>IF(ISNUMBER(C353),ABS(C353),"")</x:f>
      </x:c>
      <x:c r="E353" s="16" t="str">
        <x:f>IF(ISNUMBER(C353),C353^2,"")</x:f>
      </x:c>
      <x:c r="F353" s="16" t="str">
        <x:f>IF(AND(ISNUMBER(C353),ISNUMBER($J$6),$J$6&gt;0),(C353-$J$5)/$J$6,"")</x:f>
      </x:c>
      <x:c r="G353" s="1" t="str">
        <x:f>IF(ISNUMBER(F353),IF(ABS(F353)&gt;3,1,0),"")</x:f>
      </x:c>
      <x:c r="H353" s="1" t="str">
        <x:f>IF(ISNUMBER(F353),F353^4,"")</x:f>
      </x:c>
      <x:c r="I353" s="1"/>
      <x:c r="J353" s="1"/>
      <x:c r="K353" s="1"/>
      <x:c r="L353" s="1"/>
      <x:c r="M353" s="1"/>
      <x:c r="N353" s="1"/>
    </x:row>
    <x:row r="354" ht="22" customHeight="1">
      <x:c r="A354" s="14"/>
      <x:c r="B354" s="15"/>
      <x:c r="C354" s="16" t="str">
        <x:f>IF(AND(ISNUMBER(B354),ISNUMBER(B353),B354&gt;0,B353&gt;0),LN(B354/B353),"")</x:f>
      </x:c>
      <x:c r="D354" s="16" t="str">
        <x:f>IF(ISNUMBER(C354),ABS(C354),"")</x:f>
      </x:c>
      <x:c r="E354" s="16" t="str">
        <x:f>IF(ISNUMBER(C354),C354^2,"")</x:f>
      </x:c>
      <x:c r="F354" s="16" t="str">
        <x:f>IF(AND(ISNUMBER(C354),ISNUMBER($J$6),$J$6&gt;0),(C354-$J$5)/$J$6,"")</x:f>
      </x:c>
      <x:c r="G354" s="1" t="str">
        <x:f>IF(ISNUMBER(F354),IF(ABS(F354)&gt;3,1,0),"")</x:f>
      </x:c>
      <x:c r="H354" s="1" t="str">
        <x:f>IF(ISNUMBER(F354),F354^4,"")</x:f>
      </x:c>
      <x:c r="I354" s="1"/>
      <x:c r="J354" s="1"/>
      <x:c r="K354" s="1"/>
      <x:c r="L354" s="1"/>
      <x:c r="M354" s="1"/>
      <x:c r="N354" s="1"/>
    </x:row>
    <x:row r="355" ht="22" customHeight="1">
      <x:c r="A355" s="14"/>
      <x:c r="B355" s="15"/>
      <x:c r="C355" s="16" t="str">
        <x:f>IF(AND(ISNUMBER(B355),ISNUMBER(B354),B355&gt;0,B354&gt;0),LN(B355/B354),"")</x:f>
      </x:c>
      <x:c r="D355" s="16" t="str">
        <x:f>IF(ISNUMBER(C355),ABS(C355),"")</x:f>
      </x:c>
      <x:c r="E355" s="16" t="str">
        <x:f>IF(ISNUMBER(C355),C355^2,"")</x:f>
      </x:c>
      <x:c r="F355" s="16" t="str">
        <x:f>IF(AND(ISNUMBER(C355),ISNUMBER($J$6),$J$6&gt;0),(C355-$J$5)/$J$6,"")</x:f>
      </x:c>
      <x:c r="G355" s="1" t="str">
        <x:f>IF(ISNUMBER(F355),IF(ABS(F355)&gt;3,1,0),"")</x:f>
      </x:c>
      <x:c r="H355" s="1" t="str">
        <x:f>IF(ISNUMBER(F355),F355^4,"")</x:f>
      </x:c>
      <x:c r="I355" s="1"/>
      <x:c r="J355" s="1"/>
      <x:c r="K355" s="1"/>
      <x:c r="L355" s="1"/>
      <x:c r="M355" s="1"/>
      <x:c r="N355" s="1"/>
    </x:row>
    <x:row r="356" ht="22" customHeight="1">
      <x:c r="A356" s="14"/>
      <x:c r="B356" s="15"/>
      <x:c r="C356" s="16" t="str">
        <x:f>IF(AND(ISNUMBER(B356),ISNUMBER(B355),B356&gt;0,B355&gt;0),LN(B356/B355),"")</x:f>
      </x:c>
      <x:c r="D356" s="16" t="str">
        <x:f>IF(ISNUMBER(C356),ABS(C356),"")</x:f>
      </x:c>
      <x:c r="E356" s="16" t="str">
        <x:f>IF(ISNUMBER(C356),C356^2,"")</x:f>
      </x:c>
      <x:c r="F356" s="16" t="str">
        <x:f>IF(AND(ISNUMBER(C356),ISNUMBER($J$6),$J$6&gt;0),(C356-$J$5)/$J$6,"")</x:f>
      </x:c>
      <x:c r="G356" s="1" t="str">
        <x:f>IF(ISNUMBER(F356),IF(ABS(F356)&gt;3,1,0),"")</x:f>
      </x:c>
      <x:c r="H356" s="1" t="str">
        <x:f>IF(ISNUMBER(F356),F356^4,"")</x:f>
      </x:c>
      <x:c r="I356" s="1"/>
      <x:c r="J356" s="1"/>
      <x:c r="K356" s="1"/>
      <x:c r="L356" s="1"/>
      <x:c r="M356" s="1"/>
      <x:c r="N356" s="1"/>
    </x:row>
    <x:row r="357" ht="22" customHeight="1">
      <x:c r="A357" s="14"/>
      <x:c r="B357" s="15"/>
      <x:c r="C357" s="16" t="str">
        <x:f>IF(AND(ISNUMBER(B357),ISNUMBER(B356),B357&gt;0,B356&gt;0),LN(B357/B356),"")</x:f>
      </x:c>
      <x:c r="D357" s="16" t="str">
        <x:f>IF(ISNUMBER(C357),ABS(C357),"")</x:f>
      </x:c>
      <x:c r="E357" s="16" t="str">
        <x:f>IF(ISNUMBER(C357),C357^2,"")</x:f>
      </x:c>
      <x:c r="F357" s="16" t="str">
        <x:f>IF(AND(ISNUMBER(C357),ISNUMBER($J$6),$J$6&gt;0),(C357-$J$5)/$J$6,"")</x:f>
      </x:c>
      <x:c r="G357" s="1" t="str">
        <x:f>IF(ISNUMBER(F357),IF(ABS(F357)&gt;3,1,0),"")</x:f>
      </x:c>
      <x:c r="H357" s="1" t="str">
        <x:f>IF(ISNUMBER(F357),F357^4,"")</x:f>
      </x:c>
      <x:c r="I357" s="1"/>
      <x:c r="J357" s="1"/>
      <x:c r="K357" s="1"/>
      <x:c r="L357" s="1"/>
      <x:c r="M357" s="1"/>
      <x:c r="N357" s="1"/>
    </x:row>
    <x:row r="358" ht="22" customHeight="1">
      <x:c r="A358" s="14"/>
      <x:c r="B358" s="15"/>
      <x:c r="C358" s="16" t="str">
        <x:f>IF(AND(ISNUMBER(B358),ISNUMBER(B357),B358&gt;0,B357&gt;0),LN(B358/B357),"")</x:f>
      </x:c>
      <x:c r="D358" s="16" t="str">
        <x:f>IF(ISNUMBER(C358),ABS(C358),"")</x:f>
      </x:c>
      <x:c r="E358" s="16" t="str">
        <x:f>IF(ISNUMBER(C358),C358^2,"")</x:f>
      </x:c>
      <x:c r="F358" s="16" t="str">
        <x:f>IF(AND(ISNUMBER(C358),ISNUMBER($J$6),$J$6&gt;0),(C358-$J$5)/$J$6,"")</x:f>
      </x:c>
      <x:c r="G358" s="1" t="str">
        <x:f>IF(ISNUMBER(F358),IF(ABS(F358)&gt;3,1,0),"")</x:f>
      </x:c>
      <x:c r="H358" s="1" t="str">
        <x:f>IF(ISNUMBER(F358),F358^4,"")</x:f>
      </x:c>
      <x:c r="I358" s="1"/>
      <x:c r="J358" s="1"/>
      <x:c r="K358" s="1"/>
      <x:c r="L358" s="1"/>
      <x:c r="M358" s="1"/>
      <x:c r="N358" s="1"/>
    </x:row>
    <x:row r="359" ht="22" customHeight="1">
      <x:c r="A359" s="14"/>
      <x:c r="B359" s="15"/>
      <x:c r="C359" s="16" t="str">
        <x:f>IF(AND(ISNUMBER(B359),ISNUMBER(B358),B359&gt;0,B358&gt;0),LN(B359/B358),"")</x:f>
      </x:c>
      <x:c r="D359" s="16" t="str">
        <x:f>IF(ISNUMBER(C359),ABS(C359),"")</x:f>
      </x:c>
      <x:c r="E359" s="16" t="str">
        <x:f>IF(ISNUMBER(C359),C359^2,"")</x:f>
      </x:c>
      <x:c r="F359" s="16" t="str">
        <x:f>IF(AND(ISNUMBER(C359),ISNUMBER($J$6),$J$6&gt;0),(C359-$J$5)/$J$6,"")</x:f>
      </x:c>
      <x:c r="G359" s="1" t="str">
        <x:f>IF(ISNUMBER(F359),IF(ABS(F359)&gt;3,1,0),"")</x:f>
      </x:c>
      <x:c r="H359" s="1" t="str">
        <x:f>IF(ISNUMBER(F359),F359^4,"")</x:f>
      </x:c>
      <x:c r="I359" s="1"/>
      <x:c r="J359" s="1"/>
      <x:c r="K359" s="1"/>
      <x:c r="L359" s="1"/>
      <x:c r="M359" s="1"/>
      <x:c r="N359" s="1"/>
    </x:row>
    <x:row r="360" ht="22" customHeight="1">
      <x:c r="A360" s="14"/>
      <x:c r="B360" s="15"/>
      <x:c r="C360" s="16" t="str">
        <x:f>IF(AND(ISNUMBER(B360),ISNUMBER(B359),B360&gt;0,B359&gt;0),LN(B360/B359),"")</x:f>
      </x:c>
      <x:c r="D360" s="16" t="str">
        <x:f>IF(ISNUMBER(C360),ABS(C360),"")</x:f>
      </x:c>
      <x:c r="E360" s="16" t="str">
        <x:f>IF(ISNUMBER(C360),C360^2,"")</x:f>
      </x:c>
      <x:c r="F360" s="16" t="str">
        <x:f>IF(AND(ISNUMBER(C360),ISNUMBER($J$6),$J$6&gt;0),(C360-$J$5)/$J$6,"")</x:f>
      </x:c>
      <x:c r="G360" s="1" t="str">
        <x:f>IF(ISNUMBER(F360),IF(ABS(F360)&gt;3,1,0),"")</x:f>
      </x:c>
      <x:c r="H360" s="1" t="str">
        <x:f>IF(ISNUMBER(F360),F360^4,"")</x:f>
      </x:c>
      <x:c r="I360" s="1"/>
      <x:c r="J360" s="1"/>
      <x:c r="K360" s="1"/>
      <x:c r="L360" s="1"/>
      <x:c r="M360" s="1"/>
      <x:c r="N360" s="1"/>
    </x:row>
    <x:row r="361" ht="22" customHeight="1">
      <x:c r="A361" s="14"/>
      <x:c r="B361" s="15"/>
      <x:c r="C361" s="16" t="str">
        <x:f>IF(AND(ISNUMBER(B361),ISNUMBER(B360),B361&gt;0,B360&gt;0),LN(B361/B360),"")</x:f>
      </x:c>
      <x:c r="D361" s="16" t="str">
        <x:f>IF(ISNUMBER(C361),ABS(C361),"")</x:f>
      </x:c>
      <x:c r="E361" s="16" t="str">
        <x:f>IF(ISNUMBER(C361),C361^2,"")</x:f>
      </x:c>
      <x:c r="F361" s="16" t="str">
        <x:f>IF(AND(ISNUMBER(C361),ISNUMBER($J$6),$J$6&gt;0),(C361-$J$5)/$J$6,"")</x:f>
      </x:c>
      <x:c r="G361" s="1" t="str">
        <x:f>IF(ISNUMBER(F361),IF(ABS(F361)&gt;3,1,0),"")</x:f>
      </x:c>
      <x:c r="H361" s="1" t="str">
        <x:f>IF(ISNUMBER(F361),F361^4,"")</x:f>
      </x:c>
      <x:c r="I361" s="1"/>
      <x:c r="J361" s="1"/>
      <x:c r="K361" s="1"/>
      <x:c r="L361" s="1"/>
      <x:c r="M361" s="1"/>
      <x:c r="N361" s="1"/>
    </x:row>
    <x:row r="362" ht="22" customHeight="1">
      <x:c r="A362" s="14"/>
      <x:c r="B362" s="15"/>
      <x:c r="C362" s="16" t="str">
        <x:f>IF(AND(ISNUMBER(B362),ISNUMBER(B361),B362&gt;0,B361&gt;0),LN(B362/B361),"")</x:f>
      </x:c>
      <x:c r="D362" s="16" t="str">
        <x:f>IF(ISNUMBER(C362),ABS(C362),"")</x:f>
      </x:c>
      <x:c r="E362" s="16" t="str">
        <x:f>IF(ISNUMBER(C362),C362^2,"")</x:f>
      </x:c>
      <x:c r="F362" s="16" t="str">
        <x:f>IF(AND(ISNUMBER(C362),ISNUMBER($J$6),$J$6&gt;0),(C362-$J$5)/$J$6,"")</x:f>
      </x:c>
      <x:c r="G362" s="1" t="str">
        <x:f>IF(ISNUMBER(F362),IF(ABS(F362)&gt;3,1,0),"")</x:f>
      </x:c>
      <x:c r="H362" s="1" t="str">
        <x:f>IF(ISNUMBER(F362),F362^4,"")</x:f>
      </x:c>
      <x:c r="I362" s="1"/>
      <x:c r="J362" s="1"/>
      <x:c r="K362" s="1"/>
      <x:c r="L362" s="1"/>
      <x:c r="M362" s="1"/>
      <x:c r="N362" s="1"/>
    </x:row>
    <x:row r="363" ht="22" customHeight="1">
      <x:c r="A363" s="14"/>
      <x:c r="B363" s="15"/>
      <x:c r="C363" s="16" t="str">
        <x:f>IF(AND(ISNUMBER(B363),ISNUMBER(B362),B363&gt;0,B362&gt;0),LN(B363/B362),"")</x:f>
      </x:c>
      <x:c r="D363" s="16" t="str">
        <x:f>IF(ISNUMBER(C363),ABS(C363),"")</x:f>
      </x:c>
      <x:c r="E363" s="16" t="str">
        <x:f>IF(ISNUMBER(C363),C363^2,"")</x:f>
      </x:c>
      <x:c r="F363" s="16" t="str">
        <x:f>IF(AND(ISNUMBER(C363),ISNUMBER($J$6),$J$6&gt;0),(C363-$J$5)/$J$6,"")</x:f>
      </x:c>
      <x:c r="G363" s="1" t="str">
        <x:f>IF(ISNUMBER(F363),IF(ABS(F363)&gt;3,1,0),"")</x:f>
      </x:c>
      <x:c r="H363" s="1" t="str">
        <x:f>IF(ISNUMBER(F363),F363^4,"")</x:f>
      </x:c>
      <x:c r="I363" s="1"/>
      <x:c r="J363" s="1"/>
      <x:c r="K363" s="1"/>
      <x:c r="L363" s="1"/>
      <x:c r="M363" s="1"/>
      <x:c r="N363" s="1"/>
    </x:row>
    <x:row r="364" ht="22" customHeight="1">
      <x:c r="A364" s="14"/>
      <x:c r="B364" s="15"/>
      <x:c r="C364" s="16" t="str">
        <x:f>IF(AND(ISNUMBER(B364),ISNUMBER(B363),B364&gt;0,B363&gt;0),LN(B364/B363),"")</x:f>
      </x:c>
      <x:c r="D364" s="16" t="str">
        <x:f>IF(ISNUMBER(C364),ABS(C364),"")</x:f>
      </x:c>
      <x:c r="E364" s="16" t="str">
        <x:f>IF(ISNUMBER(C364),C364^2,"")</x:f>
      </x:c>
      <x:c r="F364" s="16" t="str">
        <x:f>IF(AND(ISNUMBER(C364),ISNUMBER($J$6),$J$6&gt;0),(C364-$J$5)/$J$6,"")</x:f>
      </x:c>
      <x:c r="G364" s="1" t="str">
        <x:f>IF(ISNUMBER(F364),IF(ABS(F364)&gt;3,1,0),"")</x:f>
      </x:c>
      <x:c r="H364" s="1" t="str">
        <x:f>IF(ISNUMBER(F364),F364^4,"")</x:f>
      </x:c>
      <x:c r="I364" s="1"/>
      <x:c r="J364" s="1"/>
      <x:c r="K364" s="1"/>
      <x:c r="L364" s="1"/>
      <x:c r="M364" s="1"/>
      <x:c r="N364" s="1"/>
    </x:row>
    <x:row r="365" ht="22" customHeight="1">
      <x:c r="A365" s="14"/>
      <x:c r="B365" s="15"/>
      <x:c r="C365" s="16" t="str">
        <x:f>IF(AND(ISNUMBER(B365),ISNUMBER(B364),B365&gt;0,B364&gt;0),LN(B365/B364),"")</x:f>
      </x:c>
      <x:c r="D365" s="16" t="str">
        <x:f>IF(ISNUMBER(C365),ABS(C365),"")</x:f>
      </x:c>
      <x:c r="E365" s="16" t="str">
        <x:f>IF(ISNUMBER(C365),C365^2,"")</x:f>
      </x:c>
      <x:c r="F365" s="16" t="str">
        <x:f>IF(AND(ISNUMBER(C365),ISNUMBER($J$6),$J$6&gt;0),(C365-$J$5)/$J$6,"")</x:f>
      </x:c>
      <x:c r="G365" s="1" t="str">
        <x:f>IF(ISNUMBER(F365),IF(ABS(F365)&gt;3,1,0),"")</x:f>
      </x:c>
      <x:c r="H365" s="1" t="str">
        <x:f>IF(ISNUMBER(F365),F365^4,"")</x:f>
      </x:c>
      <x:c r="I365" s="1"/>
      <x:c r="J365" s="1"/>
      <x:c r="K365" s="1"/>
      <x:c r="L365" s="1"/>
      <x:c r="M365" s="1"/>
      <x:c r="N365" s="1"/>
    </x:row>
    <x:row r="366" ht="22" customHeight="1">
      <x:c r="A366" s="14"/>
      <x:c r="B366" s="15"/>
      <x:c r="C366" s="16" t="str">
        <x:f>IF(AND(ISNUMBER(B366),ISNUMBER(B365),B366&gt;0,B365&gt;0),LN(B366/B365),"")</x:f>
      </x:c>
      <x:c r="D366" s="16" t="str">
        <x:f>IF(ISNUMBER(C366),ABS(C366),"")</x:f>
      </x:c>
      <x:c r="E366" s="16" t="str">
        <x:f>IF(ISNUMBER(C366),C366^2,"")</x:f>
      </x:c>
      <x:c r="F366" s="16" t="str">
        <x:f>IF(AND(ISNUMBER(C366),ISNUMBER($J$6),$J$6&gt;0),(C366-$J$5)/$J$6,"")</x:f>
      </x:c>
      <x:c r="G366" s="1" t="str">
        <x:f>IF(ISNUMBER(F366),IF(ABS(F366)&gt;3,1,0),"")</x:f>
      </x:c>
      <x:c r="H366" s="1" t="str">
        <x:f>IF(ISNUMBER(F366),F366^4,"")</x:f>
      </x:c>
      <x:c r="I366" s="1"/>
      <x:c r="J366" s="1"/>
      <x:c r="K366" s="1"/>
      <x:c r="L366" s="1"/>
      <x:c r="M366" s="1"/>
      <x:c r="N366" s="1"/>
    </x:row>
    <x:row r="367" ht="22" customHeight="1">
      <x:c r="A367" s="14"/>
      <x:c r="B367" s="15"/>
      <x:c r="C367" s="16" t="str">
        <x:f>IF(AND(ISNUMBER(B367),ISNUMBER(B366),B367&gt;0,B366&gt;0),LN(B367/B366),"")</x:f>
      </x:c>
      <x:c r="D367" s="16" t="str">
        <x:f>IF(ISNUMBER(C367),ABS(C367),"")</x:f>
      </x:c>
      <x:c r="E367" s="16" t="str">
        <x:f>IF(ISNUMBER(C367),C367^2,"")</x:f>
      </x:c>
      <x:c r="F367" s="16" t="str">
        <x:f>IF(AND(ISNUMBER(C367),ISNUMBER($J$6),$J$6&gt;0),(C367-$J$5)/$J$6,"")</x:f>
      </x:c>
      <x:c r="G367" s="1" t="str">
        <x:f>IF(ISNUMBER(F367),IF(ABS(F367)&gt;3,1,0),"")</x:f>
      </x:c>
      <x:c r="H367" s="1" t="str">
        <x:f>IF(ISNUMBER(F367),F367^4,"")</x:f>
      </x:c>
      <x:c r="I367" s="1"/>
      <x:c r="J367" s="1"/>
      <x:c r="K367" s="1"/>
      <x:c r="L367" s="1"/>
      <x:c r="M367" s="1"/>
      <x:c r="N367" s="1"/>
    </x:row>
    <x:row r="368" ht="22" customHeight="1">
      <x:c r="A368" s="14"/>
      <x:c r="B368" s="15"/>
      <x:c r="C368" s="16" t="str">
        <x:f>IF(AND(ISNUMBER(B368),ISNUMBER(B367),B368&gt;0,B367&gt;0),LN(B368/B367),"")</x:f>
      </x:c>
      <x:c r="D368" s="16" t="str">
        <x:f>IF(ISNUMBER(C368),ABS(C368),"")</x:f>
      </x:c>
      <x:c r="E368" s="16" t="str">
        <x:f>IF(ISNUMBER(C368),C368^2,"")</x:f>
      </x:c>
      <x:c r="F368" s="16" t="str">
        <x:f>IF(AND(ISNUMBER(C368),ISNUMBER($J$6),$J$6&gt;0),(C368-$J$5)/$J$6,"")</x:f>
      </x:c>
      <x:c r="G368" s="1" t="str">
        <x:f>IF(ISNUMBER(F368),IF(ABS(F368)&gt;3,1,0),"")</x:f>
      </x:c>
      <x:c r="H368" s="1" t="str">
        <x:f>IF(ISNUMBER(F368),F368^4,"")</x:f>
      </x:c>
      <x:c r="I368" s="1"/>
      <x:c r="J368" s="1"/>
      <x:c r="K368" s="1"/>
      <x:c r="L368" s="1"/>
      <x:c r="M368" s="1"/>
      <x:c r="N368" s="1"/>
    </x:row>
    <x:row r="369" ht="22" customHeight="1">
      <x:c r="A369" s="14"/>
      <x:c r="B369" s="15"/>
      <x:c r="C369" s="16" t="str">
        <x:f>IF(AND(ISNUMBER(B369),ISNUMBER(B368),B369&gt;0,B368&gt;0),LN(B369/B368),"")</x:f>
      </x:c>
      <x:c r="D369" s="16" t="str">
        <x:f>IF(ISNUMBER(C369),ABS(C369),"")</x:f>
      </x:c>
      <x:c r="E369" s="16" t="str">
        <x:f>IF(ISNUMBER(C369),C369^2,"")</x:f>
      </x:c>
      <x:c r="F369" s="16" t="str">
        <x:f>IF(AND(ISNUMBER(C369),ISNUMBER($J$6),$J$6&gt;0),(C369-$J$5)/$J$6,"")</x:f>
      </x:c>
      <x:c r="G369" s="1" t="str">
        <x:f>IF(ISNUMBER(F369),IF(ABS(F369)&gt;3,1,0),"")</x:f>
      </x:c>
      <x:c r="H369" s="1" t="str">
        <x:f>IF(ISNUMBER(F369),F369^4,"")</x:f>
      </x:c>
      <x:c r="I369" s="1"/>
      <x:c r="J369" s="1"/>
      <x:c r="K369" s="1"/>
      <x:c r="L369" s="1"/>
      <x:c r="M369" s="1"/>
      <x:c r="N369" s="1"/>
    </x:row>
    <x:row r="370" ht="22" customHeight="1">
      <x:c r="A370" s="14"/>
      <x:c r="B370" s="15"/>
      <x:c r="C370" s="16" t="str">
        <x:f>IF(AND(ISNUMBER(B370),ISNUMBER(B369),B370&gt;0,B369&gt;0),LN(B370/B369),"")</x:f>
      </x:c>
      <x:c r="D370" s="16" t="str">
        <x:f>IF(ISNUMBER(C370),ABS(C370),"")</x:f>
      </x:c>
      <x:c r="E370" s="16" t="str">
        <x:f>IF(ISNUMBER(C370),C370^2,"")</x:f>
      </x:c>
      <x:c r="F370" s="16" t="str">
        <x:f>IF(AND(ISNUMBER(C370),ISNUMBER($J$6),$J$6&gt;0),(C370-$J$5)/$J$6,"")</x:f>
      </x:c>
      <x:c r="G370" s="1" t="str">
        <x:f>IF(ISNUMBER(F370),IF(ABS(F370)&gt;3,1,0),"")</x:f>
      </x:c>
      <x:c r="H370" s="1" t="str">
        <x:f>IF(ISNUMBER(F370),F370^4,"")</x:f>
      </x:c>
      <x:c r="I370" s="1"/>
      <x:c r="J370" s="1"/>
      <x:c r="K370" s="1"/>
      <x:c r="L370" s="1"/>
      <x:c r="M370" s="1"/>
      <x:c r="N370" s="1"/>
    </x:row>
    <x:row r="371" ht="22" customHeight="1">
      <x:c r="A371" s="14"/>
      <x:c r="B371" s="15"/>
      <x:c r="C371" s="16" t="str">
        <x:f>IF(AND(ISNUMBER(B371),ISNUMBER(B370),B371&gt;0,B370&gt;0),LN(B371/B370),"")</x:f>
      </x:c>
      <x:c r="D371" s="16" t="str">
        <x:f>IF(ISNUMBER(C371),ABS(C371),"")</x:f>
      </x:c>
      <x:c r="E371" s="16" t="str">
        <x:f>IF(ISNUMBER(C371),C371^2,"")</x:f>
      </x:c>
      <x:c r="F371" s="16" t="str">
        <x:f>IF(AND(ISNUMBER(C371),ISNUMBER($J$6),$J$6&gt;0),(C371-$J$5)/$J$6,"")</x:f>
      </x:c>
      <x:c r="G371" s="1" t="str">
        <x:f>IF(ISNUMBER(F371),IF(ABS(F371)&gt;3,1,0),"")</x:f>
      </x:c>
      <x:c r="H371" s="1" t="str">
        <x:f>IF(ISNUMBER(F371),F371^4,"")</x:f>
      </x:c>
      <x:c r="I371" s="1"/>
      <x:c r="J371" s="1"/>
      <x:c r="K371" s="1"/>
      <x:c r="L371" s="1"/>
      <x:c r="M371" s="1"/>
      <x:c r="N371" s="1"/>
    </x:row>
    <x:row r="372" ht="22" customHeight="1">
      <x:c r="A372" s="14"/>
      <x:c r="B372" s="15"/>
      <x:c r="C372" s="16" t="str">
        <x:f>IF(AND(ISNUMBER(B372),ISNUMBER(B371),B372&gt;0,B371&gt;0),LN(B372/B371),"")</x:f>
      </x:c>
      <x:c r="D372" s="16" t="str">
        <x:f>IF(ISNUMBER(C372),ABS(C372),"")</x:f>
      </x:c>
      <x:c r="E372" s="16" t="str">
        <x:f>IF(ISNUMBER(C372),C372^2,"")</x:f>
      </x:c>
      <x:c r="F372" s="16" t="str">
        <x:f>IF(AND(ISNUMBER(C372),ISNUMBER($J$6),$J$6&gt;0),(C372-$J$5)/$J$6,"")</x:f>
      </x:c>
      <x:c r="G372" s="1" t="str">
        <x:f>IF(ISNUMBER(F372),IF(ABS(F372)&gt;3,1,0),"")</x:f>
      </x:c>
      <x:c r="H372" s="1" t="str">
        <x:f>IF(ISNUMBER(F372),F372^4,"")</x:f>
      </x:c>
      <x:c r="I372" s="1"/>
      <x:c r="J372" s="1"/>
      <x:c r="K372" s="1"/>
      <x:c r="L372" s="1"/>
      <x:c r="M372" s="1"/>
      <x:c r="N372" s="1"/>
    </x:row>
    <x:row r="373" ht="22" customHeight="1">
      <x:c r="A373" s="14"/>
      <x:c r="B373" s="15"/>
      <x:c r="C373" s="16" t="str">
        <x:f>IF(AND(ISNUMBER(B373),ISNUMBER(B372),B373&gt;0,B372&gt;0),LN(B373/B372),"")</x:f>
      </x:c>
      <x:c r="D373" s="16" t="str">
        <x:f>IF(ISNUMBER(C373),ABS(C373),"")</x:f>
      </x:c>
      <x:c r="E373" s="16" t="str">
        <x:f>IF(ISNUMBER(C373),C373^2,"")</x:f>
      </x:c>
      <x:c r="F373" s="16" t="str">
        <x:f>IF(AND(ISNUMBER(C373),ISNUMBER($J$6),$J$6&gt;0),(C373-$J$5)/$J$6,"")</x:f>
      </x:c>
      <x:c r="G373" s="1" t="str">
        <x:f>IF(ISNUMBER(F373),IF(ABS(F373)&gt;3,1,0),"")</x:f>
      </x:c>
      <x:c r="H373" s="1" t="str">
        <x:f>IF(ISNUMBER(F373),F373^4,"")</x:f>
      </x:c>
      <x:c r="I373" s="1"/>
      <x:c r="J373" s="1"/>
      <x:c r="K373" s="1"/>
      <x:c r="L373" s="1"/>
      <x:c r="M373" s="1"/>
      <x:c r="N373" s="1"/>
    </x:row>
    <x:row r="374" ht="22" customHeight="1">
      <x:c r="A374" s="14"/>
      <x:c r="B374" s="15"/>
      <x:c r="C374" s="16" t="str">
        <x:f>IF(AND(ISNUMBER(B374),ISNUMBER(B373),B374&gt;0,B373&gt;0),LN(B374/B373),"")</x:f>
      </x:c>
      <x:c r="D374" s="16" t="str">
        <x:f>IF(ISNUMBER(C374),ABS(C374),"")</x:f>
      </x:c>
      <x:c r="E374" s="16" t="str">
        <x:f>IF(ISNUMBER(C374),C374^2,"")</x:f>
      </x:c>
      <x:c r="F374" s="16" t="str">
        <x:f>IF(AND(ISNUMBER(C374),ISNUMBER($J$6),$J$6&gt;0),(C374-$J$5)/$J$6,"")</x:f>
      </x:c>
      <x:c r="G374" s="1" t="str">
        <x:f>IF(ISNUMBER(F374),IF(ABS(F374)&gt;3,1,0),"")</x:f>
      </x:c>
      <x:c r="H374" s="1" t="str">
        <x:f>IF(ISNUMBER(F374),F374^4,"")</x:f>
      </x:c>
      <x:c r="I374" s="1"/>
      <x:c r="J374" s="1"/>
      <x:c r="K374" s="1"/>
      <x:c r="L374" s="1"/>
      <x:c r="M374" s="1"/>
      <x:c r="N374" s="1"/>
    </x:row>
    <x:row r="375" ht="22" customHeight="1">
      <x:c r="A375" s="14"/>
      <x:c r="B375" s="15"/>
      <x:c r="C375" s="16" t="str">
        <x:f>IF(AND(ISNUMBER(B375),ISNUMBER(B374),B375&gt;0,B374&gt;0),LN(B375/B374),"")</x:f>
      </x:c>
      <x:c r="D375" s="16" t="str">
        <x:f>IF(ISNUMBER(C375),ABS(C375),"")</x:f>
      </x:c>
      <x:c r="E375" s="16" t="str">
        <x:f>IF(ISNUMBER(C375),C375^2,"")</x:f>
      </x:c>
      <x:c r="F375" s="16" t="str">
        <x:f>IF(AND(ISNUMBER(C375),ISNUMBER($J$6),$J$6&gt;0),(C375-$J$5)/$J$6,"")</x:f>
      </x:c>
      <x:c r="G375" s="1" t="str">
        <x:f>IF(ISNUMBER(F375),IF(ABS(F375)&gt;3,1,0),"")</x:f>
      </x:c>
      <x:c r="H375" s="1" t="str">
        <x:f>IF(ISNUMBER(F375),F375^4,"")</x:f>
      </x:c>
      <x:c r="I375" s="1"/>
      <x:c r="J375" s="1"/>
      <x:c r="K375" s="1"/>
      <x:c r="L375" s="1"/>
      <x:c r="M375" s="1"/>
      <x:c r="N375" s="1"/>
    </x:row>
    <x:row r="376" ht="22" customHeight="1">
      <x:c r="A376" s="14"/>
      <x:c r="B376" s="15"/>
      <x:c r="C376" s="16" t="str">
        <x:f>IF(AND(ISNUMBER(B376),ISNUMBER(B375),B376&gt;0,B375&gt;0),LN(B376/B375),"")</x:f>
      </x:c>
      <x:c r="D376" s="16" t="str">
        <x:f>IF(ISNUMBER(C376),ABS(C376),"")</x:f>
      </x:c>
      <x:c r="E376" s="16" t="str">
        <x:f>IF(ISNUMBER(C376),C376^2,"")</x:f>
      </x:c>
      <x:c r="F376" s="16" t="str">
        <x:f>IF(AND(ISNUMBER(C376),ISNUMBER($J$6),$J$6&gt;0),(C376-$J$5)/$J$6,"")</x:f>
      </x:c>
      <x:c r="G376" s="1" t="str">
        <x:f>IF(ISNUMBER(F376),IF(ABS(F376)&gt;3,1,0),"")</x:f>
      </x:c>
      <x:c r="H376" s="1" t="str">
        <x:f>IF(ISNUMBER(F376),F376^4,"")</x:f>
      </x:c>
      <x:c r="I376" s="1"/>
      <x:c r="J376" s="1"/>
      <x:c r="K376" s="1"/>
      <x:c r="L376" s="1"/>
      <x:c r="M376" s="1"/>
      <x:c r="N376" s="1"/>
    </x:row>
    <x:row r="377" ht="22" customHeight="1">
      <x:c r="A377" s="14"/>
      <x:c r="B377" s="15"/>
      <x:c r="C377" s="16" t="str">
        <x:f>IF(AND(ISNUMBER(B377),ISNUMBER(B376),B377&gt;0,B376&gt;0),LN(B377/B376),"")</x:f>
      </x:c>
      <x:c r="D377" s="16" t="str">
        <x:f>IF(ISNUMBER(C377),ABS(C377),"")</x:f>
      </x:c>
      <x:c r="E377" s="16" t="str">
        <x:f>IF(ISNUMBER(C377),C377^2,"")</x:f>
      </x:c>
      <x:c r="F377" s="16" t="str">
        <x:f>IF(AND(ISNUMBER(C377),ISNUMBER($J$6),$J$6&gt;0),(C377-$J$5)/$J$6,"")</x:f>
      </x:c>
      <x:c r="G377" s="1" t="str">
        <x:f>IF(ISNUMBER(F377),IF(ABS(F377)&gt;3,1,0),"")</x:f>
      </x:c>
      <x:c r="H377" s="1" t="str">
        <x:f>IF(ISNUMBER(F377),F377^4,"")</x:f>
      </x:c>
      <x:c r="I377" s="1"/>
      <x:c r="J377" s="1"/>
      <x:c r="K377" s="1"/>
      <x:c r="L377" s="1"/>
      <x:c r="M377" s="1"/>
      <x:c r="N377" s="1"/>
    </x:row>
    <x:row r="378" ht="22" customHeight="1">
      <x:c r="A378" s="14"/>
      <x:c r="B378" s="15"/>
      <x:c r="C378" s="16" t="str">
        <x:f>IF(AND(ISNUMBER(B378),ISNUMBER(B377),B378&gt;0,B377&gt;0),LN(B378/B377),"")</x:f>
      </x:c>
      <x:c r="D378" s="16" t="str">
        <x:f>IF(ISNUMBER(C378),ABS(C378),"")</x:f>
      </x:c>
      <x:c r="E378" s="16" t="str">
        <x:f>IF(ISNUMBER(C378),C378^2,"")</x:f>
      </x:c>
      <x:c r="F378" s="16" t="str">
        <x:f>IF(AND(ISNUMBER(C378),ISNUMBER($J$6),$J$6&gt;0),(C378-$J$5)/$J$6,"")</x:f>
      </x:c>
      <x:c r="G378" s="1" t="str">
        <x:f>IF(ISNUMBER(F378),IF(ABS(F378)&gt;3,1,0),"")</x:f>
      </x:c>
      <x:c r="H378" s="1" t="str">
        <x:f>IF(ISNUMBER(F378),F378^4,"")</x:f>
      </x:c>
      <x:c r="I378" s="1"/>
      <x:c r="J378" s="1"/>
      <x:c r="K378" s="1"/>
      <x:c r="L378" s="1"/>
      <x:c r="M378" s="1"/>
      <x:c r="N378" s="1"/>
    </x:row>
    <x:row r="379" ht="22" customHeight="1">
      <x:c r="A379" s="14"/>
      <x:c r="B379" s="15"/>
      <x:c r="C379" s="16" t="str">
        <x:f>IF(AND(ISNUMBER(B379),ISNUMBER(B378),B379&gt;0,B378&gt;0),LN(B379/B378),"")</x:f>
      </x:c>
      <x:c r="D379" s="16" t="str">
        <x:f>IF(ISNUMBER(C379),ABS(C379),"")</x:f>
      </x:c>
      <x:c r="E379" s="16" t="str">
        <x:f>IF(ISNUMBER(C379),C379^2,"")</x:f>
      </x:c>
      <x:c r="F379" s="16" t="str">
        <x:f>IF(AND(ISNUMBER(C379),ISNUMBER($J$6),$J$6&gt;0),(C379-$J$5)/$J$6,"")</x:f>
      </x:c>
      <x:c r="G379" s="1" t="str">
        <x:f>IF(ISNUMBER(F379),IF(ABS(F379)&gt;3,1,0),"")</x:f>
      </x:c>
      <x:c r="H379" s="1" t="str">
        <x:f>IF(ISNUMBER(F379),F379^4,"")</x:f>
      </x:c>
      <x:c r="I379" s="1"/>
      <x:c r="J379" s="1"/>
      <x:c r="K379" s="1"/>
      <x:c r="L379" s="1"/>
      <x:c r="M379" s="1"/>
      <x:c r="N379" s="1"/>
    </x:row>
    <x:row r="380" ht="22" customHeight="1">
      <x:c r="A380" s="14"/>
      <x:c r="B380" s="15"/>
      <x:c r="C380" s="16" t="str">
        <x:f>IF(AND(ISNUMBER(B380),ISNUMBER(B379),B380&gt;0,B379&gt;0),LN(B380/B379),"")</x:f>
      </x:c>
      <x:c r="D380" s="16" t="str">
        <x:f>IF(ISNUMBER(C380),ABS(C380),"")</x:f>
      </x:c>
      <x:c r="E380" s="16" t="str">
        <x:f>IF(ISNUMBER(C380),C380^2,"")</x:f>
      </x:c>
      <x:c r="F380" s="16" t="str">
        <x:f>IF(AND(ISNUMBER(C380),ISNUMBER($J$6),$J$6&gt;0),(C380-$J$5)/$J$6,"")</x:f>
      </x:c>
      <x:c r="G380" s="1" t="str">
        <x:f>IF(ISNUMBER(F380),IF(ABS(F380)&gt;3,1,0),"")</x:f>
      </x:c>
      <x:c r="H380" s="1" t="str">
        <x:f>IF(ISNUMBER(F380),F380^4,"")</x:f>
      </x:c>
      <x:c r="I380" s="1"/>
      <x:c r="J380" s="1"/>
      <x:c r="K380" s="1"/>
      <x:c r="L380" s="1"/>
      <x:c r="M380" s="1"/>
      <x:c r="N380" s="1"/>
    </x:row>
    <x:row r="381" ht="22" customHeight="1">
      <x:c r="A381" s="14"/>
      <x:c r="B381" s="15"/>
      <x:c r="C381" s="16" t="str">
        <x:f>IF(AND(ISNUMBER(B381),ISNUMBER(B380),B381&gt;0,B380&gt;0),LN(B381/B380),"")</x:f>
      </x:c>
      <x:c r="D381" s="16" t="str">
        <x:f>IF(ISNUMBER(C381),ABS(C381),"")</x:f>
      </x:c>
      <x:c r="E381" s="16" t="str">
        <x:f>IF(ISNUMBER(C381),C381^2,"")</x:f>
      </x:c>
      <x:c r="F381" s="16" t="str">
        <x:f>IF(AND(ISNUMBER(C381),ISNUMBER($J$6),$J$6&gt;0),(C381-$J$5)/$J$6,"")</x:f>
      </x:c>
      <x:c r="G381" s="1" t="str">
        <x:f>IF(ISNUMBER(F381),IF(ABS(F381)&gt;3,1,0),"")</x:f>
      </x:c>
      <x:c r="H381" s="1" t="str">
        <x:f>IF(ISNUMBER(F381),F381^4,"")</x:f>
      </x:c>
      <x:c r="I381" s="1"/>
      <x:c r="J381" s="1"/>
      <x:c r="K381" s="1"/>
      <x:c r="L381" s="1"/>
      <x:c r="M381" s="1"/>
      <x:c r="N381" s="1"/>
    </x:row>
    <x:row r="382" ht="22" customHeight="1">
      <x:c r="A382" s="14"/>
      <x:c r="B382" s="15"/>
      <x:c r="C382" s="16" t="str">
        <x:f>IF(AND(ISNUMBER(B382),ISNUMBER(B381),B382&gt;0,B381&gt;0),LN(B382/B381),"")</x:f>
      </x:c>
      <x:c r="D382" s="16" t="str">
        <x:f>IF(ISNUMBER(C382),ABS(C382),"")</x:f>
      </x:c>
      <x:c r="E382" s="16" t="str">
        <x:f>IF(ISNUMBER(C382),C382^2,"")</x:f>
      </x:c>
      <x:c r="F382" s="16" t="str">
        <x:f>IF(AND(ISNUMBER(C382),ISNUMBER($J$6),$J$6&gt;0),(C382-$J$5)/$J$6,"")</x:f>
      </x:c>
      <x:c r="G382" s="1" t="str">
        <x:f>IF(ISNUMBER(F382),IF(ABS(F382)&gt;3,1,0),"")</x:f>
      </x:c>
      <x:c r="H382" s="1" t="str">
        <x:f>IF(ISNUMBER(F382),F382^4,"")</x:f>
      </x:c>
      <x:c r="I382" s="1"/>
      <x:c r="J382" s="1"/>
      <x:c r="K382" s="1"/>
      <x:c r="L382" s="1"/>
      <x:c r="M382" s="1"/>
      <x:c r="N382" s="1"/>
    </x:row>
    <x:row r="383" ht="22" customHeight="1">
      <x:c r="A383" s="14"/>
      <x:c r="B383" s="15"/>
      <x:c r="C383" s="16" t="str">
        <x:f>IF(AND(ISNUMBER(B383),ISNUMBER(B382),B383&gt;0,B382&gt;0),LN(B383/B382),"")</x:f>
      </x:c>
      <x:c r="D383" s="16" t="str">
        <x:f>IF(ISNUMBER(C383),ABS(C383),"")</x:f>
      </x:c>
      <x:c r="E383" s="16" t="str">
        <x:f>IF(ISNUMBER(C383),C383^2,"")</x:f>
      </x:c>
      <x:c r="F383" s="16" t="str">
        <x:f>IF(AND(ISNUMBER(C383),ISNUMBER($J$6),$J$6&gt;0),(C383-$J$5)/$J$6,"")</x:f>
      </x:c>
      <x:c r="G383" s="1" t="str">
        <x:f>IF(ISNUMBER(F383),IF(ABS(F383)&gt;3,1,0),"")</x:f>
      </x:c>
      <x:c r="H383" s="1" t="str">
        <x:f>IF(ISNUMBER(F383),F383^4,"")</x:f>
      </x:c>
      <x:c r="I383" s="1"/>
      <x:c r="J383" s="1"/>
      <x:c r="K383" s="1"/>
      <x:c r="L383" s="1"/>
      <x:c r="M383" s="1"/>
      <x:c r="N383" s="1"/>
    </x:row>
    <x:row r="384" ht="22" customHeight="1">
      <x:c r="A384" s="14"/>
      <x:c r="B384" s="15"/>
      <x:c r="C384" s="16" t="str">
        <x:f>IF(AND(ISNUMBER(B384),ISNUMBER(B383),B384&gt;0,B383&gt;0),LN(B384/B383),"")</x:f>
      </x:c>
      <x:c r="D384" s="16" t="str">
        <x:f>IF(ISNUMBER(C384),ABS(C384),"")</x:f>
      </x:c>
      <x:c r="E384" s="16" t="str">
        <x:f>IF(ISNUMBER(C384),C384^2,"")</x:f>
      </x:c>
      <x:c r="F384" s="16" t="str">
        <x:f>IF(AND(ISNUMBER(C384),ISNUMBER($J$6),$J$6&gt;0),(C384-$J$5)/$J$6,"")</x:f>
      </x:c>
      <x:c r="G384" s="1" t="str">
        <x:f>IF(ISNUMBER(F384),IF(ABS(F384)&gt;3,1,0),"")</x:f>
      </x:c>
      <x:c r="H384" s="1" t="str">
        <x:f>IF(ISNUMBER(F384),F384^4,"")</x:f>
      </x:c>
      <x:c r="I384" s="1"/>
      <x:c r="J384" s="1"/>
      <x:c r="K384" s="1"/>
      <x:c r="L384" s="1"/>
      <x:c r="M384" s="1"/>
      <x:c r="N384" s="1"/>
    </x:row>
    <x:row r="385" ht="22" customHeight="1">
      <x:c r="A385" s="14"/>
      <x:c r="B385" s="15"/>
      <x:c r="C385" s="16" t="str">
        <x:f>IF(AND(ISNUMBER(B385),ISNUMBER(B384),B385&gt;0,B384&gt;0),LN(B385/B384),"")</x:f>
      </x:c>
      <x:c r="D385" s="16" t="str">
        <x:f>IF(ISNUMBER(C385),ABS(C385),"")</x:f>
      </x:c>
      <x:c r="E385" s="16" t="str">
        <x:f>IF(ISNUMBER(C385),C385^2,"")</x:f>
      </x:c>
      <x:c r="F385" s="16" t="str">
        <x:f>IF(AND(ISNUMBER(C385),ISNUMBER($J$6),$J$6&gt;0),(C385-$J$5)/$J$6,"")</x:f>
      </x:c>
      <x:c r="G385" s="1" t="str">
        <x:f>IF(ISNUMBER(F385),IF(ABS(F385)&gt;3,1,0),"")</x:f>
      </x:c>
      <x:c r="H385" s="1" t="str">
        <x:f>IF(ISNUMBER(F385),F385^4,"")</x:f>
      </x:c>
      <x:c r="I385" s="1"/>
      <x:c r="J385" s="1"/>
      <x:c r="K385" s="1"/>
      <x:c r="L385" s="1"/>
      <x:c r="M385" s="1"/>
      <x:c r="N385" s="1"/>
    </x:row>
    <x:row r="386" ht="22" customHeight="1">
      <x:c r="A386" s="14"/>
      <x:c r="B386" s="15"/>
      <x:c r="C386" s="16" t="str">
        <x:f>IF(AND(ISNUMBER(B386),ISNUMBER(B385),B386&gt;0,B385&gt;0),LN(B386/B385),"")</x:f>
      </x:c>
      <x:c r="D386" s="16" t="str">
        <x:f>IF(ISNUMBER(C386),ABS(C386),"")</x:f>
      </x:c>
      <x:c r="E386" s="16" t="str">
        <x:f>IF(ISNUMBER(C386),C386^2,"")</x:f>
      </x:c>
      <x:c r="F386" s="16" t="str">
        <x:f>IF(AND(ISNUMBER(C386),ISNUMBER($J$6),$J$6&gt;0),(C386-$J$5)/$J$6,"")</x:f>
      </x:c>
      <x:c r="G386" s="1" t="str">
        <x:f>IF(ISNUMBER(F386),IF(ABS(F386)&gt;3,1,0),"")</x:f>
      </x:c>
      <x:c r="H386" s="1" t="str">
        <x:f>IF(ISNUMBER(F386),F386^4,"")</x:f>
      </x:c>
      <x:c r="I386" s="1"/>
      <x:c r="J386" s="1"/>
      <x:c r="K386" s="1"/>
      <x:c r="L386" s="1"/>
      <x:c r="M386" s="1"/>
      <x:c r="N386" s="1"/>
    </x:row>
    <x:row r="387" ht="22" customHeight="1">
      <x:c r="A387" s="14"/>
      <x:c r="B387" s="15"/>
      <x:c r="C387" s="16" t="str">
        <x:f>IF(AND(ISNUMBER(B387),ISNUMBER(B386),B387&gt;0,B386&gt;0),LN(B387/B386),"")</x:f>
      </x:c>
      <x:c r="D387" s="16" t="str">
        <x:f>IF(ISNUMBER(C387),ABS(C387),"")</x:f>
      </x:c>
      <x:c r="E387" s="16" t="str">
        <x:f>IF(ISNUMBER(C387),C387^2,"")</x:f>
      </x:c>
      <x:c r="F387" s="16" t="str">
        <x:f>IF(AND(ISNUMBER(C387),ISNUMBER($J$6),$J$6&gt;0),(C387-$J$5)/$J$6,"")</x:f>
      </x:c>
      <x:c r="G387" s="1" t="str">
        <x:f>IF(ISNUMBER(F387),IF(ABS(F387)&gt;3,1,0),"")</x:f>
      </x:c>
      <x:c r="H387" s="1" t="str">
        <x:f>IF(ISNUMBER(F387),F387^4,"")</x:f>
      </x:c>
      <x:c r="I387" s="1"/>
      <x:c r="J387" s="1"/>
      <x:c r="K387" s="1"/>
      <x:c r="L387" s="1"/>
      <x:c r="M387" s="1"/>
      <x:c r="N387" s="1"/>
    </x:row>
    <x:row r="388" ht="22" customHeight="1">
      <x:c r="A388" s="14"/>
      <x:c r="B388" s="15"/>
      <x:c r="C388" s="16" t="str">
        <x:f>IF(AND(ISNUMBER(B388),ISNUMBER(B387),B388&gt;0,B387&gt;0),LN(B388/B387),"")</x:f>
      </x:c>
      <x:c r="D388" s="16" t="str">
        <x:f>IF(ISNUMBER(C388),ABS(C388),"")</x:f>
      </x:c>
      <x:c r="E388" s="16" t="str">
        <x:f>IF(ISNUMBER(C388),C388^2,"")</x:f>
      </x:c>
      <x:c r="F388" s="16" t="str">
        <x:f>IF(AND(ISNUMBER(C388),ISNUMBER($J$6),$J$6&gt;0),(C388-$J$5)/$J$6,"")</x:f>
      </x:c>
      <x:c r="G388" s="1" t="str">
        <x:f>IF(ISNUMBER(F388),IF(ABS(F388)&gt;3,1,0),"")</x:f>
      </x:c>
      <x:c r="H388" s="1" t="str">
        <x:f>IF(ISNUMBER(F388),F388^4,"")</x:f>
      </x:c>
      <x:c r="I388" s="1"/>
      <x:c r="J388" s="1"/>
      <x:c r="K388" s="1"/>
      <x:c r="L388" s="1"/>
      <x:c r="M388" s="1"/>
      <x:c r="N388" s="1"/>
    </x:row>
    <x:row r="389" ht="22" customHeight="1">
      <x:c r="A389" s="14"/>
      <x:c r="B389" s="15"/>
      <x:c r="C389" s="16" t="str">
        <x:f>IF(AND(ISNUMBER(B389),ISNUMBER(B388),B389&gt;0,B388&gt;0),LN(B389/B388),"")</x:f>
      </x:c>
      <x:c r="D389" s="16" t="str">
        <x:f>IF(ISNUMBER(C389),ABS(C389),"")</x:f>
      </x:c>
      <x:c r="E389" s="16" t="str">
        <x:f>IF(ISNUMBER(C389),C389^2,"")</x:f>
      </x:c>
      <x:c r="F389" s="16" t="str">
        <x:f>IF(AND(ISNUMBER(C389),ISNUMBER($J$6),$J$6&gt;0),(C389-$J$5)/$J$6,"")</x:f>
      </x:c>
      <x:c r="G389" s="1" t="str">
        <x:f>IF(ISNUMBER(F389),IF(ABS(F389)&gt;3,1,0),"")</x:f>
      </x:c>
      <x:c r="H389" s="1" t="str">
        <x:f>IF(ISNUMBER(F389),F389^4,"")</x:f>
      </x:c>
      <x:c r="I389" s="1"/>
      <x:c r="J389" s="1"/>
      <x:c r="K389" s="1"/>
      <x:c r="L389" s="1"/>
      <x:c r="M389" s="1"/>
      <x:c r="N389" s="1"/>
    </x:row>
    <x:row r="390" ht="22" customHeight="1">
      <x:c r="A390" s="14"/>
      <x:c r="B390" s="15"/>
      <x:c r="C390" s="16" t="str">
        <x:f>IF(AND(ISNUMBER(B390),ISNUMBER(B389),B390&gt;0,B389&gt;0),LN(B390/B389),"")</x:f>
      </x:c>
      <x:c r="D390" s="16" t="str">
        <x:f>IF(ISNUMBER(C390),ABS(C390),"")</x:f>
      </x:c>
      <x:c r="E390" s="16" t="str">
        <x:f>IF(ISNUMBER(C390),C390^2,"")</x:f>
      </x:c>
      <x:c r="F390" s="16" t="str">
        <x:f>IF(AND(ISNUMBER(C390),ISNUMBER($J$6),$J$6&gt;0),(C390-$J$5)/$J$6,"")</x:f>
      </x:c>
      <x:c r="G390" s="1" t="str">
        <x:f>IF(ISNUMBER(F390),IF(ABS(F390)&gt;3,1,0),"")</x:f>
      </x:c>
      <x:c r="H390" s="1" t="str">
        <x:f>IF(ISNUMBER(F390),F390^4,"")</x:f>
      </x:c>
      <x:c r="I390" s="1"/>
      <x:c r="J390" s="1"/>
      <x:c r="K390" s="1"/>
      <x:c r="L390" s="1"/>
      <x:c r="M390" s="1"/>
      <x:c r="N390" s="1"/>
    </x:row>
    <x:row r="391" ht="22" customHeight="1">
      <x:c r="A391" s="14"/>
      <x:c r="B391" s="15"/>
      <x:c r="C391" s="16" t="str">
        <x:f>IF(AND(ISNUMBER(B391),ISNUMBER(B390),B391&gt;0,B390&gt;0),LN(B391/B390),"")</x:f>
      </x:c>
      <x:c r="D391" s="16" t="str">
        <x:f>IF(ISNUMBER(C391),ABS(C391),"")</x:f>
      </x:c>
      <x:c r="E391" s="16" t="str">
        <x:f>IF(ISNUMBER(C391),C391^2,"")</x:f>
      </x:c>
      <x:c r="F391" s="16" t="str">
        <x:f>IF(AND(ISNUMBER(C391),ISNUMBER($J$6),$J$6&gt;0),(C391-$J$5)/$J$6,"")</x:f>
      </x:c>
      <x:c r="G391" s="1" t="str">
        <x:f>IF(ISNUMBER(F391),IF(ABS(F391)&gt;3,1,0),"")</x:f>
      </x:c>
      <x:c r="H391" s="1" t="str">
        <x:f>IF(ISNUMBER(F391),F391^4,"")</x:f>
      </x:c>
      <x:c r="I391" s="1"/>
      <x:c r="J391" s="1"/>
      <x:c r="K391" s="1"/>
      <x:c r="L391" s="1"/>
      <x:c r="M391" s="1"/>
      <x:c r="N391" s="1"/>
    </x:row>
    <x:row r="392" ht="22" customHeight="1">
      <x:c r="A392" s="14"/>
      <x:c r="B392" s="15"/>
      <x:c r="C392" s="16" t="str">
        <x:f>IF(AND(ISNUMBER(B392),ISNUMBER(B391),B392&gt;0,B391&gt;0),LN(B392/B391),"")</x:f>
      </x:c>
      <x:c r="D392" s="16" t="str">
        <x:f>IF(ISNUMBER(C392),ABS(C392),"")</x:f>
      </x:c>
      <x:c r="E392" s="16" t="str">
        <x:f>IF(ISNUMBER(C392),C392^2,"")</x:f>
      </x:c>
      <x:c r="F392" s="16" t="str">
        <x:f>IF(AND(ISNUMBER(C392),ISNUMBER($J$6),$J$6&gt;0),(C392-$J$5)/$J$6,"")</x:f>
      </x:c>
      <x:c r="G392" s="1" t="str">
        <x:f>IF(ISNUMBER(F392),IF(ABS(F392)&gt;3,1,0),"")</x:f>
      </x:c>
      <x:c r="H392" s="1" t="str">
        <x:f>IF(ISNUMBER(F392),F392^4,"")</x:f>
      </x:c>
      <x:c r="I392" s="1"/>
      <x:c r="J392" s="1"/>
      <x:c r="K392" s="1"/>
      <x:c r="L392" s="1"/>
      <x:c r="M392" s="1"/>
      <x:c r="N392" s="1"/>
    </x:row>
    <x:row r="393" ht="22" customHeight="1">
      <x:c r="A393" s="14"/>
      <x:c r="B393" s="15"/>
      <x:c r="C393" s="16" t="str">
        <x:f>IF(AND(ISNUMBER(B393),ISNUMBER(B392),B393&gt;0,B392&gt;0),LN(B393/B392),"")</x:f>
      </x:c>
      <x:c r="D393" s="16" t="str">
        <x:f>IF(ISNUMBER(C393),ABS(C393),"")</x:f>
      </x:c>
      <x:c r="E393" s="16" t="str">
        <x:f>IF(ISNUMBER(C393),C393^2,"")</x:f>
      </x:c>
      <x:c r="F393" s="16" t="str">
        <x:f>IF(AND(ISNUMBER(C393),ISNUMBER($J$6),$J$6&gt;0),(C393-$J$5)/$J$6,"")</x:f>
      </x:c>
      <x:c r="G393" s="1" t="str">
        <x:f>IF(ISNUMBER(F393),IF(ABS(F393)&gt;3,1,0),"")</x:f>
      </x:c>
      <x:c r="H393" s="1" t="str">
        <x:f>IF(ISNUMBER(F393),F393^4,"")</x:f>
      </x:c>
      <x:c r="I393" s="1"/>
      <x:c r="J393" s="1"/>
      <x:c r="K393" s="1"/>
      <x:c r="L393" s="1"/>
      <x:c r="M393" s="1"/>
      <x:c r="N393" s="1"/>
    </x:row>
    <x:row r="394" ht="22" customHeight="1">
      <x:c r="A394" s="14"/>
      <x:c r="B394" s="15"/>
      <x:c r="C394" s="16" t="str">
        <x:f>IF(AND(ISNUMBER(B394),ISNUMBER(B393),B394&gt;0,B393&gt;0),LN(B394/B393),"")</x:f>
      </x:c>
      <x:c r="D394" s="16" t="str">
        <x:f>IF(ISNUMBER(C394),ABS(C394),"")</x:f>
      </x:c>
      <x:c r="E394" s="16" t="str">
        <x:f>IF(ISNUMBER(C394),C394^2,"")</x:f>
      </x:c>
      <x:c r="F394" s="16" t="str">
        <x:f>IF(AND(ISNUMBER(C394),ISNUMBER($J$6),$J$6&gt;0),(C394-$J$5)/$J$6,"")</x:f>
      </x:c>
      <x:c r="G394" s="1" t="str">
        <x:f>IF(ISNUMBER(F394),IF(ABS(F394)&gt;3,1,0),"")</x:f>
      </x:c>
      <x:c r="H394" s="1" t="str">
        <x:f>IF(ISNUMBER(F394),F394^4,"")</x:f>
      </x:c>
      <x:c r="I394" s="1"/>
      <x:c r="J394" s="1"/>
      <x:c r="K394" s="1"/>
      <x:c r="L394" s="1"/>
      <x:c r="M394" s="1"/>
      <x:c r="N394" s="1"/>
    </x:row>
    <x:row r="395" ht="22" customHeight="1">
      <x:c r="A395" s="14"/>
      <x:c r="B395" s="15"/>
      <x:c r="C395" s="16" t="str">
        <x:f>IF(AND(ISNUMBER(B395),ISNUMBER(B394),B395&gt;0,B394&gt;0),LN(B395/B394),"")</x:f>
      </x:c>
      <x:c r="D395" s="16" t="str">
        <x:f>IF(ISNUMBER(C395),ABS(C395),"")</x:f>
      </x:c>
      <x:c r="E395" s="16" t="str">
        <x:f>IF(ISNUMBER(C395),C395^2,"")</x:f>
      </x:c>
      <x:c r="F395" s="16" t="str">
        <x:f>IF(AND(ISNUMBER(C395),ISNUMBER($J$6),$J$6&gt;0),(C395-$J$5)/$J$6,"")</x:f>
      </x:c>
      <x:c r="G395" s="1" t="str">
        <x:f>IF(ISNUMBER(F395),IF(ABS(F395)&gt;3,1,0),"")</x:f>
      </x:c>
      <x:c r="H395" s="1" t="str">
        <x:f>IF(ISNUMBER(F395),F395^4,"")</x:f>
      </x:c>
      <x:c r="I395" s="1"/>
      <x:c r="J395" s="1"/>
      <x:c r="K395" s="1"/>
      <x:c r="L395" s="1"/>
      <x:c r="M395" s="1"/>
      <x:c r="N395" s="1"/>
    </x:row>
    <x:row r="396" ht="22" customHeight="1">
      <x:c r="A396" s="14"/>
      <x:c r="B396" s="15"/>
      <x:c r="C396" s="16" t="str">
        <x:f>IF(AND(ISNUMBER(B396),ISNUMBER(B395),B396&gt;0,B395&gt;0),LN(B396/B395),"")</x:f>
      </x:c>
      <x:c r="D396" s="16" t="str">
        <x:f>IF(ISNUMBER(C396),ABS(C396),"")</x:f>
      </x:c>
      <x:c r="E396" s="16" t="str">
        <x:f>IF(ISNUMBER(C396),C396^2,"")</x:f>
      </x:c>
      <x:c r="F396" s="16" t="str">
        <x:f>IF(AND(ISNUMBER(C396),ISNUMBER($J$6),$J$6&gt;0),(C396-$J$5)/$J$6,"")</x:f>
      </x:c>
      <x:c r="G396" s="1" t="str">
        <x:f>IF(ISNUMBER(F396),IF(ABS(F396)&gt;3,1,0),"")</x:f>
      </x:c>
      <x:c r="H396" s="1" t="str">
        <x:f>IF(ISNUMBER(F396),F396^4,"")</x:f>
      </x:c>
      <x:c r="I396" s="1"/>
      <x:c r="J396" s="1"/>
      <x:c r="K396" s="1"/>
      <x:c r="L396" s="1"/>
      <x:c r="M396" s="1"/>
      <x:c r="N396" s="1"/>
    </x:row>
    <x:row r="397" ht="22" customHeight="1">
      <x:c r="A397" s="14"/>
      <x:c r="B397" s="15"/>
      <x:c r="C397" s="16" t="str">
        <x:f>IF(AND(ISNUMBER(B397),ISNUMBER(B396),B397&gt;0,B396&gt;0),LN(B397/B396),"")</x:f>
      </x:c>
      <x:c r="D397" s="16" t="str">
        <x:f>IF(ISNUMBER(C397),ABS(C397),"")</x:f>
      </x:c>
      <x:c r="E397" s="16" t="str">
        <x:f>IF(ISNUMBER(C397),C397^2,"")</x:f>
      </x:c>
      <x:c r="F397" s="16" t="str">
        <x:f>IF(AND(ISNUMBER(C397),ISNUMBER($J$6),$J$6&gt;0),(C397-$J$5)/$J$6,"")</x:f>
      </x:c>
      <x:c r="G397" s="1" t="str">
        <x:f>IF(ISNUMBER(F397),IF(ABS(F397)&gt;3,1,0),"")</x:f>
      </x:c>
      <x:c r="H397" s="1" t="str">
        <x:f>IF(ISNUMBER(F397),F397^4,"")</x:f>
      </x:c>
      <x:c r="I397" s="1"/>
      <x:c r="J397" s="1"/>
      <x:c r="K397" s="1"/>
      <x:c r="L397" s="1"/>
      <x:c r="M397" s="1"/>
      <x:c r="N397" s="1"/>
    </x:row>
    <x:row r="398" ht="22" customHeight="1">
      <x:c r="A398" s="14"/>
      <x:c r="B398" s="15"/>
      <x:c r="C398" s="16" t="str">
        <x:f>IF(AND(ISNUMBER(B398),ISNUMBER(B397),B398&gt;0,B397&gt;0),LN(B398/B397),"")</x:f>
      </x:c>
      <x:c r="D398" s="16" t="str">
        <x:f>IF(ISNUMBER(C398),ABS(C398),"")</x:f>
      </x:c>
      <x:c r="E398" s="16" t="str">
        <x:f>IF(ISNUMBER(C398),C398^2,"")</x:f>
      </x:c>
      <x:c r="F398" s="16" t="str">
        <x:f>IF(AND(ISNUMBER(C398),ISNUMBER($J$6),$J$6&gt;0),(C398-$J$5)/$J$6,"")</x:f>
      </x:c>
      <x:c r="G398" s="1" t="str">
        <x:f>IF(ISNUMBER(F398),IF(ABS(F398)&gt;3,1,0),"")</x:f>
      </x:c>
      <x:c r="H398" s="1" t="str">
        <x:f>IF(ISNUMBER(F398),F398^4,"")</x:f>
      </x:c>
      <x:c r="I398" s="1"/>
      <x:c r="J398" s="1"/>
      <x:c r="K398" s="1"/>
      <x:c r="L398" s="1"/>
      <x:c r="M398" s="1"/>
      <x:c r="N398" s="1"/>
    </x:row>
    <x:row r="399" ht="22" customHeight="1">
      <x:c r="A399" s="14"/>
      <x:c r="B399" s="15"/>
      <x:c r="C399" s="16" t="str">
        <x:f>IF(AND(ISNUMBER(B399),ISNUMBER(B398),B399&gt;0,B398&gt;0),LN(B399/B398),"")</x:f>
      </x:c>
      <x:c r="D399" s="16" t="str">
        <x:f>IF(ISNUMBER(C399),ABS(C399),"")</x:f>
      </x:c>
      <x:c r="E399" s="16" t="str">
        <x:f>IF(ISNUMBER(C399),C399^2,"")</x:f>
      </x:c>
      <x:c r="F399" s="16" t="str">
        <x:f>IF(AND(ISNUMBER(C399),ISNUMBER($J$6),$J$6&gt;0),(C399-$J$5)/$J$6,"")</x:f>
      </x:c>
      <x:c r="G399" s="1" t="str">
        <x:f>IF(ISNUMBER(F399),IF(ABS(F399)&gt;3,1,0),"")</x:f>
      </x:c>
      <x:c r="H399" s="1" t="str">
        <x:f>IF(ISNUMBER(F399),F399^4,"")</x:f>
      </x:c>
      <x:c r="I399" s="1"/>
      <x:c r="J399" s="1"/>
      <x:c r="K399" s="1"/>
      <x:c r="L399" s="1"/>
      <x:c r="M399" s="1"/>
      <x:c r="N399" s="1"/>
    </x:row>
    <x:row r="400" ht="22" customHeight="1">
      <x:c r="A400" s="14"/>
      <x:c r="B400" s="15"/>
      <x:c r="C400" s="16" t="str">
        <x:f>IF(AND(ISNUMBER(B400),ISNUMBER(B399),B400&gt;0,B399&gt;0),LN(B400/B399),"")</x:f>
      </x:c>
      <x:c r="D400" s="16" t="str">
        <x:f>IF(ISNUMBER(C400),ABS(C400),"")</x:f>
      </x:c>
      <x:c r="E400" s="16" t="str">
        <x:f>IF(ISNUMBER(C400),C400^2,"")</x:f>
      </x:c>
      <x:c r="F400" s="16" t="str">
        <x:f>IF(AND(ISNUMBER(C400),ISNUMBER($J$6),$J$6&gt;0),(C400-$J$5)/$J$6,"")</x:f>
      </x:c>
      <x:c r="G400" s="1" t="str">
        <x:f>IF(ISNUMBER(F400),IF(ABS(F400)&gt;3,1,0),"")</x:f>
      </x:c>
      <x:c r="H400" s="1" t="str">
        <x:f>IF(ISNUMBER(F400),F400^4,"")</x:f>
      </x:c>
      <x:c r="I400" s="1"/>
      <x:c r="J400" s="1"/>
      <x:c r="K400" s="1"/>
      <x:c r="L400" s="1"/>
      <x:c r="M400" s="1"/>
      <x:c r="N400" s="1"/>
    </x:row>
    <x:row r="401" ht="22" customHeight="1">
      <x:c r="A401" s="14"/>
      <x:c r="B401" s="15"/>
      <x:c r="C401" s="16" t="str">
        <x:f>IF(AND(ISNUMBER(B401),ISNUMBER(B400),B401&gt;0,B400&gt;0),LN(B401/B400),"")</x:f>
      </x:c>
      <x:c r="D401" s="16" t="str">
        <x:f>IF(ISNUMBER(C401),ABS(C401),"")</x:f>
      </x:c>
      <x:c r="E401" s="16" t="str">
        <x:f>IF(ISNUMBER(C401),C401^2,"")</x:f>
      </x:c>
      <x:c r="F401" s="16" t="str">
        <x:f>IF(AND(ISNUMBER(C401),ISNUMBER($J$6),$J$6&gt;0),(C401-$J$5)/$J$6,"")</x:f>
      </x:c>
      <x:c r="G401" s="1" t="str">
        <x:f>IF(ISNUMBER(F401),IF(ABS(F401)&gt;3,1,0),"")</x:f>
      </x:c>
      <x:c r="H401" s="1" t="str">
        <x:f>IF(ISNUMBER(F401),F401^4,"")</x:f>
      </x:c>
      <x:c r="I401" s="1"/>
      <x:c r="J401" s="1"/>
      <x:c r="K401" s="1"/>
      <x:c r="L401" s="1"/>
      <x:c r="M401" s="1"/>
      <x:c r="N401" s="1"/>
    </x:row>
    <x:row r="402" ht="22" customHeight="1">
      <x:c r="A402" s="14"/>
      <x:c r="B402" s="15"/>
      <x:c r="C402" s="16" t="str">
        <x:f>IF(AND(ISNUMBER(B402),ISNUMBER(B401),B402&gt;0,B401&gt;0),LN(B402/B401),"")</x:f>
      </x:c>
      <x:c r="D402" s="16" t="str">
        <x:f>IF(ISNUMBER(C402),ABS(C402),"")</x:f>
      </x:c>
      <x:c r="E402" s="16" t="str">
        <x:f>IF(ISNUMBER(C402),C402^2,"")</x:f>
      </x:c>
      <x:c r="F402" s="16" t="str">
        <x:f>IF(AND(ISNUMBER(C402),ISNUMBER($J$6),$J$6&gt;0),(C402-$J$5)/$J$6,"")</x:f>
      </x:c>
      <x:c r="G402" s="1" t="str">
        <x:f>IF(ISNUMBER(F402),IF(ABS(F402)&gt;3,1,0),"")</x:f>
      </x:c>
      <x:c r="H402" s="1" t="str">
        <x:f>IF(ISNUMBER(F402),F402^4,"")</x:f>
      </x:c>
      <x:c r="I402" s="1"/>
      <x:c r="J402" s="1"/>
      <x:c r="K402" s="1"/>
      <x:c r="L402" s="1"/>
      <x:c r="M402" s="1"/>
      <x:c r="N402" s="1"/>
    </x:row>
    <x:row r="403" ht="22" customHeight="1">
      <x:c r="A403" s="14"/>
      <x:c r="B403" s="15"/>
      <x:c r="C403" s="16" t="str">
        <x:f>IF(AND(ISNUMBER(B403),ISNUMBER(B402),B403&gt;0,B402&gt;0),LN(B403/B402),"")</x:f>
      </x:c>
      <x:c r="D403" s="16" t="str">
        <x:f>IF(ISNUMBER(C403),ABS(C403),"")</x:f>
      </x:c>
      <x:c r="E403" s="16" t="str">
        <x:f>IF(ISNUMBER(C403),C403^2,"")</x:f>
      </x:c>
      <x:c r="F403" s="16" t="str">
        <x:f>IF(AND(ISNUMBER(C403),ISNUMBER($J$6),$J$6&gt;0),(C403-$J$5)/$J$6,"")</x:f>
      </x:c>
      <x:c r="G403" s="1" t="str">
        <x:f>IF(ISNUMBER(F403),IF(ABS(F403)&gt;3,1,0),"")</x:f>
      </x:c>
      <x:c r="H403" s="1" t="str">
        <x:f>IF(ISNUMBER(F403),F403^4,"")</x:f>
      </x:c>
      <x:c r="I403" s="1"/>
      <x:c r="J403" s="1"/>
      <x:c r="K403" s="1"/>
      <x:c r="L403" s="1"/>
      <x:c r="M403" s="1"/>
      <x:c r="N403" s="1"/>
    </x:row>
    <x:row r="404" ht="22" customHeight="1">
      <x:c r="A404" s="14"/>
      <x:c r="B404" s="15"/>
      <x:c r="C404" s="16" t="str">
        <x:f>IF(AND(ISNUMBER(B404),ISNUMBER(B403),B404&gt;0,B403&gt;0),LN(B404/B403),"")</x:f>
      </x:c>
      <x:c r="D404" s="16" t="str">
        <x:f>IF(ISNUMBER(C404),ABS(C404),"")</x:f>
      </x:c>
      <x:c r="E404" s="16" t="str">
        <x:f>IF(ISNUMBER(C404),C404^2,"")</x:f>
      </x:c>
      <x:c r="F404" s="16" t="str">
        <x:f>IF(AND(ISNUMBER(C404),ISNUMBER($J$6),$J$6&gt;0),(C404-$J$5)/$J$6,"")</x:f>
      </x:c>
      <x:c r="G404" s="1" t="str">
        <x:f>IF(ISNUMBER(F404),IF(ABS(F404)&gt;3,1,0),"")</x:f>
      </x:c>
      <x:c r="H404" s="1" t="str">
        <x:f>IF(ISNUMBER(F404),F404^4,"")</x:f>
      </x:c>
      <x:c r="I404" s="1"/>
      <x:c r="J404" s="1"/>
      <x:c r="K404" s="1"/>
      <x:c r="L404" s="1"/>
      <x:c r="M404" s="1"/>
      <x:c r="N404" s="1"/>
    </x:row>
    <x:row r="405" ht="22" customHeight="1">
      <x:c r="A405" s="14"/>
      <x:c r="B405" s="15"/>
      <x:c r="C405" s="16" t="str">
        <x:f>IF(AND(ISNUMBER(B405),ISNUMBER(B404),B405&gt;0,B404&gt;0),LN(B405/B404),"")</x:f>
      </x:c>
      <x:c r="D405" s="16" t="str">
        <x:f>IF(ISNUMBER(C405),ABS(C405),"")</x:f>
      </x:c>
      <x:c r="E405" s="16" t="str">
        <x:f>IF(ISNUMBER(C405),C405^2,"")</x:f>
      </x:c>
      <x:c r="F405" s="16" t="str">
        <x:f>IF(AND(ISNUMBER(C405),ISNUMBER($J$6),$J$6&gt;0),(C405-$J$5)/$J$6,"")</x:f>
      </x:c>
      <x:c r="G405" s="1" t="str">
        <x:f>IF(ISNUMBER(F405),IF(ABS(F405)&gt;3,1,0),"")</x:f>
      </x:c>
      <x:c r="H405" s="1" t="str">
        <x:f>IF(ISNUMBER(F405),F405^4,"")</x:f>
      </x:c>
      <x:c r="I405" s="1"/>
      <x:c r="J405" s="1"/>
      <x:c r="K405" s="1"/>
      <x:c r="L405" s="1"/>
      <x:c r="M405" s="1"/>
      <x:c r="N405" s="1"/>
    </x:row>
    <x:row r="406" ht="22" customHeight="1">
      <x:c r="A406" s="14"/>
      <x:c r="B406" s="15"/>
      <x:c r="C406" s="16" t="str">
        <x:f>IF(AND(ISNUMBER(B406),ISNUMBER(B405),B406&gt;0,B405&gt;0),LN(B406/B405),"")</x:f>
      </x:c>
      <x:c r="D406" s="16" t="str">
        <x:f>IF(ISNUMBER(C406),ABS(C406),"")</x:f>
      </x:c>
      <x:c r="E406" s="16" t="str">
        <x:f>IF(ISNUMBER(C406),C406^2,"")</x:f>
      </x:c>
      <x:c r="F406" s="16" t="str">
        <x:f>IF(AND(ISNUMBER(C406),ISNUMBER($J$6),$J$6&gt;0),(C406-$J$5)/$J$6,"")</x:f>
      </x:c>
      <x:c r="G406" s="1" t="str">
        <x:f>IF(ISNUMBER(F406),IF(ABS(F406)&gt;3,1,0),"")</x:f>
      </x:c>
      <x:c r="H406" s="1" t="str">
        <x:f>IF(ISNUMBER(F406),F406^4,"")</x:f>
      </x:c>
      <x:c r="I406" s="1"/>
      <x:c r="J406" s="1"/>
      <x:c r="K406" s="1"/>
      <x:c r="L406" s="1"/>
      <x:c r="M406" s="1"/>
      <x:c r="N406" s="1"/>
    </x:row>
    <x:row r="407" ht="22" customHeight="1">
      <x:c r="A407" s="14"/>
      <x:c r="B407" s="15"/>
      <x:c r="C407" s="16" t="str">
        <x:f>IF(AND(ISNUMBER(B407),ISNUMBER(B406),B407&gt;0,B406&gt;0),LN(B407/B406),"")</x:f>
      </x:c>
      <x:c r="D407" s="16" t="str">
        <x:f>IF(ISNUMBER(C407),ABS(C407),"")</x:f>
      </x:c>
      <x:c r="E407" s="16" t="str">
        <x:f>IF(ISNUMBER(C407),C407^2,"")</x:f>
      </x:c>
      <x:c r="F407" s="16" t="str">
        <x:f>IF(AND(ISNUMBER(C407),ISNUMBER($J$6),$J$6&gt;0),(C407-$J$5)/$J$6,"")</x:f>
      </x:c>
      <x:c r="G407" s="1" t="str">
        <x:f>IF(ISNUMBER(F407),IF(ABS(F407)&gt;3,1,0),"")</x:f>
      </x:c>
      <x:c r="H407" s="1" t="str">
        <x:f>IF(ISNUMBER(F407),F407^4,"")</x:f>
      </x:c>
      <x:c r="I407" s="1"/>
      <x:c r="J407" s="1"/>
      <x:c r="K407" s="1"/>
      <x:c r="L407" s="1"/>
      <x:c r="M407" s="1"/>
      <x:c r="N407" s="1"/>
    </x:row>
    <x:row r="408" ht="22" customHeight="1">
      <x:c r="A408" s="14"/>
      <x:c r="B408" s="15"/>
      <x:c r="C408" s="16" t="str">
        <x:f>IF(AND(ISNUMBER(B408),ISNUMBER(B407),B408&gt;0,B407&gt;0),LN(B408/B407),"")</x:f>
      </x:c>
      <x:c r="D408" s="16" t="str">
        <x:f>IF(ISNUMBER(C408),ABS(C408),"")</x:f>
      </x:c>
      <x:c r="E408" s="16" t="str">
        <x:f>IF(ISNUMBER(C408),C408^2,"")</x:f>
      </x:c>
      <x:c r="F408" s="16" t="str">
        <x:f>IF(AND(ISNUMBER(C408),ISNUMBER($J$6),$J$6&gt;0),(C408-$J$5)/$J$6,"")</x:f>
      </x:c>
      <x:c r="G408" s="1" t="str">
        <x:f>IF(ISNUMBER(F408),IF(ABS(F408)&gt;3,1,0),"")</x:f>
      </x:c>
      <x:c r="H408" s="1" t="str">
        <x:f>IF(ISNUMBER(F408),F408^4,"")</x:f>
      </x:c>
      <x:c r="I408" s="1"/>
      <x:c r="J408" s="1"/>
      <x:c r="K408" s="1"/>
      <x:c r="L408" s="1"/>
      <x:c r="M408" s="1"/>
      <x:c r="N408" s="1"/>
    </x:row>
    <x:row r="409" ht="22" customHeight="1">
      <x:c r="A409" s="14"/>
      <x:c r="B409" s="15"/>
      <x:c r="C409" s="16" t="str">
        <x:f>IF(AND(ISNUMBER(B409),ISNUMBER(B408),B409&gt;0,B408&gt;0),LN(B409/B408),"")</x:f>
      </x:c>
      <x:c r="D409" s="16" t="str">
        <x:f>IF(ISNUMBER(C409),ABS(C409),"")</x:f>
      </x:c>
      <x:c r="E409" s="16" t="str">
        <x:f>IF(ISNUMBER(C409),C409^2,"")</x:f>
      </x:c>
      <x:c r="F409" s="16" t="str">
        <x:f>IF(AND(ISNUMBER(C409),ISNUMBER($J$6),$J$6&gt;0),(C409-$J$5)/$J$6,"")</x:f>
      </x:c>
      <x:c r="G409" s="1" t="str">
        <x:f>IF(ISNUMBER(F409),IF(ABS(F409)&gt;3,1,0),"")</x:f>
      </x:c>
      <x:c r="H409" s="1" t="str">
        <x:f>IF(ISNUMBER(F409),F409^4,"")</x:f>
      </x:c>
      <x:c r="I409" s="1"/>
      <x:c r="J409" s="1"/>
      <x:c r="K409" s="1"/>
      <x:c r="L409" s="1"/>
      <x:c r="M409" s="1"/>
      <x:c r="N409" s="1"/>
    </x:row>
    <x:row r="410" ht="22" customHeight="1">
      <x:c r="A410" s="14"/>
      <x:c r="B410" s="15"/>
      <x:c r="C410" s="16" t="str">
        <x:f>IF(AND(ISNUMBER(B410),ISNUMBER(B409),B410&gt;0,B409&gt;0),LN(B410/B409),"")</x:f>
      </x:c>
      <x:c r="D410" s="16" t="str">
        <x:f>IF(ISNUMBER(C410),ABS(C410),"")</x:f>
      </x:c>
      <x:c r="E410" s="16" t="str">
        <x:f>IF(ISNUMBER(C410),C410^2,"")</x:f>
      </x:c>
      <x:c r="F410" s="16" t="str">
        <x:f>IF(AND(ISNUMBER(C410),ISNUMBER($J$6),$J$6&gt;0),(C410-$J$5)/$J$6,"")</x:f>
      </x:c>
      <x:c r="G410" s="1" t="str">
        <x:f>IF(ISNUMBER(F410),IF(ABS(F410)&gt;3,1,0),"")</x:f>
      </x:c>
      <x:c r="H410" s="1" t="str">
        <x:f>IF(ISNUMBER(F410),F410^4,"")</x:f>
      </x:c>
      <x:c r="I410" s="1"/>
      <x:c r="J410" s="1"/>
      <x:c r="K410" s="1"/>
      <x:c r="L410" s="1"/>
      <x:c r="M410" s="1"/>
      <x:c r="N410" s="1"/>
    </x:row>
    <x:row r="411" ht="22" customHeight="1">
      <x:c r="A411" s="14"/>
      <x:c r="B411" s="15"/>
      <x:c r="C411" s="16" t="str">
        <x:f>IF(AND(ISNUMBER(B411),ISNUMBER(B410),B411&gt;0,B410&gt;0),LN(B411/B410),"")</x:f>
      </x:c>
      <x:c r="D411" s="16" t="str">
        <x:f>IF(ISNUMBER(C411),ABS(C411),"")</x:f>
      </x:c>
      <x:c r="E411" s="16" t="str">
        <x:f>IF(ISNUMBER(C411),C411^2,"")</x:f>
      </x:c>
      <x:c r="F411" s="16" t="str">
        <x:f>IF(AND(ISNUMBER(C411),ISNUMBER($J$6),$J$6&gt;0),(C411-$J$5)/$J$6,"")</x:f>
      </x:c>
      <x:c r="G411" s="1" t="str">
        <x:f>IF(ISNUMBER(F411),IF(ABS(F411)&gt;3,1,0),"")</x:f>
      </x:c>
      <x:c r="H411" s="1" t="str">
        <x:f>IF(ISNUMBER(F411),F411^4,"")</x:f>
      </x:c>
      <x:c r="I411" s="1"/>
      <x:c r="J411" s="1"/>
      <x:c r="K411" s="1"/>
      <x:c r="L411" s="1"/>
      <x:c r="M411" s="1"/>
      <x:c r="N411" s="1"/>
    </x:row>
    <x:row r="412" ht="22" customHeight="1">
      <x:c r="A412" s="14"/>
      <x:c r="B412" s="15"/>
      <x:c r="C412" s="16" t="str">
        <x:f>IF(AND(ISNUMBER(B412),ISNUMBER(B411),B412&gt;0,B411&gt;0),LN(B412/B411),"")</x:f>
      </x:c>
      <x:c r="D412" s="16" t="str">
        <x:f>IF(ISNUMBER(C412),ABS(C412),"")</x:f>
      </x:c>
      <x:c r="E412" s="16" t="str">
        <x:f>IF(ISNUMBER(C412),C412^2,"")</x:f>
      </x:c>
      <x:c r="F412" s="16" t="str">
        <x:f>IF(AND(ISNUMBER(C412),ISNUMBER($J$6),$J$6&gt;0),(C412-$J$5)/$J$6,"")</x:f>
      </x:c>
      <x:c r="G412" s="1" t="str">
        <x:f>IF(ISNUMBER(F412),IF(ABS(F412)&gt;3,1,0),"")</x:f>
      </x:c>
      <x:c r="H412" s="1" t="str">
        <x:f>IF(ISNUMBER(F412),F412^4,"")</x:f>
      </x:c>
      <x:c r="I412" s="1"/>
      <x:c r="J412" s="1"/>
      <x:c r="K412" s="1"/>
      <x:c r="L412" s="1"/>
      <x:c r="M412" s="1"/>
      <x:c r="N412" s="1"/>
    </x:row>
    <x:row r="413" ht="22" customHeight="1">
      <x:c r="A413" s="14"/>
      <x:c r="B413" s="15"/>
      <x:c r="C413" s="16" t="str">
        <x:f>IF(AND(ISNUMBER(B413),ISNUMBER(B412),B413&gt;0,B412&gt;0),LN(B413/B412),"")</x:f>
      </x:c>
      <x:c r="D413" s="16" t="str">
        <x:f>IF(ISNUMBER(C413),ABS(C413),"")</x:f>
      </x:c>
      <x:c r="E413" s="16" t="str">
        <x:f>IF(ISNUMBER(C413),C413^2,"")</x:f>
      </x:c>
      <x:c r="F413" s="16" t="str">
        <x:f>IF(AND(ISNUMBER(C413),ISNUMBER($J$6),$J$6&gt;0),(C413-$J$5)/$J$6,"")</x:f>
      </x:c>
      <x:c r="G413" s="1" t="str">
        <x:f>IF(ISNUMBER(F413),IF(ABS(F413)&gt;3,1,0),"")</x:f>
      </x:c>
      <x:c r="H413" s="1" t="str">
        <x:f>IF(ISNUMBER(F413),F413^4,"")</x:f>
      </x:c>
      <x:c r="I413" s="1"/>
      <x:c r="J413" s="1"/>
      <x:c r="K413" s="1"/>
      <x:c r="L413" s="1"/>
      <x:c r="M413" s="1"/>
      <x:c r="N413" s="1"/>
    </x:row>
    <x:row r="414" ht="22" customHeight="1">
      <x:c r="A414" s="14"/>
      <x:c r="B414" s="15"/>
      <x:c r="C414" s="16" t="str">
        <x:f>IF(AND(ISNUMBER(B414),ISNUMBER(B413),B414&gt;0,B413&gt;0),LN(B414/B413),"")</x:f>
      </x:c>
      <x:c r="D414" s="16" t="str">
        <x:f>IF(ISNUMBER(C414),ABS(C414),"")</x:f>
      </x:c>
      <x:c r="E414" s="16" t="str">
        <x:f>IF(ISNUMBER(C414),C414^2,"")</x:f>
      </x:c>
      <x:c r="F414" s="16" t="str">
        <x:f>IF(AND(ISNUMBER(C414),ISNUMBER($J$6),$J$6&gt;0),(C414-$J$5)/$J$6,"")</x:f>
      </x:c>
      <x:c r="G414" s="1" t="str">
        <x:f>IF(ISNUMBER(F414),IF(ABS(F414)&gt;3,1,0),"")</x:f>
      </x:c>
      <x:c r="H414" s="1" t="str">
        <x:f>IF(ISNUMBER(F414),F414^4,"")</x:f>
      </x:c>
      <x:c r="I414" s="1"/>
      <x:c r="J414" s="1"/>
      <x:c r="K414" s="1"/>
      <x:c r="L414" s="1"/>
      <x:c r="M414" s="1"/>
      <x:c r="N414" s="1"/>
    </x:row>
    <x:row r="415" ht="22" customHeight="1">
      <x:c r="A415" s="14"/>
      <x:c r="B415" s="15"/>
      <x:c r="C415" s="16" t="str">
        <x:f>IF(AND(ISNUMBER(B415),ISNUMBER(B414),B415&gt;0,B414&gt;0),LN(B415/B414),"")</x:f>
      </x:c>
      <x:c r="D415" s="16" t="str">
        <x:f>IF(ISNUMBER(C415),ABS(C415),"")</x:f>
      </x:c>
      <x:c r="E415" s="16" t="str">
        <x:f>IF(ISNUMBER(C415),C415^2,"")</x:f>
      </x:c>
      <x:c r="F415" s="16" t="str">
        <x:f>IF(AND(ISNUMBER(C415),ISNUMBER($J$6),$J$6&gt;0),(C415-$J$5)/$J$6,"")</x:f>
      </x:c>
      <x:c r="G415" s="1" t="str">
        <x:f>IF(ISNUMBER(F415),IF(ABS(F415)&gt;3,1,0),"")</x:f>
      </x:c>
      <x:c r="H415" s="1" t="str">
        <x:f>IF(ISNUMBER(F415),F415^4,"")</x:f>
      </x:c>
      <x:c r="I415" s="1"/>
      <x:c r="J415" s="1"/>
      <x:c r="K415" s="1"/>
      <x:c r="L415" s="1"/>
      <x:c r="M415" s="1"/>
      <x:c r="N415" s="1"/>
    </x:row>
    <x:row r="416" ht="22" customHeight="1">
      <x:c r="A416" s="14"/>
      <x:c r="B416" s="15"/>
      <x:c r="C416" s="16" t="str">
        <x:f>IF(AND(ISNUMBER(B416),ISNUMBER(B415),B416&gt;0,B415&gt;0),LN(B416/B415),"")</x:f>
      </x:c>
      <x:c r="D416" s="16" t="str">
        <x:f>IF(ISNUMBER(C416),ABS(C416),"")</x:f>
      </x:c>
      <x:c r="E416" s="16" t="str">
        <x:f>IF(ISNUMBER(C416),C416^2,"")</x:f>
      </x:c>
      <x:c r="F416" s="16" t="str">
        <x:f>IF(AND(ISNUMBER(C416),ISNUMBER($J$6),$J$6&gt;0),(C416-$J$5)/$J$6,"")</x:f>
      </x:c>
      <x:c r="G416" s="1" t="str">
        <x:f>IF(ISNUMBER(F416),IF(ABS(F416)&gt;3,1,0),"")</x:f>
      </x:c>
      <x:c r="H416" s="1" t="str">
        <x:f>IF(ISNUMBER(F416),F416^4,"")</x:f>
      </x:c>
      <x:c r="I416" s="1"/>
      <x:c r="J416" s="1"/>
      <x:c r="K416" s="1"/>
      <x:c r="L416" s="1"/>
      <x:c r="M416" s="1"/>
      <x:c r="N416" s="1"/>
    </x:row>
    <x:row r="417" ht="22" customHeight="1">
      <x:c r="A417" s="14"/>
      <x:c r="B417" s="15"/>
      <x:c r="C417" s="16" t="str">
        <x:f>IF(AND(ISNUMBER(B417),ISNUMBER(B416),B417&gt;0,B416&gt;0),LN(B417/B416),"")</x:f>
      </x:c>
      <x:c r="D417" s="16" t="str">
        <x:f>IF(ISNUMBER(C417),ABS(C417),"")</x:f>
      </x:c>
      <x:c r="E417" s="16" t="str">
        <x:f>IF(ISNUMBER(C417),C417^2,"")</x:f>
      </x:c>
      <x:c r="F417" s="16" t="str">
        <x:f>IF(AND(ISNUMBER(C417),ISNUMBER($J$6),$J$6&gt;0),(C417-$J$5)/$J$6,"")</x:f>
      </x:c>
      <x:c r="G417" s="1" t="str">
        <x:f>IF(ISNUMBER(F417),IF(ABS(F417)&gt;3,1,0),"")</x:f>
      </x:c>
      <x:c r="H417" s="1" t="str">
        <x:f>IF(ISNUMBER(F417),F417^4,"")</x:f>
      </x:c>
      <x:c r="I417" s="1"/>
      <x:c r="J417" s="1"/>
      <x:c r="K417" s="1"/>
      <x:c r="L417" s="1"/>
      <x:c r="M417" s="1"/>
      <x:c r="N417" s="1"/>
    </x:row>
    <x:row r="418" ht="22" customHeight="1">
      <x:c r="A418" s="14"/>
      <x:c r="B418" s="15"/>
      <x:c r="C418" s="16" t="str">
        <x:f>IF(AND(ISNUMBER(B418),ISNUMBER(B417),B418&gt;0,B417&gt;0),LN(B418/B417),"")</x:f>
      </x:c>
      <x:c r="D418" s="16" t="str">
        <x:f>IF(ISNUMBER(C418),ABS(C418),"")</x:f>
      </x:c>
      <x:c r="E418" s="16" t="str">
        <x:f>IF(ISNUMBER(C418),C418^2,"")</x:f>
      </x:c>
      <x:c r="F418" s="16" t="str">
        <x:f>IF(AND(ISNUMBER(C418),ISNUMBER($J$6),$J$6&gt;0),(C418-$J$5)/$J$6,"")</x:f>
      </x:c>
      <x:c r="G418" s="1" t="str">
        <x:f>IF(ISNUMBER(F418),IF(ABS(F418)&gt;3,1,0),"")</x:f>
      </x:c>
      <x:c r="H418" s="1" t="str">
        <x:f>IF(ISNUMBER(F418),F418^4,"")</x:f>
      </x:c>
      <x:c r="I418" s="1"/>
      <x:c r="J418" s="1"/>
      <x:c r="K418" s="1"/>
      <x:c r="L418" s="1"/>
      <x:c r="M418" s="1"/>
      <x:c r="N418" s="1"/>
    </x:row>
    <x:row r="419" ht="22" customHeight="1">
      <x:c r="A419" s="14"/>
      <x:c r="B419" s="15"/>
      <x:c r="C419" s="16" t="str">
        <x:f>IF(AND(ISNUMBER(B419),ISNUMBER(B418),B419&gt;0,B418&gt;0),LN(B419/B418),"")</x:f>
      </x:c>
      <x:c r="D419" s="16" t="str">
        <x:f>IF(ISNUMBER(C419),ABS(C419),"")</x:f>
      </x:c>
      <x:c r="E419" s="16" t="str">
        <x:f>IF(ISNUMBER(C419),C419^2,"")</x:f>
      </x:c>
      <x:c r="F419" s="16" t="str">
        <x:f>IF(AND(ISNUMBER(C419),ISNUMBER($J$6),$J$6&gt;0),(C419-$J$5)/$J$6,"")</x:f>
      </x:c>
      <x:c r="G419" s="1" t="str">
        <x:f>IF(ISNUMBER(F419),IF(ABS(F419)&gt;3,1,0),"")</x:f>
      </x:c>
      <x:c r="H419" s="1" t="str">
        <x:f>IF(ISNUMBER(F419),F419^4,"")</x:f>
      </x:c>
      <x:c r="I419" s="1"/>
      <x:c r="J419" s="1"/>
      <x:c r="K419" s="1"/>
      <x:c r="L419" s="1"/>
      <x:c r="M419" s="1"/>
      <x:c r="N419" s="1"/>
    </x:row>
    <x:row r="420" ht="22" customHeight="1">
      <x:c r="A420" s="14"/>
      <x:c r="B420" s="15"/>
      <x:c r="C420" s="16" t="str">
        <x:f>IF(AND(ISNUMBER(B420),ISNUMBER(B419),B420&gt;0,B419&gt;0),LN(B420/B419),"")</x:f>
      </x:c>
      <x:c r="D420" s="16" t="str">
        <x:f>IF(ISNUMBER(C420),ABS(C420),"")</x:f>
      </x:c>
      <x:c r="E420" s="16" t="str">
        <x:f>IF(ISNUMBER(C420),C420^2,"")</x:f>
      </x:c>
      <x:c r="F420" s="16" t="str">
        <x:f>IF(AND(ISNUMBER(C420),ISNUMBER($J$6),$J$6&gt;0),(C420-$J$5)/$J$6,"")</x:f>
      </x:c>
      <x:c r="G420" s="1" t="str">
        <x:f>IF(ISNUMBER(F420),IF(ABS(F420)&gt;3,1,0),"")</x:f>
      </x:c>
      <x:c r="H420" s="1" t="str">
        <x:f>IF(ISNUMBER(F420),F420^4,"")</x:f>
      </x:c>
      <x:c r="I420" s="1"/>
      <x:c r="J420" s="1"/>
      <x:c r="K420" s="1"/>
      <x:c r="L420" s="1"/>
      <x:c r="M420" s="1"/>
      <x:c r="N420" s="1"/>
    </x:row>
    <x:row r="421" ht="22" customHeight="1">
      <x:c r="A421" s="14"/>
      <x:c r="B421" s="15"/>
      <x:c r="C421" s="16" t="str">
        <x:f>IF(AND(ISNUMBER(B421),ISNUMBER(B420),B421&gt;0,B420&gt;0),LN(B421/B420),"")</x:f>
      </x:c>
      <x:c r="D421" s="16" t="str">
        <x:f>IF(ISNUMBER(C421),ABS(C421),"")</x:f>
      </x:c>
      <x:c r="E421" s="16" t="str">
        <x:f>IF(ISNUMBER(C421),C421^2,"")</x:f>
      </x:c>
      <x:c r="F421" s="16" t="str">
        <x:f>IF(AND(ISNUMBER(C421),ISNUMBER($J$6),$J$6&gt;0),(C421-$J$5)/$J$6,"")</x:f>
      </x:c>
      <x:c r="G421" s="1" t="str">
        <x:f>IF(ISNUMBER(F421),IF(ABS(F421)&gt;3,1,0),"")</x:f>
      </x:c>
      <x:c r="H421" s="1" t="str">
        <x:f>IF(ISNUMBER(F421),F421^4,"")</x:f>
      </x:c>
      <x:c r="I421" s="1"/>
      <x:c r="J421" s="1"/>
      <x:c r="K421" s="1"/>
      <x:c r="L421" s="1"/>
      <x:c r="M421" s="1"/>
      <x:c r="N421" s="1"/>
    </x:row>
    <x:row r="422" ht="22" customHeight="1">
      <x:c r="A422" s="14"/>
      <x:c r="B422" s="15"/>
      <x:c r="C422" s="16" t="str">
        <x:f>IF(AND(ISNUMBER(B422),ISNUMBER(B421),B422&gt;0,B421&gt;0),LN(B422/B421),"")</x:f>
      </x:c>
      <x:c r="D422" s="16" t="str">
        <x:f>IF(ISNUMBER(C422),ABS(C422),"")</x:f>
      </x:c>
      <x:c r="E422" s="16" t="str">
        <x:f>IF(ISNUMBER(C422),C422^2,"")</x:f>
      </x:c>
      <x:c r="F422" s="16" t="str">
        <x:f>IF(AND(ISNUMBER(C422),ISNUMBER($J$6),$J$6&gt;0),(C422-$J$5)/$J$6,"")</x:f>
      </x:c>
      <x:c r="G422" s="1" t="str">
        <x:f>IF(ISNUMBER(F422),IF(ABS(F422)&gt;3,1,0),"")</x:f>
      </x:c>
      <x:c r="H422" s="1" t="str">
        <x:f>IF(ISNUMBER(F422),F422^4,"")</x:f>
      </x:c>
      <x:c r="I422" s="1"/>
      <x:c r="J422" s="1"/>
      <x:c r="K422" s="1"/>
      <x:c r="L422" s="1"/>
      <x:c r="M422" s="1"/>
      <x:c r="N422" s="1"/>
    </x:row>
    <x:row r="423" ht="22" customHeight="1">
      <x:c r="A423" s="14"/>
      <x:c r="B423" s="15"/>
      <x:c r="C423" s="16" t="str">
        <x:f>IF(AND(ISNUMBER(B423),ISNUMBER(B422),B423&gt;0,B422&gt;0),LN(B423/B422),"")</x:f>
      </x:c>
      <x:c r="D423" s="16" t="str">
        <x:f>IF(ISNUMBER(C423),ABS(C423),"")</x:f>
      </x:c>
      <x:c r="E423" s="16" t="str">
        <x:f>IF(ISNUMBER(C423),C423^2,"")</x:f>
      </x:c>
      <x:c r="F423" s="16" t="str">
        <x:f>IF(AND(ISNUMBER(C423),ISNUMBER($J$6),$J$6&gt;0),(C423-$J$5)/$J$6,"")</x:f>
      </x:c>
      <x:c r="G423" s="1" t="str">
        <x:f>IF(ISNUMBER(F423),IF(ABS(F423)&gt;3,1,0),"")</x:f>
      </x:c>
      <x:c r="H423" s="1" t="str">
        <x:f>IF(ISNUMBER(F423),F423^4,"")</x:f>
      </x:c>
      <x:c r="I423" s="1"/>
      <x:c r="J423" s="1"/>
      <x:c r="K423" s="1"/>
      <x:c r="L423" s="1"/>
      <x:c r="M423" s="1"/>
      <x:c r="N423" s="1"/>
    </x:row>
    <x:row r="424" ht="22" customHeight="1">
      <x:c r="A424" s="14"/>
      <x:c r="B424" s="15"/>
      <x:c r="C424" s="16" t="str">
        <x:f>IF(AND(ISNUMBER(B424),ISNUMBER(B423),B424&gt;0,B423&gt;0),LN(B424/B423),"")</x:f>
      </x:c>
      <x:c r="D424" s="16" t="str">
        <x:f>IF(ISNUMBER(C424),ABS(C424),"")</x:f>
      </x:c>
      <x:c r="E424" s="16" t="str">
        <x:f>IF(ISNUMBER(C424),C424^2,"")</x:f>
      </x:c>
      <x:c r="F424" s="16" t="str">
        <x:f>IF(AND(ISNUMBER(C424),ISNUMBER($J$6),$J$6&gt;0),(C424-$J$5)/$J$6,"")</x:f>
      </x:c>
      <x:c r="G424" s="1" t="str">
        <x:f>IF(ISNUMBER(F424),IF(ABS(F424)&gt;3,1,0),"")</x:f>
      </x:c>
      <x:c r="H424" s="1" t="str">
        <x:f>IF(ISNUMBER(F424),F424^4,"")</x:f>
      </x:c>
      <x:c r="I424" s="1"/>
      <x:c r="J424" s="1"/>
      <x:c r="K424" s="1"/>
      <x:c r="L424" s="1"/>
      <x:c r="M424" s="1"/>
      <x:c r="N424" s="1"/>
    </x:row>
    <x:row r="425" ht="22" customHeight="1">
      <x:c r="A425" s="14"/>
      <x:c r="B425" s="15"/>
      <x:c r="C425" s="16" t="str">
        <x:f>IF(AND(ISNUMBER(B425),ISNUMBER(B424),B425&gt;0,B424&gt;0),LN(B425/B424),"")</x:f>
      </x:c>
      <x:c r="D425" s="16" t="str">
        <x:f>IF(ISNUMBER(C425),ABS(C425),"")</x:f>
      </x:c>
      <x:c r="E425" s="16" t="str">
        <x:f>IF(ISNUMBER(C425),C425^2,"")</x:f>
      </x:c>
      <x:c r="F425" s="16" t="str">
        <x:f>IF(AND(ISNUMBER(C425),ISNUMBER($J$6),$J$6&gt;0),(C425-$J$5)/$J$6,"")</x:f>
      </x:c>
      <x:c r="G425" s="1" t="str">
        <x:f>IF(ISNUMBER(F425),IF(ABS(F425)&gt;3,1,0),"")</x:f>
      </x:c>
      <x:c r="H425" s="1" t="str">
        <x:f>IF(ISNUMBER(F425),F425^4,"")</x:f>
      </x:c>
      <x:c r="I425" s="1"/>
      <x:c r="J425" s="1"/>
      <x:c r="K425" s="1"/>
      <x:c r="L425" s="1"/>
      <x:c r="M425" s="1"/>
      <x:c r="N425" s="1"/>
    </x:row>
    <x:row r="426" ht="22" customHeight="1">
      <x:c r="A426" s="14"/>
      <x:c r="B426" s="15"/>
      <x:c r="C426" s="16" t="str">
        <x:f>IF(AND(ISNUMBER(B426),ISNUMBER(B425),B426&gt;0,B425&gt;0),LN(B426/B425),"")</x:f>
      </x:c>
      <x:c r="D426" s="16" t="str">
        <x:f>IF(ISNUMBER(C426),ABS(C426),"")</x:f>
      </x:c>
      <x:c r="E426" s="16" t="str">
        <x:f>IF(ISNUMBER(C426),C426^2,"")</x:f>
      </x:c>
      <x:c r="F426" s="16" t="str">
        <x:f>IF(AND(ISNUMBER(C426),ISNUMBER($J$6),$J$6&gt;0),(C426-$J$5)/$J$6,"")</x:f>
      </x:c>
      <x:c r="G426" s="1" t="str">
        <x:f>IF(ISNUMBER(F426),IF(ABS(F426)&gt;3,1,0),"")</x:f>
      </x:c>
      <x:c r="H426" s="1" t="str">
        <x:f>IF(ISNUMBER(F426),F426^4,"")</x:f>
      </x:c>
      <x:c r="I426" s="1"/>
      <x:c r="J426" s="1"/>
      <x:c r="K426" s="1"/>
      <x:c r="L426" s="1"/>
      <x:c r="M426" s="1"/>
      <x:c r="N426" s="1"/>
    </x:row>
    <x:row r="427" ht="22" customHeight="1">
      <x:c r="A427" s="14"/>
      <x:c r="B427" s="15"/>
      <x:c r="C427" s="16" t="str">
        <x:f>IF(AND(ISNUMBER(B427),ISNUMBER(B426),B427&gt;0,B426&gt;0),LN(B427/B426),"")</x:f>
      </x:c>
      <x:c r="D427" s="16" t="str">
        <x:f>IF(ISNUMBER(C427),ABS(C427),"")</x:f>
      </x:c>
      <x:c r="E427" s="16" t="str">
        <x:f>IF(ISNUMBER(C427),C427^2,"")</x:f>
      </x:c>
      <x:c r="F427" s="16" t="str">
        <x:f>IF(AND(ISNUMBER(C427),ISNUMBER($J$6),$J$6&gt;0),(C427-$J$5)/$J$6,"")</x:f>
      </x:c>
      <x:c r="G427" s="1" t="str">
        <x:f>IF(ISNUMBER(F427),IF(ABS(F427)&gt;3,1,0),"")</x:f>
      </x:c>
      <x:c r="H427" s="1" t="str">
        <x:f>IF(ISNUMBER(F427),F427^4,"")</x:f>
      </x:c>
      <x:c r="I427" s="1"/>
      <x:c r="J427" s="1"/>
      <x:c r="K427" s="1"/>
      <x:c r="L427" s="1"/>
      <x:c r="M427" s="1"/>
      <x:c r="N427" s="1"/>
    </x:row>
    <x:row r="428" ht="22" customHeight="1">
      <x:c r="A428" s="14"/>
      <x:c r="B428" s="15"/>
      <x:c r="C428" s="16" t="str">
        <x:f>IF(AND(ISNUMBER(B428),ISNUMBER(B427),B428&gt;0,B427&gt;0),LN(B428/B427),"")</x:f>
      </x:c>
      <x:c r="D428" s="16" t="str">
        <x:f>IF(ISNUMBER(C428),ABS(C428),"")</x:f>
      </x:c>
      <x:c r="E428" s="16" t="str">
        <x:f>IF(ISNUMBER(C428),C428^2,"")</x:f>
      </x:c>
      <x:c r="F428" s="16" t="str">
        <x:f>IF(AND(ISNUMBER(C428),ISNUMBER($J$6),$J$6&gt;0),(C428-$J$5)/$J$6,"")</x:f>
      </x:c>
      <x:c r="G428" s="1" t="str">
        <x:f>IF(ISNUMBER(F428),IF(ABS(F428)&gt;3,1,0),"")</x:f>
      </x:c>
      <x:c r="H428" s="1" t="str">
        <x:f>IF(ISNUMBER(F428),F428^4,"")</x:f>
      </x:c>
      <x:c r="I428" s="1"/>
      <x:c r="J428" s="1"/>
      <x:c r="K428" s="1"/>
      <x:c r="L428" s="1"/>
      <x:c r="M428" s="1"/>
      <x:c r="N428" s="1"/>
    </x:row>
    <x:row r="429" ht="22" customHeight="1">
      <x:c r="A429" s="14"/>
      <x:c r="B429" s="15"/>
      <x:c r="C429" s="16" t="str">
        <x:f>IF(AND(ISNUMBER(B429),ISNUMBER(B428),B429&gt;0,B428&gt;0),LN(B429/B428),"")</x:f>
      </x:c>
      <x:c r="D429" s="16" t="str">
        <x:f>IF(ISNUMBER(C429),ABS(C429),"")</x:f>
      </x:c>
      <x:c r="E429" s="16" t="str">
        <x:f>IF(ISNUMBER(C429),C429^2,"")</x:f>
      </x:c>
      <x:c r="F429" s="16" t="str">
        <x:f>IF(AND(ISNUMBER(C429),ISNUMBER($J$6),$J$6&gt;0),(C429-$J$5)/$J$6,"")</x:f>
      </x:c>
      <x:c r="G429" s="1" t="str">
        <x:f>IF(ISNUMBER(F429),IF(ABS(F429)&gt;3,1,0),"")</x:f>
      </x:c>
      <x:c r="H429" s="1" t="str">
        <x:f>IF(ISNUMBER(F429),F429^4,"")</x:f>
      </x:c>
      <x:c r="I429" s="1"/>
      <x:c r="J429" s="1"/>
      <x:c r="K429" s="1"/>
      <x:c r="L429" s="1"/>
      <x:c r="M429" s="1"/>
      <x:c r="N429" s="1"/>
    </x:row>
    <x:row r="430" ht="22" customHeight="1">
      <x:c r="A430" s="14"/>
      <x:c r="B430" s="15"/>
      <x:c r="C430" s="16" t="str">
        <x:f>IF(AND(ISNUMBER(B430),ISNUMBER(B429),B430&gt;0,B429&gt;0),LN(B430/B429),"")</x:f>
      </x:c>
      <x:c r="D430" s="16" t="str">
        <x:f>IF(ISNUMBER(C430),ABS(C430),"")</x:f>
      </x:c>
      <x:c r="E430" s="16" t="str">
        <x:f>IF(ISNUMBER(C430),C430^2,"")</x:f>
      </x:c>
      <x:c r="F430" s="16" t="str">
        <x:f>IF(AND(ISNUMBER(C430),ISNUMBER($J$6),$J$6&gt;0),(C430-$J$5)/$J$6,"")</x:f>
      </x:c>
      <x:c r="G430" s="1" t="str">
        <x:f>IF(ISNUMBER(F430),IF(ABS(F430)&gt;3,1,0),"")</x:f>
      </x:c>
      <x:c r="H430" s="1" t="str">
        <x:f>IF(ISNUMBER(F430),F430^4,"")</x:f>
      </x:c>
      <x:c r="I430" s="1"/>
      <x:c r="J430" s="1"/>
      <x:c r="K430" s="1"/>
      <x:c r="L430" s="1"/>
      <x:c r="M430" s="1"/>
      <x:c r="N430" s="1"/>
    </x:row>
    <x:row r="431" ht="22" customHeight="1">
      <x:c r="A431" s="14"/>
      <x:c r="B431" s="15"/>
      <x:c r="C431" s="16" t="str">
        <x:f>IF(AND(ISNUMBER(B431),ISNUMBER(B430),B431&gt;0,B430&gt;0),LN(B431/B430),"")</x:f>
      </x:c>
      <x:c r="D431" s="16" t="str">
        <x:f>IF(ISNUMBER(C431),ABS(C431),"")</x:f>
      </x:c>
      <x:c r="E431" s="16" t="str">
        <x:f>IF(ISNUMBER(C431),C431^2,"")</x:f>
      </x:c>
      <x:c r="F431" s="16" t="str">
        <x:f>IF(AND(ISNUMBER(C431),ISNUMBER($J$6),$J$6&gt;0),(C431-$J$5)/$J$6,"")</x:f>
      </x:c>
      <x:c r="G431" s="1" t="str">
        <x:f>IF(ISNUMBER(F431),IF(ABS(F431)&gt;3,1,0),"")</x:f>
      </x:c>
      <x:c r="H431" s="1" t="str">
        <x:f>IF(ISNUMBER(F431),F431^4,"")</x:f>
      </x:c>
      <x:c r="I431" s="1"/>
      <x:c r="J431" s="1"/>
      <x:c r="K431" s="1"/>
      <x:c r="L431" s="1"/>
      <x:c r="M431" s="1"/>
      <x:c r="N431" s="1"/>
    </x:row>
    <x:row r="432" ht="22" customHeight="1">
      <x:c r="A432" s="14"/>
      <x:c r="B432" s="15"/>
      <x:c r="C432" s="16" t="str">
        <x:f>IF(AND(ISNUMBER(B432),ISNUMBER(B431),B432&gt;0,B431&gt;0),LN(B432/B431),"")</x:f>
      </x:c>
      <x:c r="D432" s="16" t="str">
        <x:f>IF(ISNUMBER(C432),ABS(C432),"")</x:f>
      </x:c>
      <x:c r="E432" s="16" t="str">
        <x:f>IF(ISNUMBER(C432),C432^2,"")</x:f>
      </x:c>
      <x:c r="F432" s="16" t="str">
        <x:f>IF(AND(ISNUMBER(C432),ISNUMBER($J$6),$J$6&gt;0),(C432-$J$5)/$J$6,"")</x:f>
      </x:c>
      <x:c r="G432" s="1" t="str">
        <x:f>IF(ISNUMBER(F432),IF(ABS(F432)&gt;3,1,0),"")</x:f>
      </x:c>
      <x:c r="H432" s="1" t="str">
        <x:f>IF(ISNUMBER(F432),F432^4,"")</x:f>
      </x:c>
      <x:c r="I432" s="1"/>
      <x:c r="J432" s="1"/>
      <x:c r="K432" s="1"/>
      <x:c r="L432" s="1"/>
      <x:c r="M432" s="1"/>
      <x:c r="N432" s="1"/>
    </x:row>
    <x:row r="433" ht="22" customHeight="1">
      <x:c r="A433" s="14"/>
      <x:c r="B433" s="15"/>
      <x:c r="C433" s="16" t="str">
        <x:f>IF(AND(ISNUMBER(B433),ISNUMBER(B432),B433&gt;0,B432&gt;0),LN(B433/B432),"")</x:f>
      </x:c>
      <x:c r="D433" s="16" t="str">
        <x:f>IF(ISNUMBER(C433),ABS(C433),"")</x:f>
      </x:c>
      <x:c r="E433" s="16" t="str">
        <x:f>IF(ISNUMBER(C433),C433^2,"")</x:f>
      </x:c>
      <x:c r="F433" s="16" t="str">
        <x:f>IF(AND(ISNUMBER(C433),ISNUMBER($J$6),$J$6&gt;0),(C433-$J$5)/$J$6,"")</x:f>
      </x:c>
      <x:c r="G433" s="1" t="str">
        <x:f>IF(ISNUMBER(F433),IF(ABS(F433)&gt;3,1,0),"")</x:f>
      </x:c>
      <x:c r="H433" s="1" t="str">
        <x:f>IF(ISNUMBER(F433),F433^4,"")</x:f>
      </x:c>
      <x:c r="I433" s="1"/>
      <x:c r="J433" s="1"/>
      <x:c r="K433" s="1"/>
      <x:c r="L433" s="1"/>
      <x:c r="M433" s="1"/>
      <x:c r="N433" s="1"/>
    </x:row>
    <x:row r="434" ht="22" customHeight="1">
      <x:c r="A434" s="14"/>
      <x:c r="B434" s="15"/>
      <x:c r="C434" s="16" t="str">
        <x:f>IF(AND(ISNUMBER(B434),ISNUMBER(B433),B434&gt;0,B433&gt;0),LN(B434/B433),"")</x:f>
      </x:c>
      <x:c r="D434" s="16" t="str">
        <x:f>IF(ISNUMBER(C434),ABS(C434),"")</x:f>
      </x:c>
      <x:c r="E434" s="16" t="str">
        <x:f>IF(ISNUMBER(C434),C434^2,"")</x:f>
      </x:c>
      <x:c r="F434" s="16" t="str">
        <x:f>IF(AND(ISNUMBER(C434),ISNUMBER($J$6),$J$6&gt;0),(C434-$J$5)/$J$6,"")</x:f>
      </x:c>
      <x:c r="G434" s="1" t="str">
        <x:f>IF(ISNUMBER(F434),IF(ABS(F434)&gt;3,1,0),"")</x:f>
      </x:c>
      <x:c r="H434" s="1" t="str">
        <x:f>IF(ISNUMBER(F434),F434^4,"")</x:f>
      </x:c>
      <x:c r="I434" s="1"/>
      <x:c r="J434" s="1"/>
      <x:c r="K434" s="1"/>
      <x:c r="L434" s="1"/>
      <x:c r="M434" s="1"/>
      <x:c r="N434" s="1"/>
    </x:row>
    <x:row r="435" ht="22" customHeight="1">
      <x:c r="A435" s="14"/>
      <x:c r="B435" s="15"/>
      <x:c r="C435" s="16" t="str">
        <x:f>IF(AND(ISNUMBER(B435),ISNUMBER(B434),B435&gt;0,B434&gt;0),LN(B435/B434),"")</x:f>
      </x:c>
      <x:c r="D435" s="16" t="str">
        <x:f>IF(ISNUMBER(C435),ABS(C435),"")</x:f>
      </x:c>
      <x:c r="E435" s="16" t="str">
        <x:f>IF(ISNUMBER(C435),C435^2,"")</x:f>
      </x:c>
      <x:c r="F435" s="16" t="str">
        <x:f>IF(AND(ISNUMBER(C435),ISNUMBER($J$6),$J$6&gt;0),(C435-$J$5)/$J$6,"")</x:f>
      </x:c>
      <x:c r="G435" s="1" t="str">
        <x:f>IF(ISNUMBER(F435),IF(ABS(F435)&gt;3,1,0),"")</x:f>
      </x:c>
      <x:c r="H435" s="1" t="str">
        <x:f>IF(ISNUMBER(F435),F435^4,"")</x:f>
      </x:c>
      <x:c r="I435" s="1"/>
      <x:c r="J435" s="1"/>
      <x:c r="K435" s="1"/>
      <x:c r="L435" s="1"/>
      <x:c r="M435" s="1"/>
      <x:c r="N435" s="1"/>
    </x:row>
    <x:row r="436" ht="22" customHeight="1">
      <x:c r="A436" s="14"/>
      <x:c r="B436" s="15"/>
      <x:c r="C436" s="16" t="str">
        <x:f>IF(AND(ISNUMBER(B436),ISNUMBER(B435),B436&gt;0,B435&gt;0),LN(B436/B435),"")</x:f>
      </x:c>
      <x:c r="D436" s="16" t="str">
        <x:f>IF(ISNUMBER(C436),ABS(C436),"")</x:f>
      </x:c>
      <x:c r="E436" s="16" t="str">
        <x:f>IF(ISNUMBER(C436),C436^2,"")</x:f>
      </x:c>
      <x:c r="F436" s="16" t="str">
        <x:f>IF(AND(ISNUMBER(C436),ISNUMBER($J$6),$J$6&gt;0),(C436-$J$5)/$J$6,"")</x:f>
      </x:c>
      <x:c r="G436" s="1" t="str">
        <x:f>IF(ISNUMBER(F436),IF(ABS(F436)&gt;3,1,0),"")</x:f>
      </x:c>
      <x:c r="H436" s="1" t="str">
        <x:f>IF(ISNUMBER(F436),F436^4,"")</x:f>
      </x:c>
      <x:c r="I436" s="1"/>
      <x:c r="J436" s="1"/>
      <x:c r="K436" s="1"/>
      <x:c r="L436" s="1"/>
      <x:c r="M436" s="1"/>
      <x:c r="N436" s="1"/>
    </x:row>
    <x:row r="437" ht="22" customHeight="1">
      <x:c r="A437" s="14"/>
      <x:c r="B437" s="15"/>
      <x:c r="C437" s="16" t="str">
        <x:f>IF(AND(ISNUMBER(B437),ISNUMBER(B436),B437&gt;0,B436&gt;0),LN(B437/B436),"")</x:f>
      </x:c>
      <x:c r="D437" s="16" t="str">
        <x:f>IF(ISNUMBER(C437),ABS(C437),"")</x:f>
      </x:c>
      <x:c r="E437" s="16" t="str">
        <x:f>IF(ISNUMBER(C437),C437^2,"")</x:f>
      </x:c>
      <x:c r="F437" s="16" t="str">
        <x:f>IF(AND(ISNUMBER(C437),ISNUMBER($J$6),$J$6&gt;0),(C437-$J$5)/$J$6,"")</x:f>
      </x:c>
      <x:c r="G437" s="1" t="str">
        <x:f>IF(ISNUMBER(F437),IF(ABS(F437)&gt;3,1,0),"")</x:f>
      </x:c>
      <x:c r="H437" s="1" t="str">
        <x:f>IF(ISNUMBER(F437),F437^4,"")</x:f>
      </x:c>
      <x:c r="I437" s="1"/>
      <x:c r="J437" s="1"/>
      <x:c r="K437" s="1"/>
      <x:c r="L437" s="1"/>
      <x:c r="M437" s="1"/>
      <x:c r="N437" s="1"/>
    </x:row>
    <x:row r="438" ht="22" customHeight="1">
      <x:c r="A438" s="14"/>
      <x:c r="B438" s="15"/>
      <x:c r="C438" s="16" t="str">
        <x:f>IF(AND(ISNUMBER(B438),ISNUMBER(B437),B438&gt;0,B437&gt;0),LN(B438/B437),"")</x:f>
      </x:c>
      <x:c r="D438" s="16" t="str">
        <x:f>IF(ISNUMBER(C438),ABS(C438),"")</x:f>
      </x:c>
      <x:c r="E438" s="16" t="str">
        <x:f>IF(ISNUMBER(C438),C438^2,"")</x:f>
      </x:c>
      <x:c r="F438" s="16" t="str">
        <x:f>IF(AND(ISNUMBER(C438),ISNUMBER($J$6),$J$6&gt;0),(C438-$J$5)/$J$6,"")</x:f>
      </x:c>
      <x:c r="G438" s="1" t="str">
        <x:f>IF(ISNUMBER(F438),IF(ABS(F438)&gt;3,1,0),"")</x:f>
      </x:c>
      <x:c r="H438" s="1" t="str">
        <x:f>IF(ISNUMBER(F438),F438^4,"")</x:f>
      </x:c>
      <x:c r="I438" s="1"/>
      <x:c r="J438" s="1"/>
      <x:c r="K438" s="1"/>
      <x:c r="L438" s="1"/>
      <x:c r="M438" s="1"/>
      <x:c r="N438" s="1"/>
    </x:row>
    <x:row r="439" ht="22" customHeight="1">
      <x:c r="A439" s="14"/>
      <x:c r="B439" s="15"/>
      <x:c r="C439" s="16" t="str">
        <x:f>IF(AND(ISNUMBER(B439),ISNUMBER(B438),B439&gt;0,B438&gt;0),LN(B439/B438),"")</x:f>
      </x:c>
      <x:c r="D439" s="16" t="str">
        <x:f>IF(ISNUMBER(C439),ABS(C439),"")</x:f>
      </x:c>
      <x:c r="E439" s="16" t="str">
        <x:f>IF(ISNUMBER(C439),C439^2,"")</x:f>
      </x:c>
      <x:c r="F439" s="16" t="str">
        <x:f>IF(AND(ISNUMBER(C439),ISNUMBER($J$6),$J$6&gt;0),(C439-$J$5)/$J$6,"")</x:f>
      </x:c>
      <x:c r="G439" s="1" t="str">
        <x:f>IF(ISNUMBER(F439),IF(ABS(F439)&gt;3,1,0),"")</x:f>
      </x:c>
      <x:c r="H439" s="1" t="str">
        <x:f>IF(ISNUMBER(F439),F439^4,"")</x:f>
      </x:c>
      <x:c r="I439" s="1"/>
      <x:c r="J439" s="1"/>
      <x:c r="K439" s="1"/>
      <x:c r="L439" s="1"/>
      <x:c r="M439" s="1"/>
      <x:c r="N439" s="1"/>
    </x:row>
    <x:row r="440" ht="22" customHeight="1">
      <x:c r="A440" s="14"/>
      <x:c r="B440" s="15"/>
      <x:c r="C440" s="16" t="str">
        <x:f>IF(AND(ISNUMBER(B440),ISNUMBER(B439),B440&gt;0,B439&gt;0),LN(B440/B439),"")</x:f>
      </x:c>
      <x:c r="D440" s="16" t="str">
        <x:f>IF(ISNUMBER(C440),ABS(C440),"")</x:f>
      </x:c>
      <x:c r="E440" s="16" t="str">
        <x:f>IF(ISNUMBER(C440),C440^2,"")</x:f>
      </x:c>
      <x:c r="F440" s="16" t="str">
        <x:f>IF(AND(ISNUMBER(C440),ISNUMBER($J$6),$J$6&gt;0),(C440-$J$5)/$J$6,"")</x:f>
      </x:c>
      <x:c r="G440" s="1" t="str">
        <x:f>IF(ISNUMBER(F440),IF(ABS(F440)&gt;3,1,0),"")</x:f>
      </x:c>
      <x:c r="H440" s="1" t="str">
        <x:f>IF(ISNUMBER(F440),F440^4,"")</x:f>
      </x:c>
      <x:c r="I440" s="1"/>
      <x:c r="J440" s="1"/>
      <x:c r="K440" s="1"/>
      <x:c r="L440" s="1"/>
      <x:c r="M440" s="1"/>
      <x:c r="N440" s="1"/>
    </x:row>
    <x:row r="441" ht="22" customHeight="1">
      <x:c r="A441" s="14"/>
      <x:c r="B441" s="15"/>
      <x:c r="C441" s="16" t="str">
        <x:f>IF(AND(ISNUMBER(B441),ISNUMBER(B440),B441&gt;0,B440&gt;0),LN(B441/B440),"")</x:f>
      </x:c>
      <x:c r="D441" s="16" t="str">
        <x:f>IF(ISNUMBER(C441),ABS(C441),"")</x:f>
      </x:c>
      <x:c r="E441" s="16" t="str">
        <x:f>IF(ISNUMBER(C441),C441^2,"")</x:f>
      </x:c>
      <x:c r="F441" s="16" t="str">
        <x:f>IF(AND(ISNUMBER(C441),ISNUMBER($J$6),$J$6&gt;0),(C441-$J$5)/$J$6,"")</x:f>
      </x:c>
      <x:c r="G441" s="1" t="str">
        <x:f>IF(ISNUMBER(F441),IF(ABS(F441)&gt;3,1,0),"")</x:f>
      </x:c>
      <x:c r="H441" s="1" t="str">
        <x:f>IF(ISNUMBER(F441),F441^4,"")</x:f>
      </x:c>
      <x:c r="I441" s="1"/>
      <x:c r="J441" s="1"/>
      <x:c r="K441" s="1"/>
      <x:c r="L441" s="1"/>
      <x:c r="M441" s="1"/>
      <x:c r="N441" s="1"/>
    </x:row>
    <x:row r="442" ht="22" customHeight="1">
      <x:c r="A442" s="14"/>
      <x:c r="B442" s="15"/>
      <x:c r="C442" s="16" t="str">
        <x:f>IF(AND(ISNUMBER(B442),ISNUMBER(B441),B442&gt;0,B441&gt;0),LN(B442/B441),"")</x:f>
      </x:c>
      <x:c r="D442" s="16" t="str">
        <x:f>IF(ISNUMBER(C442),ABS(C442),"")</x:f>
      </x:c>
      <x:c r="E442" s="16" t="str">
        <x:f>IF(ISNUMBER(C442),C442^2,"")</x:f>
      </x:c>
      <x:c r="F442" s="16" t="str">
        <x:f>IF(AND(ISNUMBER(C442),ISNUMBER($J$6),$J$6&gt;0),(C442-$J$5)/$J$6,"")</x:f>
      </x:c>
      <x:c r="G442" s="1" t="str">
        <x:f>IF(ISNUMBER(F442),IF(ABS(F442)&gt;3,1,0),"")</x:f>
      </x:c>
      <x:c r="H442" s="1" t="str">
        <x:f>IF(ISNUMBER(F442),F442^4,"")</x:f>
      </x:c>
      <x:c r="I442" s="1"/>
      <x:c r="J442" s="1"/>
      <x:c r="K442" s="1"/>
      <x:c r="L442" s="1"/>
      <x:c r="M442" s="1"/>
      <x:c r="N442" s="1"/>
    </x:row>
    <x:row r="443" ht="22" customHeight="1">
      <x:c r="A443" s="14"/>
      <x:c r="B443" s="15"/>
      <x:c r="C443" s="16" t="str">
        <x:f>IF(AND(ISNUMBER(B443),ISNUMBER(B442),B443&gt;0,B442&gt;0),LN(B443/B442),"")</x:f>
      </x:c>
      <x:c r="D443" s="16" t="str">
        <x:f>IF(ISNUMBER(C443),ABS(C443),"")</x:f>
      </x:c>
      <x:c r="E443" s="16" t="str">
        <x:f>IF(ISNUMBER(C443),C443^2,"")</x:f>
      </x:c>
      <x:c r="F443" s="16" t="str">
        <x:f>IF(AND(ISNUMBER(C443),ISNUMBER($J$6),$J$6&gt;0),(C443-$J$5)/$J$6,"")</x:f>
      </x:c>
      <x:c r="G443" s="1" t="str">
        <x:f>IF(ISNUMBER(F443),IF(ABS(F443)&gt;3,1,0),"")</x:f>
      </x:c>
      <x:c r="H443" s="1" t="str">
        <x:f>IF(ISNUMBER(F443),F443^4,"")</x:f>
      </x:c>
      <x:c r="I443" s="1"/>
      <x:c r="J443" s="1"/>
      <x:c r="K443" s="1"/>
      <x:c r="L443" s="1"/>
      <x:c r="M443" s="1"/>
      <x:c r="N443" s="1"/>
    </x:row>
    <x:row r="444" ht="22" customHeight="1">
      <x:c r="A444" s="14"/>
      <x:c r="B444" s="15"/>
      <x:c r="C444" s="16" t="str">
        <x:f>IF(AND(ISNUMBER(B444),ISNUMBER(B443),B444&gt;0,B443&gt;0),LN(B444/B443),"")</x:f>
      </x:c>
      <x:c r="D444" s="16" t="str">
        <x:f>IF(ISNUMBER(C444),ABS(C444),"")</x:f>
      </x:c>
      <x:c r="E444" s="16" t="str">
        <x:f>IF(ISNUMBER(C444),C444^2,"")</x:f>
      </x:c>
      <x:c r="F444" s="16" t="str">
        <x:f>IF(AND(ISNUMBER(C444),ISNUMBER($J$6),$J$6&gt;0),(C444-$J$5)/$J$6,"")</x:f>
      </x:c>
      <x:c r="G444" s="1" t="str">
        <x:f>IF(ISNUMBER(F444),IF(ABS(F444)&gt;3,1,0),"")</x:f>
      </x:c>
      <x:c r="H444" s="1" t="str">
        <x:f>IF(ISNUMBER(F444),F444^4,"")</x:f>
      </x:c>
      <x:c r="I444" s="1"/>
      <x:c r="J444" s="1"/>
      <x:c r="K444" s="1"/>
      <x:c r="L444" s="1"/>
      <x:c r="M444" s="1"/>
      <x:c r="N444" s="1"/>
    </x:row>
    <x:row r="445" ht="22" customHeight="1">
      <x:c r="A445" s="14"/>
      <x:c r="B445" s="15"/>
      <x:c r="C445" s="16" t="str">
        <x:f>IF(AND(ISNUMBER(B445),ISNUMBER(B444),B445&gt;0,B444&gt;0),LN(B445/B444),"")</x:f>
      </x:c>
      <x:c r="D445" s="16" t="str">
        <x:f>IF(ISNUMBER(C445),ABS(C445),"")</x:f>
      </x:c>
      <x:c r="E445" s="16" t="str">
        <x:f>IF(ISNUMBER(C445),C445^2,"")</x:f>
      </x:c>
      <x:c r="F445" s="16" t="str">
        <x:f>IF(AND(ISNUMBER(C445),ISNUMBER($J$6),$J$6&gt;0),(C445-$J$5)/$J$6,"")</x:f>
      </x:c>
      <x:c r="G445" s="1" t="str">
        <x:f>IF(ISNUMBER(F445),IF(ABS(F445)&gt;3,1,0),"")</x:f>
      </x:c>
      <x:c r="H445" s="1" t="str">
        <x:f>IF(ISNUMBER(F445),F445^4,"")</x:f>
      </x:c>
      <x:c r="I445" s="1"/>
      <x:c r="J445" s="1"/>
      <x:c r="K445" s="1"/>
      <x:c r="L445" s="1"/>
      <x:c r="M445" s="1"/>
      <x:c r="N445" s="1"/>
    </x:row>
    <x:row r="446" ht="22" customHeight="1">
      <x:c r="A446" s="14"/>
      <x:c r="B446" s="15"/>
      <x:c r="C446" s="16" t="str">
        <x:f>IF(AND(ISNUMBER(B446),ISNUMBER(B445),B446&gt;0,B445&gt;0),LN(B446/B445),"")</x:f>
      </x:c>
      <x:c r="D446" s="16" t="str">
        <x:f>IF(ISNUMBER(C446),ABS(C446),"")</x:f>
      </x:c>
      <x:c r="E446" s="16" t="str">
        <x:f>IF(ISNUMBER(C446),C446^2,"")</x:f>
      </x:c>
      <x:c r="F446" s="16" t="str">
        <x:f>IF(AND(ISNUMBER(C446),ISNUMBER($J$6),$J$6&gt;0),(C446-$J$5)/$J$6,"")</x:f>
      </x:c>
      <x:c r="G446" s="1" t="str">
        <x:f>IF(ISNUMBER(F446),IF(ABS(F446)&gt;3,1,0),"")</x:f>
      </x:c>
      <x:c r="H446" s="1" t="str">
        <x:f>IF(ISNUMBER(F446),F446^4,"")</x:f>
      </x:c>
      <x:c r="I446" s="1"/>
      <x:c r="J446" s="1"/>
      <x:c r="K446" s="1"/>
      <x:c r="L446" s="1"/>
      <x:c r="M446" s="1"/>
      <x:c r="N446" s="1"/>
    </x:row>
    <x:row r="447" ht="22" customHeight="1">
      <x:c r="A447" s="14"/>
      <x:c r="B447" s="15"/>
      <x:c r="C447" s="16" t="str">
        <x:f>IF(AND(ISNUMBER(B447),ISNUMBER(B446),B447&gt;0,B446&gt;0),LN(B447/B446),"")</x:f>
      </x:c>
      <x:c r="D447" s="16" t="str">
        <x:f>IF(ISNUMBER(C447),ABS(C447),"")</x:f>
      </x:c>
      <x:c r="E447" s="16" t="str">
        <x:f>IF(ISNUMBER(C447),C447^2,"")</x:f>
      </x:c>
      <x:c r="F447" s="16" t="str">
        <x:f>IF(AND(ISNUMBER(C447),ISNUMBER($J$6),$J$6&gt;0),(C447-$J$5)/$J$6,"")</x:f>
      </x:c>
      <x:c r="G447" s="1" t="str">
        <x:f>IF(ISNUMBER(F447),IF(ABS(F447)&gt;3,1,0),"")</x:f>
      </x:c>
      <x:c r="H447" s="1" t="str">
        <x:f>IF(ISNUMBER(F447),F447^4,"")</x:f>
      </x:c>
      <x:c r="I447" s="1"/>
      <x:c r="J447" s="1"/>
      <x:c r="K447" s="1"/>
      <x:c r="L447" s="1"/>
      <x:c r="M447" s="1"/>
      <x:c r="N447" s="1"/>
    </x:row>
    <x:row r="448" ht="22" customHeight="1">
      <x:c r="A448" s="14"/>
      <x:c r="B448" s="15"/>
      <x:c r="C448" s="16" t="str">
        <x:f>IF(AND(ISNUMBER(B448),ISNUMBER(B447),B448&gt;0,B447&gt;0),LN(B448/B447),"")</x:f>
      </x:c>
      <x:c r="D448" s="16" t="str">
        <x:f>IF(ISNUMBER(C448),ABS(C448),"")</x:f>
      </x:c>
      <x:c r="E448" s="16" t="str">
        <x:f>IF(ISNUMBER(C448),C448^2,"")</x:f>
      </x:c>
      <x:c r="F448" s="16" t="str">
        <x:f>IF(AND(ISNUMBER(C448),ISNUMBER($J$6),$J$6&gt;0),(C448-$J$5)/$J$6,"")</x:f>
      </x:c>
      <x:c r="G448" s="1" t="str">
        <x:f>IF(ISNUMBER(F448),IF(ABS(F448)&gt;3,1,0),"")</x:f>
      </x:c>
      <x:c r="H448" s="1" t="str">
        <x:f>IF(ISNUMBER(F448),F448^4,"")</x:f>
      </x:c>
      <x:c r="I448" s="1"/>
      <x:c r="J448" s="1"/>
      <x:c r="K448" s="1"/>
      <x:c r="L448" s="1"/>
      <x:c r="M448" s="1"/>
      <x:c r="N448" s="1"/>
    </x:row>
    <x:row r="449" ht="22" customHeight="1">
      <x:c r="A449" s="14"/>
      <x:c r="B449" s="15"/>
      <x:c r="C449" s="16" t="str">
        <x:f>IF(AND(ISNUMBER(B449),ISNUMBER(B448),B449&gt;0,B448&gt;0),LN(B449/B448),"")</x:f>
      </x:c>
      <x:c r="D449" s="16" t="str">
        <x:f>IF(ISNUMBER(C449),ABS(C449),"")</x:f>
      </x:c>
      <x:c r="E449" s="16" t="str">
        <x:f>IF(ISNUMBER(C449),C449^2,"")</x:f>
      </x:c>
      <x:c r="F449" s="16" t="str">
        <x:f>IF(AND(ISNUMBER(C449),ISNUMBER($J$6),$J$6&gt;0),(C449-$J$5)/$J$6,"")</x:f>
      </x:c>
      <x:c r="G449" s="1" t="str">
        <x:f>IF(ISNUMBER(F449),IF(ABS(F449)&gt;3,1,0),"")</x:f>
      </x:c>
      <x:c r="H449" s="1" t="str">
        <x:f>IF(ISNUMBER(F449),F449^4,"")</x:f>
      </x:c>
      <x:c r="I449" s="1"/>
      <x:c r="J449" s="1"/>
      <x:c r="K449" s="1"/>
      <x:c r="L449" s="1"/>
      <x:c r="M449" s="1"/>
      <x:c r="N449" s="1"/>
    </x:row>
    <x:row r="450" ht="22" customHeight="1">
      <x:c r="A450" s="14"/>
      <x:c r="B450" s="15"/>
      <x:c r="C450" s="16" t="str">
        <x:f>IF(AND(ISNUMBER(B450),ISNUMBER(B449),B450&gt;0,B449&gt;0),LN(B450/B449),"")</x:f>
      </x:c>
      <x:c r="D450" s="16" t="str">
        <x:f>IF(ISNUMBER(C450),ABS(C450),"")</x:f>
      </x:c>
      <x:c r="E450" s="16" t="str">
        <x:f>IF(ISNUMBER(C450),C450^2,"")</x:f>
      </x:c>
      <x:c r="F450" s="16" t="str">
        <x:f>IF(AND(ISNUMBER(C450),ISNUMBER($J$6),$J$6&gt;0),(C450-$J$5)/$J$6,"")</x:f>
      </x:c>
      <x:c r="G450" s="1" t="str">
        <x:f>IF(ISNUMBER(F450),IF(ABS(F450)&gt;3,1,0),"")</x:f>
      </x:c>
      <x:c r="H450" s="1" t="str">
        <x:f>IF(ISNUMBER(F450),F450^4,"")</x:f>
      </x:c>
      <x:c r="I450" s="1"/>
      <x:c r="J450" s="1"/>
      <x:c r="K450" s="1"/>
      <x:c r="L450" s="1"/>
      <x:c r="M450" s="1"/>
      <x:c r="N450" s="1"/>
    </x:row>
    <x:row r="451" ht="22" customHeight="1">
      <x:c r="A451" s="14"/>
      <x:c r="B451" s="15"/>
      <x:c r="C451" s="16" t="str">
        <x:f>IF(AND(ISNUMBER(B451),ISNUMBER(B450),B451&gt;0,B450&gt;0),LN(B451/B450),"")</x:f>
      </x:c>
      <x:c r="D451" s="16" t="str">
        <x:f>IF(ISNUMBER(C451),ABS(C451),"")</x:f>
      </x:c>
      <x:c r="E451" s="16" t="str">
        <x:f>IF(ISNUMBER(C451),C451^2,"")</x:f>
      </x:c>
      <x:c r="F451" s="16" t="str">
        <x:f>IF(AND(ISNUMBER(C451),ISNUMBER($J$6),$J$6&gt;0),(C451-$J$5)/$J$6,"")</x:f>
      </x:c>
      <x:c r="G451" s="1" t="str">
        <x:f>IF(ISNUMBER(F451),IF(ABS(F451)&gt;3,1,0),"")</x:f>
      </x:c>
      <x:c r="H451" s="1" t="str">
        <x:f>IF(ISNUMBER(F451),F451^4,"")</x:f>
      </x:c>
      <x:c r="I451" s="1"/>
      <x:c r="J451" s="1"/>
      <x:c r="K451" s="1"/>
      <x:c r="L451" s="1"/>
      <x:c r="M451" s="1"/>
      <x:c r="N451" s="1"/>
    </x:row>
    <x:row r="452" ht="22" customHeight="1">
      <x:c r="A452" s="14"/>
      <x:c r="B452" s="15"/>
      <x:c r="C452" s="16" t="str">
        <x:f>IF(AND(ISNUMBER(B452),ISNUMBER(B451),B452&gt;0,B451&gt;0),LN(B452/B451),"")</x:f>
      </x:c>
      <x:c r="D452" s="16" t="str">
        <x:f>IF(ISNUMBER(C452),ABS(C452),"")</x:f>
      </x:c>
      <x:c r="E452" s="16" t="str">
        <x:f>IF(ISNUMBER(C452),C452^2,"")</x:f>
      </x:c>
      <x:c r="F452" s="16" t="str">
        <x:f>IF(AND(ISNUMBER(C452),ISNUMBER($J$6),$J$6&gt;0),(C452-$J$5)/$J$6,"")</x:f>
      </x:c>
      <x:c r="G452" s="1" t="str">
        <x:f>IF(ISNUMBER(F452),IF(ABS(F452)&gt;3,1,0),"")</x:f>
      </x:c>
      <x:c r="H452" s="1" t="str">
        <x:f>IF(ISNUMBER(F452),F452^4,"")</x:f>
      </x:c>
      <x:c r="I452" s="1"/>
      <x:c r="J452" s="1"/>
      <x:c r="K452" s="1"/>
      <x:c r="L452" s="1"/>
      <x:c r="M452" s="1"/>
      <x:c r="N452" s="1"/>
    </x:row>
    <x:row r="453" ht="22" customHeight="1">
      <x:c r="A453" s="14"/>
      <x:c r="B453" s="15"/>
      <x:c r="C453" s="16" t="str">
        <x:f>IF(AND(ISNUMBER(B453),ISNUMBER(B452),B453&gt;0,B452&gt;0),LN(B453/B452),"")</x:f>
      </x:c>
      <x:c r="D453" s="16" t="str">
        <x:f>IF(ISNUMBER(C453),ABS(C453),"")</x:f>
      </x:c>
      <x:c r="E453" s="16" t="str">
        <x:f>IF(ISNUMBER(C453),C453^2,"")</x:f>
      </x:c>
      <x:c r="F453" s="16" t="str">
        <x:f>IF(AND(ISNUMBER(C453),ISNUMBER($J$6),$J$6&gt;0),(C453-$J$5)/$J$6,"")</x:f>
      </x:c>
      <x:c r="G453" s="1" t="str">
        <x:f>IF(ISNUMBER(F453),IF(ABS(F453)&gt;3,1,0),"")</x:f>
      </x:c>
      <x:c r="H453" s="1" t="str">
        <x:f>IF(ISNUMBER(F453),F453^4,"")</x:f>
      </x:c>
      <x:c r="I453" s="1"/>
      <x:c r="J453" s="1"/>
      <x:c r="K453" s="1"/>
      <x:c r="L453" s="1"/>
      <x:c r="M453" s="1"/>
      <x:c r="N453" s="1"/>
    </x:row>
    <x:row r="454" ht="22" customHeight="1">
      <x:c r="A454" s="14"/>
      <x:c r="B454" s="15"/>
      <x:c r="C454" s="16" t="str">
        <x:f>IF(AND(ISNUMBER(B454),ISNUMBER(B453),B454&gt;0,B453&gt;0),LN(B454/B453),"")</x:f>
      </x:c>
      <x:c r="D454" s="16" t="str">
        <x:f>IF(ISNUMBER(C454),ABS(C454),"")</x:f>
      </x:c>
      <x:c r="E454" s="16" t="str">
        <x:f>IF(ISNUMBER(C454),C454^2,"")</x:f>
      </x:c>
      <x:c r="F454" s="16" t="str">
        <x:f>IF(AND(ISNUMBER(C454),ISNUMBER($J$6),$J$6&gt;0),(C454-$J$5)/$J$6,"")</x:f>
      </x:c>
      <x:c r="G454" s="1" t="str">
        <x:f>IF(ISNUMBER(F454),IF(ABS(F454)&gt;3,1,0),"")</x:f>
      </x:c>
      <x:c r="H454" s="1" t="str">
        <x:f>IF(ISNUMBER(F454),F454^4,"")</x:f>
      </x:c>
      <x:c r="I454" s="1"/>
      <x:c r="J454" s="1"/>
      <x:c r="K454" s="1"/>
      <x:c r="L454" s="1"/>
      <x:c r="M454" s="1"/>
      <x:c r="N454" s="1"/>
    </x:row>
    <x:row r="455" ht="22" customHeight="1">
      <x:c r="A455" s="14"/>
      <x:c r="B455" s="15"/>
      <x:c r="C455" s="16" t="str">
        <x:f>IF(AND(ISNUMBER(B455),ISNUMBER(B454),B455&gt;0,B454&gt;0),LN(B455/B454),"")</x:f>
      </x:c>
      <x:c r="D455" s="16" t="str">
        <x:f>IF(ISNUMBER(C455),ABS(C455),"")</x:f>
      </x:c>
      <x:c r="E455" s="16" t="str">
        <x:f>IF(ISNUMBER(C455),C455^2,"")</x:f>
      </x:c>
      <x:c r="F455" s="16" t="str">
        <x:f>IF(AND(ISNUMBER(C455),ISNUMBER($J$6),$J$6&gt;0),(C455-$J$5)/$J$6,"")</x:f>
      </x:c>
      <x:c r="G455" s="1" t="str">
        <x:f>IF(ISNUMBER(F455),IF(ABS(F455)&gt;3,1,0),"")</x:f>
      </x:c>
      <x:c r="H455" s="1" t="str">
        <x:f>IF(ISNUMBER(F455),F455^4,"")</x:f>
      </x:c>
      <x:c r="I455" s="1"/>
      <x:c r="J455" s="1"/>
      <x:c r="K455" s="1"/>
      <x:c r="L455" s="1"/>
      <x:c r="M455" s="1"/>
      <x:c r="N455" s="1"/>
    </x:row>
    <x:row r="456" ht="22" customHeight="1">
      <x:c r="A456" s="14"/>
      <x:c r="B456" s="15"/>
      <x:c r="C456" s="16" t="str">
        <x:f>IF(AND(ISNUMBER(B456),ISNUMBER(B455),B456&gt;0,B455&gt;0),LN(B456/B455),"")</x:f>
      </x:c>
      <x:c r="D456" s="16" t="str">
        <x:f>IF(ISNUMBER(C456),ABS(C456),"")</x:f>
      </x:c>
      <x:c r="E456" s="16" t="str">
        <x:f>IF(ISNUMBER(C456),C456^2,"")</x:f>
      </x:c>
      <x:c r="F456" s="16" t="str">
        <x:f>IF(AND(ISNUMBER(C456),ISNUMBER($J$6),$J$6&gt;0),(C456-$J$5)/$J$6,"")</x:f>
      </x:c>
      <x:c r="G456" s="1" t="str">
        <x:f>IF(ISNUMBER(F456),IF(ABS(F456)&gt;3,1,0),"")</x:f>
      </x:c>
      <x:c r="H456" s="1" t="str">
        <x:f>IF(ISNUMBER(F456),F456^4,"")</x:f>
      </x:c>
      <x:c r="I456" s="1"/>
      <x:c r="J456" s="1"/>
      <x:c r="K456" s="1"/>
      <x:c r="L456" s="1"/>
      <x:c r="M456" s="1"/>
      <x:c r="N456" s="1"/>
    </x:row>
    <x:row r="457" ht="22" customHeight="1">
      <x:c r="A457" s="14"/>
      <x:c r="B457" s="15"/>
      <x:c r="C457" s="16" t="str">
        <x:f>IF(AND(ISNUMBER(B457),ISNUMBER(B456),B457&gt;0,B456&gt;0),LN(B457/B456),"")</x:f>
      </x:c>
      <x:c r="D457" s="16" t="str">
        <x:f>IF(ISNUMBER(C457),ABS(C457),"")</x:f>
      </x:c>
      <x:c r="E457" s="16" t="str">
        <x:f>IF(ISNUMBER(C457),C457^2,"")</x:f>
      </x:c>
      <x:c r="F457" s="16" t="str">
        <x:f>IF(AND(ISNUMBER(C457),ISNUMBER($J$6),$J$6&gt;0),(C457-$J$5)/$J$6,"")</x:f>
      </x:c>
      <x:c r="G457" s="1" t="str">
        <x:f>IF(ISNUMBER(F457),IF(ABS(F457)&gt;3,1,0),"")</x:f>
      </x:c>
      <x:c r="H457" s="1" t="str">
        <x:f>IF(ISNUMBER(F457),F457^4,"")</x:f>
      </x:c>
      <x:c r="I457" s="1"/>
      <x:c r="J457" s="1"/>
      <x:c r="K457" s="1"/>
      <x:c r="L457" s="1"/>
      <x:c r="M457" s="1"/>
      <x:c r="N457" s="1"/>
    </x:row>
    <x:row r="458" ht="22" customHeight="1">
      <x:c r="A458" s="14"/>
      <x:c r="B458" s="15"/>
      <x:c r="C458" s="16" t="str">
        <x:f>IF(AND(ISNUMBER(B458),ISNUMBER(B457),B458&gt;0,B457&gt;0),LN(B458/B457),"")</x:f>
      </x:c>
      <x:c r="D458" s="16" t="str">
        <x:f>IF(ISNUMBER(C458),ABS(C458),"")</x:f>
      </x:c>
      <x:c r="E458" s="16" t="str">
        <x:f>IF(ISNUMBER(C458),C458^2,"")</x:f>
      </x:c>
      <x:c r="F458" s="16" t="str">
        <x:f>IF(AND(ISNUMBER(C458),ISNUMBER($J$6),$J$6&gt;0),(C458-$J$5)/$J$6,"")</x:f>
      </x:c>
      <x:c r="G458" s="1" t="str">
        <x:f>IF(ISNUMBER(F458),IF(ABS(F458)&gt;3,1,0),"")</x:f>
      </x:c>
      <x:c r="H458" s="1" t="str">
        <x:f>IF(ISNUMBER(F458),F458^4,"")</x:f>
      </x:c>
      <x:c r="I458" s="1"/>
      <x:c r="J458" s="1"/>
      <x:c r="K458" s="1"/>
      <x:c r="L458" s="1"/>
      <x:c r="M458" s="1"/>
      <x:c r="N458" s="1"/>
    </x:row>
    <x:row r="459" ht="22" customHeight="1">
      <x:c r="A459" s="14"/>
      <x:c r="B459" s="15"/>
      <x:c r="C459" s="16" t="str">
        <x:f>IF(AND(ISNUMBER(B459),ISNUMBER(B458),B459&gt;0,B458&gt;0),LN(B459/B458),"")</x:f>
      </x:c>
      <x:c r="D459" s="16" t="str">
        <x:f>IF(ISNUMBER(C459),ABS(C459),"")</x:f>
      </x:c>
      <x:c r="E459" s="16" t="str">
        <x:f>IF(ISNUMBER(C459),C459^2,"")</x:f>
      </x:c>
      <x:c r="F459" s="16" t="str">
        <x:f>IF(AND(ISNUMBER(C459),ISNUMBER($J$6),$J$6&gt;0),(C459-$J$5)/$J$6,"")</x:f>
      </x:c>
      <x:c r="G459" s="1" t="str">
        <x:f>IF(ISNUMBER(F459),IF(ABS(F459)&gt;3,1,0),"")</x:f>
      </x:c>
      <x:c r="H459" s="1" t="str">
        <x:f>IF(ISNUMBER(F459),F459^4,"")</x:f>
      </x:c>
      <x:c r="I459" s="1"/>
      <x:c r="J459" s="1"/>
      <x:c r="K459" s="1"/>
      <x:c r="L459" s="1"/>
      <x:c r="M459" s="1"/>
      <x:c r="N459" s="1"/>
    </x:row>
    <x:row r="460" ht="22" customHeight="1">
      <x:c r="A460" s="14"/>
      <x:c r="B460" s="15"/>
      <x:c r="C460" s="16" t="str">
        <x:f>IF(AND(ISNUMBER(B460),ISNUMBER(B459),B460&gt;0,B459&gt;0),LN(B460/B459),"")</x:f>
      </x:c>
      <x:c r="D460" s="16" t="str">
        <x:f>IF(ISNUMBER(C460),ABS(C460),"")</x:f>
      </x:c>
      <x:c r="E460" s="16" t="str">
        <x:f>IF(ISNUMBER(C460),C460^2,"")</x:f>
      </x:c>
      <x:c r="F460" s="16" t="str">
        <x:f>IF(AND(ISNUMBER(C460),ISNUMBER($J$6),$J$6&gt;0),(C460-$J$5)/$J$6,"")</x:f>
      </x:c>
      <x:c r="G460" s="1" t="str">
        <x:f>IF(ISNUMBER(F460),IF(ABS(F460)&gt;3,1,0),"")</x:f>
      </x:c>
      <x:c r="H460" s="1" t="str">
        <x:f>IF(ISNUMBER(F460),F460^4,"")</x:f>
      </x:c>
      <x:c r="I460" s="1"/>
      <x:c r="J460" s="1"/>
      <x:c r="K460" s="1"/>
      <x:c r="L460" s="1"/>
      <x:c r="M460" s="1"/>
      <x:c r="N460" s="1"/>
    </x:row>
    <x:row r="461" ht="22" customHeight="1">
      <x:c r="A461" s="14"/>
      <x:c r="B461" s="15"/>
      <x:c r="C461" s="16" t="str">
        <x:f>IF(AND(ISNUMBER(B461),ISNUMBER(B460),B461&gt;0,B460&gt;0),LN(B461/B460),"")</x:f>
      </x:c>
      <x:c r="D461" s="16" t="str">
        <x:f>IF(ISNUMBER(C461),ABS(C461),"")</x:f>
      </x:c>
      <x:c r="E461" s="16" t="str">
        <x:f>IF(ISNUMBER(C461),C461^2,"")</x:f>
      </x:c>
      <x:c r="F461" s="16" t="str">
        <x:f>IF(AND(ISNUMBER(C461),ISNUMBER($J$6),$J$6&gt;0),(C461-$J$5)/$J$6,"")</x:f>
      </x:c>
      <x:c r="G461" s="1" t="str">
        <x:f>IF(ISNUMBER(F461),IF(ABS(F461)&gt;3,1,0),"")</x:f>
      </x:c>
      <x:c r="H461" s="1" t="str">
        <x:f>IF(ISNUMBER(F461),F461^4,"")</x:f>
      </x:c>
      <x:c r="I461" s="1"/>
      <x:c r="J461" s="1"/>
      <x:c r="K461" s="1"/>
      <x:c r="L461" s="1"/>
      <x:c r="M461" s="1"/>
      <x:c r="N461" s="1"/>
    </x:row>
    <x:row r="462" ht="22" customHeight="1">
      <x:c r="A462" s="14"/>
      <x:c r="B462" s="15"/>
      <x:c r="C462" s="16" t="str">
        <x:f>IF(AND(ISNUMBER(B462),ISNUMBER(B461),B462&gt;0,B461&gt;0),LN(B462/B461),"")</x:f>
      </x:c>
      <x:c r="D462" s="16" t="str">
        <x:f>IF(ISNUMBER(C462),ABS(C462),"")</x:f>
      </x:c>
      <x:c r="E462" s="16" t="str">
        <x:f>IF(ISNUMBER(C462),C462^2,"")</x:f>
      </x:c>
      <x:c r="F462" s="16" t="str">
        <x:f>IF(AND(ISNUMBER(C462),ISNUMBER($J$6),$J$6&gt;0),(C462-$J$5)/$J$6,"")</x:f>
      </x:c>
      <x:c r="G462" s="1" t="str">
        <x:f>IF(ISNUMBER(F462),IF(ABS(F462)&gt;3,1,0),"")</x:f>
      </x:c>
      <x:c r="H462" s="1" t="str">
        <x:f>IF(ISNUMBER(F462),F462^4,"")</x:f>
      </x:c>
      <x:c r="I462" s="1"/>
      <x:c r="J462" s="1"/>
      <x:c r="K462" s="1"/>
      <x:c r="L462" s="1"/>
      <x:c r="M462" s="1"/>
      <x:c r="N462" s="1"/>
    </x:row>
    <x:row r="463" ht="22" customHeight="1">
      <x:c r="A463" s="14"/>
      <x:c r="B463" s="15"/>
      <x:c r="C463" s="16" t="str">
        <x:f>IF(AND(ISNUMBER(B463),ISNUMBER(B462),B463&gt;0,B462&gt;0),LN(B463/B462),"")</x:f>
      </x:c>
      <x:c r="D463" s="16" t="str">
        <x:f>IF(ISNUMBER(C463),ABS(C463),"")</x:f>
      </x:c>
      <x:c r="E463" s="16" t="str">
        <x:f>IF(ISNUMBER(C463),C463^2,"")</x:f>
      </x:c>
      <x:c r="F463" s="16" t="str">
        <x:f>IF(AND(ISNUMBER(C463),ISNUMBER($J$6),$J$6&gt;0),(C463-$J$5)/$J$6,"")</x:f>
      </x:c>
      <x:c r="G463" s="1" t="str">
        <x:f>IF(ISNUMBER(F463),IF(ABS(F463)&gt;3,1,0),"")</x:f>
      </x:c>
      <x:c r="H463" s="1" t="str">
        <x:f>IF(ISNUMBER(F463),F463^4,"")</x:f>
      </x:c>
      <x:c r="I463" s="1"/>
      <x:c r="J463" s="1"/>
      <x:c r="K463" s="1"/>
      <x:c r="L463" s="1"/>
      <x:c r="M463" s="1"/>
      <x:c r="N463" s="1"/>
    </x:row>
    <x:row r="464" ht="22" customHeight="1">
      <x:c r="A464" s="14"/>
      <x:c r="B464" s="15"/>
      <x:c r="C464" s="16" t="str">
        <x:f>IF(AND(ISNUMBER(B464),ISNUMBER(B463),B464&gt;0,B463&gt;0),LN(B464/B463),"")</x:f>
      </x:c>
      <x:c r="D464" s="16" t="str">
        <x:f>IF(ISNUMBER(C464),ABS(C464),"")</x:f>
      </x:c>
      <x:c r="E464" s="16" t="str">
        <x:f>IF(ISNUMBER(C464),C464^2,"")</x:f>
      </x:c>
      <x:c r="F464" s="16" t="str">
        <x:f>IF(AND(ISNUMBER(C464),ISNUMBER($J$6),$J$6&gt;0),(C464-$J$5)/$J$6,"")</x:f>
      </x:c>
      <x:c r="G464" s="1" t="str">
        <x:f>IF(ISNUMBER(F464),IF(ABS(F464)&gt;3,1,0),"")</x:f>
      </x:c>
      <x:c r="H464" s="1" t="str">
        <x:f>IF(ISNUMBER(F464),F464^4,"")</x:f>
      </x:c>
      <x:c r="I464" s="1"/>
      <x:c r="J464" s="1"/>
      <x:c r="K464" s="1"/>
      <x:c r="L464" s="1"/>
      <x:c r="M464" s="1"/>
      <x:c r="N464" s="1"/>
    </x:row>
    <x:row r="465" ht="22" customHeight="1">
      <x:c r="A465" s="14"/>
      <x:c r="B465" s="15"/>
      <x:c r="C465" s="16" t="str">
        <x:f>IF(AND(ISNUMBER(B465),ISNUMBER(B464),B465&gt;0,B464&gt;0),LN(B465/B464),"")</x:f>
      </x:c>
      <x:c r="D465" s="16" t="str">
        <x:f>IF(ISNUMBER(C465),ABS(C465),"")</x:f>
      </x:c>
      <x:c r="E465" s="16" t="str">
        <x:f>IF(ISNUMBER(C465),C465^2,"")</x:f>
      </x:c>
      <x:c r="F465" s="16" t="str">
        <x:f>IF(AND(ISNUMBER(C465),ISNUMBER($J$6),$J$6&gt;0),(C465-$J$5)/$J$6,"")</x:f>
      </x:c>
      <x:c r="G465" s="1" t="str">
        <x:f>IF(ISNUMBER(F465),IF(ABS(F465)&gt;3,1,0),"")</x:f>
      </x:c>
      <x:c r="H465" s="1" t="str">
        <x:f>IF(ISNUMBER(F465),F465^4,"")</x:f>
      </x:c>
      <x:c r="I465" s="1"/>
      <x:c r="J465" s="1"/>
      <x:c r="K465" s="1"/>
      <x:c r="L465" s="1"/>
      <x:c r="M465" s="1"/>
      <x:c r="N465" s="1"/>
    </x:row>
    <x:row r="466" ht="22" customHeight="1">
      <x:c r="A466" s="14"/>
      <x:c r="B466" s="15"/>
      <x:c r="C466" s="16" t="str">
        <x:f>IF(AND(ISNUMBER(B466),ISNUMBER(B465),B466&gt;0,B465&gt;0),LN(B466/B465),"")</x:f>
      </x:c>
      <x:c r="D466" s="16" t="str">
        <x:f>IF(ISNUMBER(C466),ABS(C466),"")</x:f>
      </x:c>
      <x:c r="E466" s="16" t="str">
        <x:f>IF(ISNUMBER(C466),C466^2,"")</x:f>
      </x:c>
      <x:c r="F466" s="16" t="str">
        <x:f>IF(AND(ISNUMBER(C466),ISNUMBER($J$6),$J$6&gt;0),(C466-$J$5)/$J$6,"")</x:f>
      </x:c>
      <x:c r="G466" s="1" t="str">
        <x:f>IF(ISNUMBER(F466),IF(ABS(F466)&gt;3,1,0),"")</x:f>
      </x:c>
      <x:c r="H466" s="1" t="str">
        <x:f>IF(ISNUMBER(F466),F466^4,"")</x:f>
      </x:c>
      <x:c r="I466" s="1"/>
      <x:c r="J466" s="1"/>
      <x:c r="K466" s="1"/>
      <x:c r="L466" s="1"/>
      <x:c r="M466" s="1"/>
      <x:c r="N466" s="1"/>
    </x:row>
    <x:row r="467" ht="22" customHeight="1">
      <x:c r="A467" s="14"/>
      <x:c r="B467" s="15"/>
      <x:c r="C467" s="16" t="str">
        <x:f>IF(AND(ISNUMBER(B467),ISNUMBER(B466),B467&gt;0,B466&gt;0),LN(B467/B466),"")</x:f>
      </x:c>
      <x:c r="D467" s="16" t="str">
        <x:f>IF(ISNUMBER(C467),ABS(C467),"")</x:f>
      </x:c>
      <x:c r="E467" s="16" t="str">
        <x:f>IF(ISNUMBER(C467),C467^2,"")</x:f>
      </x:c>
      <x:c r="F467" s="16" t="str">
        <x:f>IF(AND(ISNUMBER(C467),ISNUMBER($J$6),$J$6&gt;0),(C467-$J$5)/$J$6,"")</x:f>
      </x:c>
      <x:c r="G467" s="1" t="str">
        <x:f>IF(ISNUMBER(F467),IF(ABS(F467)&gt;3,1,0),"")</x:f>
      </x:c>
      <x:c r="H467" s="1" t="str">
        <x:f>IF(ISNUMBER(F467),F467^4,"")</x:f>
      </x:c>
      <x:c r="I467" s="1"/>
      <x:c r="J467" s="1"/>
      <x:c r="K467" s="1"/>
      <x:c r="L467" s="1"/>
      <x:c r="M467" s="1"/>
      <x:c r="N467" s="1"/>
    </x:row>
    <x:row r="468" ht="22" customHeight="1">
      <x:c r="A468" s="14"/>
      <x:c r="B468" s="15"/>
      <x:c r="C468" s="16" t="str">
        <x:f>IF(AND(ISNUMBER(B468),ISNUMBER(B467),B468&gt;0,B467&gt;0),LN(B468/B467),"")</x:f>
      </x:c>
      <x:c r="D468" s="16" t="str">
        <x:f>IF(ISNUMBER(C468),ABS(C468),"")</x:f>
      </x:c>
      <x:c r="E468" s="16" t="str">
        <x:f>IF(ISNUMBER(C468),C468^2,"")</x:f>
      </x:c>
      <x:c r="F468" s="16" t="str">
        <x:f>IF(AND(ISNUMBER(C468),ISNUMBER($J$6),$J$6&gt;0),(C468-$J$5)/$J$6,"")</x:f>
      </x:c>
      <x:c r="G468" s="1" t="str">
        <x:f>IF(ISNUMBER(F468),IF(ABS(F468)&gt;3,1,0),"")</x:f>
      </x:c>
      <x:c r="H468" s="1" t="str">
        <x:f>IF(ISNUMBER(F468),F468^4,"")</x:f>
      </x:c>
      <x:c r="I468" s="1"/>
      <x:c r="J468" s="1"/>
      <x:c r="K468" s="1"/>
      <x:c r="L468" s="1"/>
      <x:c r="M468" s="1"/>
      <x:c r="N468" s="1"/>
    </x:row>
    <x:row r="469" ht="22" customHeight="1">
      <x:c r="A469" s="14"/>
      <x:c r="B469" s="15"/>
      <x:c r="C469" s="16" t="str">
        <x:f>IF(AND(ISNUMBER(B469),ISNUMBER(B468),B469&gt;0,B468&gt;0),LN(B469/B468),"")</x:f>
      </x:c>
      <x:c r="D469" s="16" t="str">
        <x:f>IF(ISNUMBER(C469),ABS(C469),"")</x:f>
      </x:c>
      <x:c r="E469" s="16" t="str">
        <x:f>IF(ISNUMBER(C469),C469^2,"")</x:f>
      </x:c>
      <x:c r="F469" s="16" t="str">
        <x:f>IF(AND(ISNUMBER(C469),ISNUMBER($J$6),$J$6&gt;0),(C469-$J$5)/$J$6,"")</x:f>
      </x:c>
      <x:c r="G469" s="1" t="str">
        <x:f>IF(ISNUMBER(F469),IF(ABS(F469)&gt;3,1,0),"")</x:f>
      </x:c>
      <x:c r="H469" s="1" t="str">
        <x:f>IF(ISNUMBER(F469),F469^4,"")</x:f>
      </x:c>
      <x:c r="I469" s="1"/>
      <x:c r="J469" s="1"/>
      <x:c r="K469" s="1"/>
      <x:c r="L469" s="1"/>
      <x:c r="M469" s="1"/>
      <x:c r="N469" s="1"/>
    </x:row>
    <x:row r="470" ht="22" customHeight="1">
      <x:c r="A470" s="14"/>
      <x:c r="B470" s="15"/>
      <x:c r="C470" s="16" t="str">
        <x:f>IF(AND(ISNUMBER(B470),ISNUMBER(B469),B470&gt;0,B469&gt;0),LN(B470/B469),"")</x:f>
      </x:c>
      <x:c r="D470" s="16" t="str">
        <x:f>IF(ISNUMBER(C470),ABS(C470),"")</x:f>
      </x:c>
      <x:c r="E470" s="16" t="str">
        <x:f>IF(ISNUMBER(C470),C470^2,"")</x:f>
      </x:c>
      <x:c r="F470" s="16" t="str">
        <x:f>IF(AND(ISNUMBER(C470),ISNUMBER($J$6),$J$6&gt;0),(C470-$J$5)/$J$6,"")</x:f>
      </x:c>
      <x:c r="G470" s="1" t="str">
        <x:f>IF(ISNUMBER(F470),IF(ABS(F470)&gt;3,1,0),"")</x:f>
      </x:c>
      <x:c r="H470" s="1" t="str">
        <x:f>IF(ISNUMBER(F470),F470^4,"")</x:f>
      </x:c>
      <x:c r="I470" s="1"/>
      <x:c r="J470" s="1"/>
      <x:c r="K470" s="1"/>
      <x:c r="L470" s="1"/>
      <x:c r="M470" s="1"/>
      <x:c r="N470" s="1"/>
    </x:row>
    <x:row r="471" ht="22" customHeight="1">
      <x:c r="A471" s="14"/>
      <x:c r="B471" s="15"/>
      <x:c r="C471" s="16" t="str">
        <x:f>IF(AND(ISNUMBER(B471),ISNUMBER(B470),B471&gt;0,B470&gt;0),LN(B471/B470),"")</x:f>
      </x:c>
      <x:c r="D471" s="16" t="str">
        <x:f>IF(ISNUMBER(C471),ABS(C471),"")</x:f>
      </x:c>
      <x:c r="E471" s="16" t="str">
        <x:f>IF(ISNUMBER(C471),C471^2,"")</x:f>
      </x:c>
      <x:c r="F471" s="16" t="str">
        <x:f>IF(AND(ISNUMBER(C471),ISNUMBER($J$6),$J$6&gt;0),(C471-$J$5)/$J$6,"")</x:f>
      </x:c>
      <x:c r="G471" s="1" t="str">
        <x:f>IF(ISNUMBER(F471),IF(ABS(F471)&gt;3,1,0),"")</x:f>
      </x:c>
      <x:c r="H471" s="1" t="str">
        <x:f>IF(ISNUMBER(F471),F471^4,"")</x:f>
      </x:c>
      <x:c r="I471" s="1"/>
      <x:c r="J471" s="1"/>
      <x:c r="K471" s="1"/>
      <x:c r="L471" s="1"/>
      <x:c r="M471" s="1"/>
      <x:c r="N471" s="1"/>
    </x:row>
    <x:row r="472" ht="22" customHeight="1">
      <x:c r="A472" s="14"/>
      <x:c r="B472" s="15"/>
      <x:c r="C472" s="16" t="str">
        <x:f>IF(AND(ISNUMBER(B472),ISNUMBER(B471),B472&gt;0,B471&gt;0),LN(B472/B471),"")</x:f>
      </x:c>
      <x:c r="D472" s="16" t="str">
        <x:f>IF(ISNUMBER(C472),ABS(C472),"")</x:f>
      </x:c>
      <x:c r="E472" s="16" t="str">
        <x:f>IF(ISNUMBER(C472),C472^2,"")</x:f>
      </x:c>
      <x:c r="F472" s="16" t="str">
        <x:f>IF(AND(ISNUMBER(C472),ISNUMBER($J$6),$J$6&gt;0),(C472-$J$5)/$J$6,"")</x:f>
      </x:c>
      <x:c r="G472" s="1" t="str">
        <x:f>IF(ISNUMBER(F472),IF(ABS(F472)&gt;3,1,0),"")</x:f>
      </x:c>
      <x:c r="H472" s="1" t="str">
        <x:f>IF(ISNUMBER(F472),F472^4,"")</x:f>
      </x:c>
      <x:c r="I472" s="1"/>
      <x:c r="J472" s="1"/>
      <x:c r="K472" s="1"/>
      <x:c r="L472" s="1"/>
      <x:c r="M472" s="1"/>
      <x:c r="N472" s="1"/>
    </x:row>
    <x:row r="473" ht="22" customHeight="1">
      <x:c r="A473" s="14"/>
      <x:c r="B473" s="15"/>
      <x:c r="C473" s="16" t="str">
        <x:f>IF(AND(ISNUMBER(B473),ISNUMBER(B472),B473&gt;0,B472&gt;0),LN(B473/B472),"")</x:f>
      </x:c>
      <x:c r="D473" s="16" t="str">
        <x:f>IF(ISNUMBER(C473),ABS(C473),"")</x:f>
      </x:c>
      <x:c r="E473" s="16" t="str">
        <x:f>IF(ISNUMBER(C473),C473^2,"")</x:f>
      </x:c>
      <x:c r="F473" s="16" t="str">
        <x:f>IF(AND(ISNUMBER(C473),ISNUMBER($J$6),$J$6&gt;0),(C473-$J$5)/$J$6,"")</x:f>
      </x:c>
      <x:c r="G473" s="1" t="str">
        <x:f>IF(ISNUMBER(F473),IF(ABS(F473)&gt;3,1,0),"")</x:f>
      </x:c>
      <x:c r="H473" s="1" t="str">
        <x:f>IF(ISNUMBER(F473),F473^4,"")</x:f>
      </x:c>
      <x:c r="I473" s="1"/>
      <x:c r="J473" s="1"/>
      <x:c r="K473" s="1"/>
      <x:c r="L473" s="1"/>
      <x:c r="M473" s="1"/>
      <x:c r="N473" s="1"/>
    </x:row>
    <x:row r="474" ht="22" customHeight="1">
      <x:c r="A474" s="14"/>
      <x:c r="B474" s="15"/>
      <x:c r="C474" s="16" t="str">
        <x:f>IF(AND(ISNUMBER(B474),ISNUMBER(B473),B474&gt;0,B473&gt;0),LN(B474/B473),"")</x:f>
      </x:c>
      <x:c r="D474" s="16" t="str">
        <x:f>IF(ISNUMBER(C474),ABS(C474),"")</x:f>
      </x:c>
      <x:c r="E474" s="16" t="str">
        <x:f>IF(ISNUMBER(C474),C474^2,"")</x:f>
      </x:c>
      <x:c r="F474" s="16" t="str">
        <x:f>IF(AND(ISNUMBER(C474),ISNUMBER($J$6),$J$6&gt;0),(C474-$J$5)/$J$6,"")</x:f>
      </x:c>
      <x:c r="G474" s="1" t="str">
        <x:f>IF(ISNUMBER(F474),IF(ABS(F474)&gt;3,1,0),"")</x:f>
      </x:c>
      <x:c r="H474" s="1" t="str">
        <x:f>IF(ISNUMBER(F474),F474^4,"")</x:f>
      </x:c>
      <x:c r="I474" s="1"/>
      <x:c r="J474" s="1"/>
      <x:c r="K474" s="1"/>
      <x:c r="L474" s="1"/>
      <x:c r="M474" s="1"/>
      <x:c r="N474" s="1"/>
    </x:row>
    <x:row r="475" ht="22" customHeight="1">
      <x:c r="A475" s="14"/>
      <x:c r="B475" s="15"/>
      <x:c r="C475" s="16" t="str">
        <x:f>IF(AND(ISNUMBER(B475),ISNUMBER(B474),B475&gt;0,B474&gt;0),LN(B475/B474),"")</x:f>
      </x:c>
      <x:c r="D475" s="16" t="str">
        <x:f>IF(ISNUMBER(C475),ABS(C475),"")</x:f>
      </x:c>
      <x:c r="E475" s="16" t="str">
        <x:f>IF(ISNUMBER(C475),C475^2,"")</x:f>
      </x:c>
      <x:c r="F475" s="16" t="str">
        <x:f>IF(AND(ISNUMBER(C475),ISNUMBER($J$6),$J$6&gt;0),(C475-$J$5)/$J$6,"")</x:f>
      </x:c>
      <x:c r="G475" s="1" t="str">
        <x:f>IF(ISNUMBER(F475),IF(ABS(F475)&gt;3,1,0),"")</x:f>
      </x:c>
      <x:c r="H475" s="1" t="str">
        <x:f>IF(ISNUMBER(F475),F475^4,"")</x:f>
      </x:c>
      <x:c r="I475" s="1"/>
      <x:c r="J475" s="1"/>
      <x:c r="K475" s="1"/>
      <x:c r="L475" s="1"/>
      <x:c r="M475" s="1"/>
      <x:c r="N475" s="1"/>
    </x:row>
    <x:row r="476" ht="22" customHeight="1">
      <x:c r="A476" s="14"/>
      <x:c r="B476" s="15"/>
      <x:c r="C476" s="16" t="str">
        <x:f>IF(AND(ISNUMBER(B476),ISNUMBER(B475),B476&gt;0,B475&gt;0),LN(B476/B475),"")</x:f>
      </x:c>
      <x:c r="D476" s="16" t="str">
        <x:f>IF(ISNUMBER(C476),ABS(C476),"")</x:f>
      </x:c>
      <x:c r="E476" s="16" t="str">
        <x:f>IF(ISNUMBER(C476),C476^2,"")</x:f>
      </x:c>
      <x:c r="F476" s="16" t="str">
        <x:f>IF(AND(ISNUMBER(C476),ISNUMBER($J$6),$J$6&gt;0),(C476-$J$5)/$J$6,"")</x:f>
      </x:c>
      <x:c r="G476" s="1" t="str">
        <x:f>IF(ISNUMBER(F476),IF(ABS(F476)&gt;3,1,0),"")</x:f>
      </x:c>
      <x:c r="H476" s="1" t="str">
        <x:f>IF(ISNUMBER(F476),F476^4,"")</x:f>
      </x:c>
      <x:c r="I476" s="1"/>
      <x:c r="J476" s="1"/>
      <x:c r="K476" s="1"/>
      <x:c r="L476" s="1"/>
      <x:c r="M476" s="1"/>
      <x:c r="N476" s="1"/>
    </x:row>
    <x:row r="477" ht="22" customHeight="1">
      <x:c r="A477" s="14"/>
      <x:c r="B477" s="15"/>
      <x:c r="C477" s="16" t="str">
        <x:f>IF(AND(ISNUMBER(B477),ISNUMBER(B476),B477&gt;0,B476&gt;0),LN(B477/B476),"")</x:f>
      </x:c>
      <x:c r="D477" s="16" t="str">
        <x:f>IF(ISNUMBER(C477),ABS(C477),"")</x:f>
      </x:c>
      <x:c r="E477" s="16" t="str">
        <x:f>IF(ISNUMBER(C477),C477^2,"")</x:f>
      </x:c>
      <x:c r="F477" s="16" t="str">
        <x:f>IF(AND(ISNUMBER(C477),ISNUMBER($J$6),$J$6&gt;0),(C477-$J$5)/$J$6,"")</x:f>
      </x:c>
      <x:c r="G477" s="1" t="str">
        <x:f>IF(ISNUMBER(F477),IF(ABS(F477)&gt;3,1,0),"")</x:f>
      </x:c>
      <x:c r="H477" s="1" t="str">
        <x:f>IF(ISNUMBER(F477),F477^4,"")</x:f>
      </x:c>
      <x:c r="I477" s="1"/>
      <x:c r="J477" s="1"/>
      <x:c r="K477" s="1"/>
      <x:c r="L477" s="1"/>
      <x:c r="M477" s="1"/>
      <x:c r="N477" s="1"/>
    </x:row>
    <x:row r="478" ht="22" customHeight="1">
      <x:c r="A478" s="14"/>
      <x:c r="B478" s="15"/>
      <x:c r="C478" s="16" t="str">
        <x:f>IF(AND(ISNUMBER(B478),ISNUMBER(B477),B478&gt;0,B477&gt;0),LN(B478/B477),"")</x:f>
      </x:c>
      <x:c r="D478" s="16" t="str">
        <x:f>IF(ISNUMBER(C478),ABS(C478),"")</x:f>
      </x:c>
      <x:c r="E478" s="16" t="str">
        <x:f>IF(ISNUMBER(C478),C478^2,"")</x:f>
      </x:c>
      <x:c r="F478" s="16" t="str">
        <x:f>IF(AND(ISNUMBER(C478),ISNUMBER($J$6),$J$6&gt;0),(C478-$J$5)/$J$6,"")</x:f>
      </x:c>
      <x:c r="G478" s="1" t="str">
        <x:f>IF(ISNUMBER(F478),IF(ABS(F478)&gt;3,1,0),"")</x:f>
      </x:c>
      <x:c r="H478" s="1" t="str">
        <x:f>IF(ISNUMBER(F478),F478^4,"")</x:f>
      </x:c>
      <x:c r="I478" s="1"/>
      <x:c r="J478" s="1"/>
      <x:c r="K478" s="1"/>
      <x:c r="L478" s="1"/>
      <x:c r="M478" s="1"/>
      <x:c r="N478" s="1"/>
    </x:row>
    <x:row r="479" ht="22" customHeight="1">
      <x:c r="A479" s="14"/>
      <x:c r="B479" s="15"/>
      <x:c r="C479" s="16" t="str">
        <x:f>IF(AND(ISNUMBER(B479),ISNUMBER(B478),B479&gt;0,B478&gt;0),LN(B479/B478),"")</x:f>
      </x:c>
      <x:c r="D479" s="16" t="str">
        <x:f>IF(ISNUMBER(C479),ABS(C479),"")</x:f>
      </x:c>
      <x:c r="E479" s="16" t="str">
        <x:f>IF(ISNUMBER(C479),C479^2,"")</x:f>
      </x:c>
      <x:c r="F479" s="16" t="str">
        <x:f>IF(AND(ISNUMBER(C479),ISNUMBER($J$6),$J$6&gt;0),(C479-$J$5)/$J$6,"")</x:f>
      </x:c>
      <x:c r="G479" s="1" t="str">
        <x:f>IF(ISNUMBER(F479),IF(ABS(F479)&gt;3,1,0),"")</x:f>
      </x:c>
      <x:c r="H479" s="1" t="str">
        <x:f>IF(ISNUMBER(F479),F479^4,"")</x:f>
      </x:c>
      <x:c r="I479" s="1"/>
      <x:c r="J479" s="1"/>
      <x:c r="K479" s="1"/>
      <x:c r="L479" s="1"/>
      <x:c r="M479" s="1"/>
      <x:c r="N479" s="1"/>
    </x:row>
    <x:row r="480" ht="22" customHeight="1">
      <x:c r="A480" s="14"/>
      <x:c r="B480" s="15"/>
      <x:c r="C480" s="16" t="str">
        <x:f>IF(AND(ISNUMBER(B480),ISNUMBER(B479),B480&gt;0,B479&gt;0),LN(B480/B479),"")</x:f>
      </x:c>
      <x:c r="D480" s="16" t="str">
        <x:f>IF(ISNUMBER(C480),ABS(C480),"")</x:f>
      </x:c>
      <x:c r="E480" s="16" t="str">
        <x:f>IF(ISNUMBER(C480),C480^2,"")</x:f>
      </x:c>
      <x:c r="F480" s="16" t="str">
        <x:f>IF(AND(ISNUMBER(C480),ISNUMBER($J$6),$J$6&gt;0),(C480-$J$5)/$J$6,"")</x:f>
      </x:c>
      <x:c r="G480" s="1" t="str">
        <x:f>IF(ISNUMBER(F480),IF(ABS(F480)&gt;3,1,0),"")</x:f>
      </x:c>
      <x:c r="H480" s="1" t="str">
        <x:f>IF(ISNUMBER(F480),F480^4,"")</x:f>
      </x:c>
      <x:c r="I480" s="1"/>
      <x:c r="J480" s="1"/>
      <x:c r="K480" s="1"/>
      <x:c r="L480" s="1"/>
      <x:c r="M480" s="1"/>
      <x:c r="N480" s="1"/>
    </x:row>
    <x:row r="481" ht="22" customHeight="1">
      <x:c r="A481" s="14"/>
      <x:c r="B481" s="15"/>
      <x:c r="C481" s="16" t="str">
        <x:f>IF(AND(ISNUMBER(B481),ISNUMBER(B480),B481&gt;0,B480&gt;0),LN(B481/B480),"")</x:f>
      </x:c>
      <x:c r="D481" s="16" t="str">
        <x:f>IF(ISNUMBER(C481),ABS(C481),"")</x:f>
      </x:c>
      <x:c r="E481" s="16" t="str">
        <x:f>IF(ISNUMBER(C481),C481^2,"")</x:f>
      </x:c>
      <x:c r="F481" s="16" t="str">
        <x:f>IF(AND(ISNUMBER(C481),ISNUMBER($J$6),$J$6&gt;0),(C481-$J$5)/$J$6,"")</x:f>
      </x:c>
      <x:c r="G481" s="1" t="str">
        <x:f>IF(ISNUMBER(F481),IF(ABS(F481)&gt;3,1,0),"")</x:f>
      </x:c>
      <x:c r="H481" s="1" t="str">
        <x:f>IF(ISNUMBER(F481),F481^4,"")</x:f>
      </x:c>
      <x:c r="I481" s="1"/>
      <x:c r="J481" s="1"/>
      <x:c r="K481" s="1"/>
      <x:c r="L481" s="1"/>
      <x:c r="M481" s="1"/>
      <x:c r="N481" s="1"/>
    </x:row>
    <x:row r="482" ht="22" customHeight="1">
      <x:c r="A482" s="14"/>
      <x:c r="B482" s="15"/>
      <x:c r="C482" s="16" t="str">
        <x:f>IF(AND(ISNUMBER(B482),ISNUMBER(B481),B482&gt;0,B481&gt;0),LN(B482/B481),"")</x:f>
      </x:c>
      <x:c r="D482" s="16" t="str">
        <x:f>IF(ISNUMBER(C482),ABS(C482),"")</x:f>
      </x:c>
      <x:c r="E482" s="16" t="str">
        <x:f>IF(ISNUMBER(C482),C482^2,"")</x:f>
      </x:c>
      <x:c r="F482" s="16" t="str">
        <x:f>IF(AND(ISNUMBER(C482),ISNUMBER($J$6),$J$6&gt;0),(C482-$J$5)/$J$6,"")</x:f>
      </x:c>
      <x:c r="G482" s="1" t="str">
        <x:f>IF(ISNUMBER(F482),IF(ABS(F482)&gt;3,1,0),"")</x:f>
      </x:c>
      <x:c r="H482" s="1" t="str">
        <x:f>IF(ISNUMBER(F482),F482^4,"")</x:f>
      </x:c>
      <x:c r="I482" s="1"/>
      <x:c r="J482" s="1"/>
      <x:c r="K482" s="1"/>
      <x:c r="L482" s="1"/>
      <x:c r="M482" s="1"/>
      <x:c r="N482" s="1"/>
    </x:row>
    <x:row r="483" ht="22" customHeight="1">
      <x:c r="A483" s="14"/>
      <x:c r="B483" s="15"/>
      <x:c r="C483" s="16" t="str">
        <x:f>IF(AND(ISNUMBER(B483),ISNUMBER(B482),B483&gt;0,B482&gt;0),LN(B483/B482),"")</x:f>
      </x:c>
      <x:c r="D483" s="16" t="str">
        <x:f>IF(ISNUMBER(C483),ABS(C483),"")</x:f>
      </x:c>
      <x:c r="E483" s="16" t="str">
        <x:f>IF(ISNUMBER(C483),C483^2,"")</x:f>
      </x:c>
      <x:c r="F483" s="16" t="str">
        <x:f>IF(AND(ISNUMBER(C483),ISNUMBER($J$6),$J$6&gt;0),(C483-$J$5)/$J$6,"")</x:f>
      </x:c>
      <x:c r="G483" s="1" t="str">
        <x:f>IF(ISNUMBER(F483),IF(ABS(F483)&gt;3,1,0),"")</x:f>
      </x:c>
      <x:c r="H483" s="1" t="str">
        <x:f>IF(ISNUMBER(F483),F483^4,"")</x:f>
      </x:c>
      <x:c r="I483" s="1"/>
      <x:c r="J483" s="1"/>
      <x:c r="K483" s="1"/>
      <x:c r="L483" s="1"/>
      <x:c r="M483" s="1"/>
      <x:c r="N483" s="1"/>
    </x:row>
    <x:row r="484" ht="22" customHeight="1">
      <x:c r="A484" s="14"/>
      <x:c r="B484" s="15"/>
      <x:c r="C484" s="16" t="str">
        <x:f>IF(AND(ISNUMBER(B484),ISNUMBER(B483),B484&gt;0,B483&gt;0),LN(B484/B483),"")</x:f>
      </x:c>
      <x:c r="D484" s="16" t="str">
        <x:f>IF(ISNUMBER(C484),ABS(C484),"")</x:f>
      </x:c>
      <x:c r="E484" s="16" t="str">
        <x:f>IF(ISNUMBER(C484),C484^2,"")</x:f>
      </x:c>
      <x:c r="F484" s="16" t="str">
        <x:f>IF(AND(ISNUMBER(C484),ISNUMBER($J$6),$J$6&gt;0),(C484-$J$5)/$J$6,"")</x:f>
      </x:c>
      <x:c r="G484" s="1" t="str">
        <x:f>IF(ISNUMBER(F484),IF(ABS(F484)&gt;3,1,0),"")</x:f>
      </x:c>
      <x:c r="H484" s="1" t="str">
        <x:f>IF(ISNUMBER(F484),F484^4,"")</x:f>
      </x:c>
      <x:c r="I484" s="1"/>
      <x:c r="J484" s="1"/>
      <x:c r="K484" s="1"/>
      <x:c r="L484" s="1"/>
      <x:c r="M484" s="1"/>
      <x:c r="N484" s="1"/>
    </x:row>
    <x:row r="485" ht="22" customHeight="1">
      <x:c r="A485" s="14"/>
      <x:c r="B485" s="15"/>
      <x:c r="C485" s="16" t="str">
        <x:f>IF(AND(ISNUMBER(B485),ISNUMBER(B484),B485&gt;0,B484&gt;0),LN(B485/B484),"")</x:f>
      </x:c>
      <x:c r="D485" s="16" t="str">
        <x:f>IF(ISNUMBER(C485),ABS(C485),"")</x:f>
      </x:c>
      <x:c r="E485" s="16" t="str">
        <x:f>IF(ISNUMBER(C485),C485^2,"")</x:f>
      </x:c>
      <x:c r="F485" s="16" t="str">
        <x:f>IF(AND(ISNUMBER(C485),ISNUMBER($J$6),$J$6&gt;0),(C485-$J$5)/$J$6,"")</x:f>
      </x:c>
      <x:c r="G485" s="1" t="str">
        <x:f>IF(ISNUMBER(F485),IF(ABS(F485)&gt;3,1,0),"")</x:f>
      </x:c>
      <x:c r="H485" s="1" t="str">
        <x:f>IF(ISNUMBER(F485),F485^4,"")</x:f>
      </x:c>
      <x:c r="I485" s="1"/>
      <x:c r="J485" s="1"/>
      <x:c r="K485" s="1"/>
      <x:c r="L485" s="1"/>
      <x:c r="M485" s="1"/>
      <x:c r="N485" s="1"/>
    </x:row>
    <x:row r="486" ht="22" customHeight="1">
      <x:c r="A486" s="14"/>
      <x:c r="B486" s="15"/>
      <x:c r="C486" s="16" t="str">
        <x:f>IF(AND(ISNUMBER(B486),ISNUMBER(B485),B486&gt;0,B485&gt;0),LN(B486/B485),"")</x:f>
      </x:c>
      <x:c r="D486" s="16" t="str">
        <x:f>IF(ISNUMBER(C486),ABS(C486),"")</x:f>
      </x:c>
      <x:c r="E486" s="16" t="str">
        <x:f>IF(ISNUMBER(C486),C486^2,"")</x:f>
      </x:c>
      <x:c r="F486" s="16" t="str">
        <x:f>IF(AND(ISNUMBER(C486),ISNUMBER($J$6),$J$6&gt;0),(C486-$J$5)/$J$6,"")</x:f>
      </x:c>
      <x:c r="G486" s="1" t="str">
        <x:f>IF(ISNUMBER(F486),IF(ABS(F486)&gt;3,1,0),"")</x:f>
      </x:c>
      <x:c r="H486" s="1" t="str">
        <x:f>IF(ISNUMBER(F486),F486^4,"")</x:f>
      </x:c>
      <x:c r="I486" s="1"/>
      <x:c r="J486" s="1"/>
      <x:c r="K486" s="1"/>
      <x:c r="L486" s="1"/>
      <x:c r="M486" s="1"/>
      <x:c r="N486" s="1"/>
    </x:row>
    <x:row r="487" ht="22" customHeight="1">
      <x:c r="A487" s="14"/>
      <x:c r="B487" s="15"/>
      <x:c r="C487" s="16" t="str">
        <x:f>IF(AND(ISNUMBER(B487),ISNUMBER(B486),B487&gt;0,B486&gt;0),LN(B487/B486),"")</x:f>
      </x:c>
      <x:c r="D487" s="16" t="str">
        <x:f>IF(ISNUMBER(C487),ABS(C487),"")</x:f>
      </x:c>
      <x:c r="E487" s="16" t="str">
        <x:f>IF(ISNUMBER(C487),C487^2,"")</x:f>
      </x:c>
      <x:c r="F487" s="16" t="str">
        <x:f>IF(AND(ISNUMBER(C487),ISNUMBER($J$6),$J$6&gt;0),(C487-$J$5)/$J$6,"")</x:f>
      </x:c>
      <x:c r="G487" s="1" t="str">
        <x:f>IF(ISNUMBER(F487),IF(ABS(F487)&gt;3,1,0),"")</x:f>
      </x:c>
      <x:c r="H487" s="1" t="str">
        <x:f>IF(ISNUMBER(F487),F487^4,"")</x:f>
      </x:c>
      <x:c r="I487" s="1"/>
      <x:c r="J487" s="1"/>
      <x:c r="K487" s="1"/>
      <x:c r="L487" s="1"/>
      <x:c r="M487" s="1"/>
      <x:c r="N487" s="1"/>
    </x:row>
    <x:row r="488" ht="22" customHeight="1">
      <x:c r="A488" s="14"/>
      <x:c r="B488" s="15"/>
      <x:c r="C488" s="16" t="str">
        <x:f>IF(AND(ISNUMBER(B488),ISNUMBER(B487),B488&gt;0,B487&gt;0),LN(B488/B487),"")</x:f>
      </x:c>
      <x:c r="D488" s="16" t="str">
        <x:f>IF(ISNUMBER(C488),ABS(C488),"")</x:f>
      </x:c>
      <x:c r="E488" s="16" t="str">
        <x:f>IF(ISNUMBER(C488),C488^2,"")</x:f>
      </x:c>
      <x:c r="F488" s="16" t="str">
        <x:f>IF(AND(ISNUMBER(C488),ISNUMBER($J$6),$J$6&gt;0),(C488-$J$5)/$J$6,"")</x:f>
      </x:c>
      <x:c r="G488" s="1" t="str">
        <x:f>IF(ISNUMBER(F488),IF(ABS(F488)&gt;3,1,0),"")</x:f>
      </x:c>
      <x:c r="H488" s="1" t="str">
        <x:f>IF(ISNUMBER(F488),F488^4,"")</x:f>
      </x:c>
      <x:c r="I488" s="1"/>
      <x:c r="J488" s="1"/>
      <x:c r="K488" s="1"/>
      <x:c r="L488" s="1"/>
      <x:c r="M488" s="1"/>
      <x:c r="N488" s="1"/>
    </x:row>
    <x:row r="489" ht="22" customHeight="1">
      <x:c r="A489" s="14"/>
      <x:c r="B489" s="15"/>
      <x:c r="C489" s="16" t="str">
        <x:f>IF(AND(ISNUMBER(B489),ISNUMBER(B488),B489&gt;0,B488&gt;0),LN(B489/B488),"")</x:f>
      </x:c>
      <x:c r="D489" s="16" t="str">
        <x:f>IF(ISNUMBER(C489),ABS(C489),"")</x:f>
      </x:c>
      <x:c r="E489" s="16" t="str">
        <x:f>IF(ISNUMBER(C489),C489^2,"")</x:f>
      </x:c>
      <x:c r="F489" s="16" t="str">
        <x:f>IF(AND(ISNUMBER(C489),ISNUMBER($J$6),$J$6&gt;0),(C489-$J$5)/$J$6,"")</x:f>
      </x:c>
      <x:c r="G489" s="1" t="str">
        <x:f>IF(ISNUMBER(F489),IF(ABS(F489)&gt;3,1,0),"")</x:f>
      </x:c>
      <x:c r="H489" s="1" t="str">
        <x:f>IF(ISNUMBER(F489),F489^4,"")</x:f>
      </x:c>
      <x:c r="I489" s="1"/>
      <x:c r="J489" s="1"/>
      <x:c r="K489" s="1"/>
      <x:c r="L489" s="1"/>
      <x:c r="M489" s="1"/>
      <x:c r="N489" s="1"/>
    </x:row>
    <x:row r="490" ht="22" customHeight="1">
      <x:c r="A490" s="14"/>
      <x:c r="B490" s="15"/>
      <x:c r="C490" s="16" t="str">
        <x:f>IF(AND(ISNUMBER(B490),ISNUMBER(B489),B490&gt;0,B489&gt;0),LN(B490/B489),"")</x:f>
      </x:c>
      <x:c r="D490" s="16" t="str">
        <x:f>IF(ISNUMBER(C490),ABS(C490),"")</x:f>
      </x:c>
      <x:c r="E490" s="16" t="str">
        <x:f>IF(ISNUMBER(C490),C490^2,"")</x:f>
      </x:c>
      <x:c r="F490" s="16" t="str">
        <x:f>IF(AND(ISNUMBER(C490),ISNUMBER($J$6),$J$6&gt;0),(C490-$J$5)/$J$6,"")</x:f>
      </x:c>
      <x:c r="G490" s="1" t="str">
        <x:f>IF(ISNUMBER(F490),IF(ABS(F490)&gt;3,1,0),"")</x:f>
      </x:c>
      <x:c r="H490" s="1" t="str">
        <x:f>IF(ISNUMBER(F490),F490^4,"")</x:f>
      </x:c>
      <x:c r="I490" s="1"/>
      <x:c r="J490" s="1"/>
      <x:c r="K490" s="1"/>
      <x:c r="L490" s="1"/>
      <x:c r="M490" s="1"/>
      <x:c r="N490" s="1"/>
    </x:row>
    <x:row r="491" ht="22" customHeight="1">
      <x:c r="A491" s="14"/>
      <x:c r="B491" s="15"/>
      <x:c r="C491" s="16" t="str">
        <x:f>IF(AND(ISNUMBER(B491),ISNUMBER(B490),B491&gt;0,B490&gt;0),LN(B491/B490),"")</x:f>
      </x:c>
      <x:c r="D491" s="16" t="str">
        <x:f>IF(ISNUMBER(C491),ABS(C491),"")</x:f>
      </x:c>
      <x:c r="E491" s="16" t="str">
        <x:f>IF(ISNUMBER(C491),C491^2,"")</x:f>
      </x:c>
      <x:c r="F491" s="16" t="str">
        <x:f>IF(AND(ISNUMBER(C491),ISNUMBER($J$6),$J$6&gt;0),(C491-$J$5)/$J$6,"")</x:f>
      </x:c>
      <x:c r="G491" s="1" t="str">
        <x:f>IF(ISNUMBER(F491),IF(ABS(F491)&gt;3,1,0),"")</x:f>
      </x:c>
      <x:c r="H491" s="1" t="str">
        <x:f>IF(ISNUMBER(F491),F491^4,"")</x:f>
      </x:c>
      <x:c r="I491" s="1"/>
      <x:c r="J491" s="1"/>
      <x:c r="K491" s="1"/>
      <x:c r="L491" s="1"/>
      <x:c r="M491" s="1"/>
      <x:c r="N491" s="1"/>
    </x:row>
    <x:row r="492" ht="22" customHeight="1">
      <x:c r="A492" s="14"/>
      <x:c r="B492" s="15"/>
      <x:c r="C492" s="16" t="str">
        <x:f>IF(AND(ISNUMBER(B492),ISNUMBER(B491),B492&gt;0,B491&gt;0),LN(B492/B491),"")</x:f>
      </x:c>
      <x:c r="D492" s="16" t="str">
        <x:f>IF(ISNUMBER(C492),ABS(C492),"")</x:f>
      </x:c>
      <x:c r="E492" s="16" t="str">
        <x:f>IF(ISNUMBER(C492),C492^2,"")</x:f>
      </x:c>
      <x:c r="F492" s="16" t="str">
        <x:f>IF(AND(ISNUMBER(C492),ISNUMBER($J$6),$J$6&gt;0),(C492-$J$5)/$J$6,"")</x:f>
      </x:c>
      <x:c r="G492" s="1" t="str">
        <x:f>IF(ISNUMBER(F492),IF(ABS(F492)&gt;3,1,0),"")</x:f>
      </x:c>
      <x:c r="H492" s="1" t="str">
        <x:f>IF(ISNUMBER(F492),F492^4,"")</x:f>
      </x:c>
      <x:c r="I492" s="1"/>
      <x:c r="J492" s="1"/>
      <x:c r="K492" s="1"/>
      <x:c r="L492" s="1"/>
      <x:c r="M492" s="1"/>
      <x:c r="N492" s="1"/>
    </x:row>
    <x:row r="493" ht="22" customHeight="1">
      <x:c r="A493" s="14"/>
      <x:c r="B493" s="15"/>
      <x:c r="C493" s="16" t="str">
        <x:f>IF(AND(ISNUMBER(B493),ISNUMBER(B492),B493&gt;0,B492&gt;0),LN(B493/B492),"")</x:f>
      </x:c>
      <x:c r="D493" s="16" t="str">
        <x:f>IF(ISNUMBER(C493),ABS(C493),"")</x:f>
      </x:c>
      <x:c r="E493" s="16" t="str">
        <x:f>IF(ISNUMBER(C493),C493^2,"")</x:f>
      </x:c>
      <x:c r="F493" s="16" t="str">
        <x:f>IF(AND(ISNUMBER(C493),ISNUMBER($J$6),$J$6&gt;0),(C493-$J$5)/$J$6,"")</x:f>
      </x:c>
      <x:c r="G493" s="1" t="str">
        <x:f>IF(ISNUMBER(F493),IF(ABS(F493)&gt;3,1,0),"")</x:f>
      </x:c>
      <x:c r="H493" s="1" t="str">
        <x:f>IF(ISNUMBER(F493),F493^4,"")</x:f>
      </x:c>
      <x:c r="I493" s="1"/>
      <x:c r="J493" s="1"/>
      <x:c r="K493" s="1"/>
      <x:c r="L493" s="1"/>
      <x:c r="M493" s="1"/>
      <x:c r="N493" s="1"/>
    </x:row>
    <x:row r="494" ht="22" customHeight="1">
      <x:c r="A494" s="14"/>
      <x:c r="B494" s="15"/>
      <x:c r="C494" s="16" t="str">
        <x:f>IF(AND(ISNUMBER(B494),ISNUMBER(B493),B494&gt;0,B493&gt;0),LN(B494/B493),"")</x:f>
      </x:c>
      <x:c r="D494" s="16" t="str">
        <x:f>IF(ISNUMBER(C494),ABS(C494),"")</x:f>
      </x:c>
      <x:c r="E494" s="16" t="str">
        <x:f>IF(ISNUMBER(C494),C494^2,"")</x:f>
      </x:c>
      <x:c r="F494" s="16" t="str">
        <x:f>IF(AND(ISNUMBER(C494),ISNUMBER($J$6),$J$6&gt;0),(C494-$J$5)/$J$6,"")</x:f>
      </x:c>
      <x:c r="G494" s="1" t="str">
        <x:f>IF(ISNUMBER(F494),IF(ABS(F494)&gt;3,1,0),"")</x:f>
      </x:c>
      <x:c r="H494" s="1" t="str">
        <x:f>IF(ISNUMBER(F494),F494^4,"")</x:f>
      </x:c>
      <x:c r="I494" s="1"/>
      <x:c r="J494" s="1"/>
      <x:c r="K494" s="1"/>
      <x:c r="L494" s="1"/>
      <x:c r="M494" s="1"/>
      <x:c r="N494" s="1"/>
    </x:row>
    <x:row r="495" ht="22" customHeight="1">
      <x:c r="A495" s="14"/>
      <x:c r="B495" s="15"/>
      <x:c r="C495" s="16" t="str">
        <x:f>IF(AND(ISNUMBER(B495),ISNUMBER(B494),B495&gt;0,B494&gt;0),LN(B495/B494),"")</x:f>
      </x:c>
      <x:c r="D495" s="16" t="str">
        <x:f>IF(ISNUMBER(C495),ABS(C495),"")</x:f>
      </x:c>
      <x:c r="E495" s="16" t="str">
        <x:f>IF(ISNUMBER(C495),C495^2,"")</x:f>
      </x:c>
      <x:c r="F495" s="16" t="str">
        <x:f>IF(AND(ISNUMBER(C495),ISNUMBER($J$6),$J$6&gt;0),(C495-$J$5)/$J$6,"")</x:f>
      </x:c>
      <x:c r="G495" s="1" t="str">
        <x:f>IF(ISNUMBER(F495),IF(ABS(F495)&gt;3,1,0),"")</x:f>
      </x:c>
      <x:c r="H495" s="1" t="str">
        <x:f>IF(ISNUMBER(F495),F495^4,"")</x:f>
      </x:c>
      <x:c r="I495" s="1"/>
      <x:c r="J495" s="1"/>
      <x:c r="K495" s="1"/>
      <x:c r="L495" s="1"/>
      <x:c r="M495" s="1"/>
      <x:c r="N495" s="1"/>
    </x:row>
    <x:row r="496" ht="22" customHeight="1">
      <x:c r="A496" s="14"/>
      <x:c r="B496" s="15"/>
      <x:c r="C496" s="16" t="str">
        <x:f>IF(AND(ISNUMBER(B496),ISNUMBER(B495),B496&gt;0,B495&gt;0),LN(B496/B495),"")</x:f>
      </x:c>
      <x:c r="D496" s="16" t="str">
        <x:f>IF(ISNUMBER(C496),ABS(C496),"")</x:f>
      </x:c>
      <x:c r="E496" s="16" t="str">
        <x:f>IF(ISNUMBER(C496),C496^2,"")</x:f>
      </x:c>
      <x:c r="F496" s="16" t="str">
        <x:f>IF(AND(ISNUMBER(C496),ISNUMBER($J$6),$J$6&gt;0),(C496-$J$5)/$J$6,"")</x:f>
      </x:c>
      <x:c r="G496" s="1" t="str">
        <x:f>IF(ISNUMBER(F496),IF(ABS(F496)&gt;3,1,0),"")</x:f>
      </x:c>
      <x:c r="H496" s="1" t="str">
        <x:f>IF(ISNUMBER(F496),F496^4,"")</x:f>
      </x:c>
      <x:c r="I496" s="1"/>
      <x:c r="J496" s="1"/>
      <x:c r="K496" s="1"/>
      <x:c r="L496" s="1"/>
      <x:c r="M496" s="1"/>
      <x:c r="N496" s="1"/>
    </x:row>
    <x:row r="497" ht="22" customHeight="1">
      <x:c r="A497" s="14"/>
      <x:c r="B497" s="15"/>
      <x:c r="C497" s="16" t="str">
        <x:f>IF(AND(ISNUMBER(B497),ISNUMBER(B496),B497&gt;0,B496&gt;0),LN(B497/B496),"")</x:f>
      </x:c>
      <x:c r="D497" s="16" t="str">
        <x:f>IF(ISNUMBER(C497),ABS(C497),"")</x:f>
      </x:c>
      <x:c r="E497" s="16" t="str">
        <x:f>IF(ISNUMBER(C497),C497^2,"")</x:f>
      </x:c>
      <x:c r="F497" s="16" t="str">
        <x:f>IF(AND(ISNUMBER(C497),ISNUMBER($J$6),$J$6&gt;0),(C497-$J$5)/$J$6,"")</x:f>
      </x:c>
      <x:c r="G497" s="1" t="str">
        <x:f>IF(ISNUMBER(F497),IF(ABS(F497)&gt;3,1,0),"")</x:f>
      </x:c>
      <x:c r="H497" s="1" t="str">
        <x:f>IF(ISNUMBER(F497),F497^4,"")</x:f>
      </x:c>
      <x:c r="I497" s="1"/>
      <x:c r="J497" s="1"/>
      <x:c r="K497" s="1"/>
      <x:c r="L497" s="1"/>
      <x:c r="M497" s="1"/>
      <x:c r="N497" s="1"/>
    </x:row>
    <x:row r="498" ht="22" customHeight="1">
      <x:c r="A498" s="14"/>
      <x:c r="B498" s="15"/>
      <x:c r="C498" s="16" t="str">
        <x:f>IF(AND(ISNUMBER(B498),ISNUMBER(B497),B498&gt;0,B497&gt;0),LN(B498/B497),"")</x:f>
      </x:c>
      <x:c r="D498" s="16" t="str">
        <x:f>IF(ISNUMBER(C498),ABS(C498),"")</x:f>
      </x:c>
      <x:c r="E498" s="16" t="str">
        <x:f>IF(ISNUMBER(C498),C498^2,"")</x:f>
      </x:c>
      <x:c r="F498" s="16" t="str">
        <x:f>IF(AND(ISNUMBER(C498),ISNUMBER($J$6),$J$6&gt;0),(C498-$J$5)/$J$6,"")</x:f>
      </x:c>
      <x:c r="G498" s="1" t="str">
        <x:f>IF(ISNUMBER(F498),IF(ABS(F498)&gt;3,1,0),"")</x:f>
      </x:c>
      <x:c r="H498" s="1" t="str">
        <x:f>IF(ISNUMBER(F498),F498^4,"")</x:f>
      </x:c>
      <x:c r="I498" s="1"/>
      <x:c r="J498" s="1"/>
      <x:c r="K498" s="1"/>
      <x:c r="L498" s="1"/>
      <x:c r="M498" s="1"/>
      <x:c r="N498" s="1"/>
    </x:row>
    <x:row r="499" ht="22" customHeight="1">
      <x:c r="A499" s="14"/>
      <x:c r="B499" s="15"/>
      <x:c r="C499" s="16" t="str">
        <x:f>IF(AND(ISNUMBER(B499),ISNUMBER(B498),B499&gt;0,B498&gt;0),LN(B499/B498),"")</x:f>
      </x:c>
      <x:c r="D499" s="16" t="str">
        <x:f>IF(ISNUMBER(C499),ABS(C499),"")</x:f>
      </x:c>
      <x:c r="E499" s="16" t="str">
        <x:f>IF(ISNUMBER(C499),C499^2,"")</x:f>
      </x:c>
      <x:c r="F499" s="16" t="str">
        <x:f>IF(AND(ISNUMBER(C499),ISNUMBER($J$6),$J$6&gt;0),(C499-$J$5)/$J$6,"")</x:f>
      </x:c>
      <x:c r="G499" s="1" t="str">
        <x:f>IF(ISNUMBER(F499),IF(ABS(F499)&gt;3,1,0),"")</x:f>
      </x:c>
      <x:c r="H499" s="1" t="str">
        <x:f>IF(ISNUMBER(F499),F499^4,"")</x:f>
      </x:c>
      <x:c r="I499" s="1"/>
      <x:c r="J499" s="1"/>
      <x:c r="K499" s="1"/>
      <x:c r="L499" s="1"/>
      <x:c r="M499" s="1"/>
      <x:c r="N499" s="1"/>
    </x:row>
    <x:row r="500" ht="22" customHeight="1">
      <x:c r="A500" s="14"/>
      <x:c r="B500" s="15"/>
      <x:c r="C500" s="16" t="str">
        <x:f>IF(AND(ISNUMBER(B500),ISNUMBER(B499),B500&gt;0,B499&gt;0),LN(B500/B499),"")</x:f>
      </x:c>
      <x:c r="D500" s="16" t="str">
        <x:f>IF(ISNUMBER(C500),ABS(C500),"")</x:f>
      </x:c>
      <x:c r="E500" s="16" t="str">
        <x:f>IF(ISNUMBER(C500),C500^2,"")</x:f>
      </x:c>
      <x:c r="F500" s="16" t="str">
        <x:f>IF(AND(ISNUMBER(C500),ISNUMBER($J$6),$J$6&gt;0),(C500-$J$5)/$J$6,"")</x:f>
      </x:c>
      <x:c r="G500" s="1" t="str">
        <x:f>IF(ISNUMBER(F500),IF(ABS(F500)&gt;3,1,0),"")</x:f>
      </x:c>
      <x:c r="H500" s="1" t="str">
        <x:f>IF(ISNUMBER(F500),F500^4,"")</x:f>
      </x:c>
      <x:c r="I500" s="1"/>
      <x:c r="J500" s="1"/>
      <x:c r="K500" s="1"/>
      <x:c r="L500" s="1"/>
      <x:c r="M500" s="1"/>
      <x:c r="N500" s="1"/>
    </x:row>
    <x:row r="501" ht="22" customHeight="1">
      <x:c r="A501" s="14"/>
      <x:c r="B501" s="15"/>
      <x:c r="C501" s="16" t="str">
        <x:f>IF(AND(ISNUMBER(B501),ISNUMBER(B500),B501&gt;0,B500&gt;0),LN(B501/B500),"")</x:f>
      </x:c>
      <x:c r="D501" s="16" t="str">
        <x:f>IF(ISNUMBER(C501),ABS(C501),"")</x:f>
      </x:c>
      <x:c r="E501" s="16" t="str">
        <x:f>IF(ISNUMBER(C501),C501^2,"")</x:f>
      </x:c>
      <x:c r="F501" s="16" t="str">
        <x:f>IF(AND(ISNUMBER(C501),ISNUMBER($J$6),$J$6&gt;0),(C501-$J$5)/$J$6,"")</x:f>
      </x:c>
      <x:c r="G501" s="1" t="str">
        <x:f>IF(ISNUMBER(F501),IF(ABS(F501)&gt;3,1,0),"")</x:f>
      </x:c>
      <x:c r="H501" s="1" t="str">
        <x:f>IF(ISNUMBER(F501),F501^4,"")</x:f>
      </x:c>
      <x:c r="I501" s="1"/>
      <x:c r="J501" s="1"/>
      <x:c r="K501" s="1"/>
      <x:c r="L501" s="1"/>
      <x:c r="M501" s="1"/>
      <x:c r="N501" s="1"/>
    </x:row>
    <x:row r="502" ht="22" customHeight="1">
      <x:c r="A502" s="14"/>
      <x:c r="B502" s="15"/>
      <x:c r="C502" s="16" t="str">
        <x:f>IF(AND(ISNUMBER(B502),ISNUMBER(B501),B502&gt;0,B501&gt;0),LN(B502/B501),"")</x:f>
      </x:c>
      <x:c r="D502" s="16" t="str">
        <x:f>IF(ISNUMBER(C502),ABS(C502),"")</x:f>
      </x:c>
      <x:c r="E502" s="16" t="str">
        <x:f>IF(ISNUMBER(C502),C502^2,"")</x:f>
      </x:c>
      <x:c r="F502" s="16" t="str">
        <x:f>IF(AND(ISNUMBER(C502),ISNUMBER($J$6),$J$6&gt;0),(C502-$J$5)/$J$6,"")</x:f>
      </x:c>
      <x:c r="G502" s="1" t="str">
        <x:f>IF(ISNUMBER(F502),IF(ABS(F502)&gt;3,1,0),"")</x:f>
      </x:c>
      <x:c r="H502" s="1" t="str">
        <x:f>IF(ISNUMBER(F502),F502^4,"")</x:f>
      </x:c>
      <x:c r="I502" s="1"/>
      <x:c r="J502" s="1"/>
      <x:c r="K502" s="1"/>
      <x:c r="L502" s="1"/>
      <x:c r="M502" s="1"/>
      <x:c r="N502" s="1"/>
    </x:row>
    <x:row r="503" ht="22" customHeight="1">
      <x:c r="A503" s="14"/>
      <x:c r="B503" s="15"/>
      <x:c r="C503" s="16" t="str">
        <x:f>IF(AND(ISNUMBER(B503),ISNUMBER(B502),B503&gt;0,B502&gt;0),LN(B503/B502),"")</x:f>
      </x:c>
      <x:c r="D503" s="16" t="str">
        <x:f>IF(ISNUMBER(C503),ABS(C503),"")</x:f>
      </x:c>
      <x:c r="E503" s="16" t="str">
        <x:f>IF(ISNUMBER(C503),C503^2,"")</x:f>
      </x:c>
      <x:c r="F503" s="16" t="str">
        <x:f>IF(AND(ISNUMBER(C503),ISNUMBER($J$6),$J$6&gt;0),(C503-$J$5)/$J$6,"")</x:f>
      </x:c>
      <x:c r="G503" s="1" t="str">
        <x:f>IF(ISNUMBER(F503),IF(ABS(F503)&gt;3,1,0),"")</x:f>
      </x:c>
      <x:c r="H503" s="1" t="str">
        <x:f>IF(ISNUMBER(F503),F503^4,"")</x:f>
      </x:c>
      <x:c r="I503" s="1"/>
      <x:c r="J503" s="1"/>
      <x:c r="K503" s="1"/>
      <x:c r="L503" s="1"/>
      <x:c r="M503" s="1"/>
      <x:c r="N503" s="1"/>
    </x:row>
    <x:row r="504" ht="22" customHeight="1">
      <x:c r="A504" s="14"/>
      <x:c r="B504" s="15"/>
      <x:c r="C504" s="16" t="str">
        <x:f>IF(AND(ISNUMBER(B504),ISNUMBER(B503),B504&gt;0,B503&gt;0),LN(B504/B503),"")</x:f>
      </x:c>
      <x:c r="D504" s="16" t="str">
        <x:f>IF(ISNUMBER(C504),ABS(C504),"")</x:f>
      </x:c>
      <x:c r="E504" s="16" t="str">
        <x:f>IF(ISNUMBER(C504),C504^2,"")</x:f>
      </x:c>
      <x:c r="F504" s="16" t="str">
        <x:f>IF(AND(ISNUMBER(C504),ISNUMBER($J$6),$J$6&gt;0),(C504-$J$5)/$J$6,"")</x:f>
      </x:c>
      <x:c r="G504" s="1" t="str">
        <x:f>IF(ISNUMBER(F504),IF(ABS(F504)&gt;3,1,0),"")</x:f>
      </x:c>
      <x:c r="H504" s="1" t="str">
        <x:f>IF(ISNUMBER(F504),F504^4,"")</x:f>
      </x:c>
      <x:c r="I504" s="1"/>
      <x:c r="J504" s="1"/>
      <x:c r="K504" s="1"/>
      <x:c r="L504" s="1"/>
      <x:c r="M504" s="1"/>
      <x:c r="N504" s="1"/>
    </x:row>
    <x:row r="505" ht="22" customHeight="1">
      <x:c r="A505" s="14"/>
      <x:c r="B505" s="15"/>
      <x:c r="C505" s="16" t="str">
        <x:f>IF(AND(ISNUMBER(B505),ISNUMBER(B504),B505&gt;0,B504&gt;0),LN(B505/B504),"")</x:f>
      </x:c>
      <x:c r="D505" s="16" t="str">
        <x:f>IF(ISNUMBER(C505),ABS(C505),"")</x:f>
      </x:c>
      <x:c r="E505" s="16" t="str">
        <x:f>IF(ISNUMBER(C505),C505^2,"")</x:f>
      </x:c>
      <x:c r="F505" s="16" t="str">
        <x:f>IF(AND(ISNUMBER(C505),ISNUMBER($J$6),$J$6&gt;0),(C505-$J$5)/$J$6,"")</x:f>
      </x:c>
      <x:c r="G505" s="1" t="str">
        <x:f>IF(ISNUMBER(F505),IF(ABS(F505)&gt;3,1,0),"")</x:f>
      </x:c>
      <x:c r="H505" s="1" t="str">
        <x:f>IF(ISNUMBER(F505),F505^4,"")</x:f>
      </x:c>
      <x:c r="I505" s="1"/>
      <x:c r="J505" s="1"/>
      <x:c r="K505" s="1"/>
      <x:c r="L505" s="1"/>
      <x:c r="M505" s="1"/>
      <x:c r="N505" s="1"/>
    </x:row>
    <x:row r="506" ht="22" customHeight="1">
      <x:c r="A506" s="14"/>
      <x:c r="B506" s="15"/>
      <x:c r="C506" s="16" t="str">
        <x:f>IF(AND(ISNUMBER(B506),ISNUMBER(B505),B506&gt;0,B505&gt;0),LN(B506/B505),"")</x:f>
      </x:c>
      <x:c r="D506" s="16" t="str">
        <x:f>IF(ISNUMBER(C506),ABS(C506),"")</x:f>
      </x:c>
      <x:c r="E506" s="16" t="str">
        <x:f>IF(ISNUMBER(C506),C506^2,"")</x:f>
      </x:c>
      <x:c r="F506" s="16" t="str">
        <x:f>IF(AND(ISNUMBER(C506),ISNUMBER($J$6),$J$6&gt;0),(C506-$J$5)/$J$6,"")</x:f>
      </x:c>
      <x:c r="G506" s="1" t="str">
        <x:f>IF(ISNUMBER(F506),IF(ABS(F506)&gt;3,1,0),"")</x:f>
      </x:c>
      <x:c r="H506" s="1" t="str">
        <x:f>IF(ISNUMBER(F506),F506^4,"")</x:f>
      </x:c>
      <x:c r="I506" s="1"/>
      <x:c r="J506" s="1"/>
      <x:c r="K506" s="1"/>
      <x:c r="L506" s="1"/>
      <x:c r="M506" s="1"/>
      <x:c r="N506" s="1"/>
    </x:row>
    <x:row r="507" ht="22" customHeight="1">
      <x:c r="A507" s="14"/>
      <x:c r="B507" s="15"/>
      <x:c r="C507" s="16" t="str">
        <x:f>IF(AND(ISNUMBER(B507),ISNUMBER(B506),B507&gt;0,B506&gt;0),LN(B507/B506),"")</x:f>
      </x:c>
      <x:c r="D507" s="16" t="str">
        <x:f>IF(ISNUMBER(C507),ABS(C507),"")</x:f>
      </x:c>
      <x:c r="E507" s="16" t="str">
        <x:f>IF(ISNUMBER(C507),C507^2,"")</x:f>
      </x:c>
      <x:c r="F507" s="16" t="str">
        <x:f>IF(AND(ISNUMBER(C507),ISNUMBER($J$6),$J$6&gt;0),(C507-$J$5)/$J$6,"")</x:f>
      </x:c>
      <x:c r="G507" s="1" t="str">
        <x:f>IF(ISNUMBER(F507),IF(ABS(F507)&gt;3,1,0),"")</x:f>
      </x:c>
      <x:c r="H507" s="1" t="str">
        <x:f>IF(ISNUMBER(F507),F507^4,"")</x:f>
      </x:c>
      <x:c r="I507" s="1"/>
      <x:c r="J507" s="1"/>
      <x:c r="K507" s="1"/>
      <x:c r="L507" s="1"/>
      <x:c r="M507" s="1"/>
      <x:c r="N507" s="1"/>
    </x:row>
    <x:row r="508" ht="22" customHeight="1">
      <x:c r="A508" s="14"/>
      <x:c r="B508" s="15"/>
      <x:c r="C508" s="16" t="str">
        <x:f>IF(AND(ISNUMBER(B508),ISNUMBER(B507),B508&gt;0,B507&gt;0),LN(B508/B507),"")</x:f>
      </x:c>
      <x:c r="D508" s="16" t="str">
        <x:f>IF(ISNUMBER(C508),ABS(C508),"")</x:f>
      </x:c>
      <x:c r="E508" s="16" t="str">
        <x:f>IF(ISNUMBER(C508),C508^2,"")</x:f>
      </x:c>
      <x:c r="F508" s="16" t="str">
        <x:f>IF(AND(ISNUMBER(C508),ISNUMBER($J$6),$J$6&gt;0),(C508-$J$5)/$J$6,"")</x:f>
      </x:c>
      <x:c r="G508" s="1" t="str">
        <x:f>IF(ISNUMBER(F508),IF(ABS(F508)&gt;3,1,0),"")</x:f>
      </x:c>
      <x:c r="H508" s="1" t="str">
        <x:f>IF(ISNUMBER(F508),F508^4,"")</x:f>
      </x:c>
      <x:c r="I508" s="1"/>
      <x:c r="J508" s="1"/>
      <x:c r="K508" s="1"/>
      <x:c r="L508" s="1"/>
      <x:c r="M508" s="1"/>
      <x:c r="N508" s="1"/>
    </x:row>
    <x:row r="509" ht="22" customHeight="1">
      <x:c r="A509" s="14"/>
      <x:c r="B509" s="15"/>
      <x:c r="C509" s="16" t="str">
        <x:f>IF(AND(ISNUMBER(B509),ISNUMBER(B508),B509&gt;0,B508&gt;0),LN(B509/B508),"")</x:f>
      </x:c>
      <x:c r="D509" s="16" t="str">
        <x:f>IF(ISNUMBER(C509),ABS(C509),"")</x:f>
      </x:c>
      <x:c r="E509" s="16" t="str">
        <x:f>IF(ISNUMBER(C509),C509^2,"")</x:f>
      </x:c>
      <x:c r="F509" s="16" t="str">
        <x:f>IF(AND(ISNUMBER(C509),ISNUMBER($J$6),$J$6&gt;0),(C509-$J$5)/$J$6,"")</x:f>
      </x:c>
      <x:c r="G509" s="1" t="str">
        <x:f>IF(ISNUMBER(F509),IF(ABS(F509)&gt;3,1,0),"")</x:f>
      </x:c>
      <x:c r="H509" s="1" t="str">
        <x:f>IF(ISNUMBER(F509),F509^4,"")</x:f>
      </x:c>
      <x:c r="I509" s="1"/>
      <x:c r="J509" s="1"/>
      <x:c r="K509" s="1"/>
      <x:c r="L509" s="1"/>
      <x:c r="M509" s="1"/>
      <x:c r="N509" s="1"/>
    </x:row>
    <x:row r="510" ht="22" customHeight="1">
      <x:c r="A510" s="14"/>
      <x:c r="B510" s="15"/>
      <x:c r="C510" s="16" t="str">
        <x:f>IF(AND(ISNUMBER(B510),ISNUMBER(B509),B510&gt;0,B509&gt;0),LN(B510/B509),"")</x:f>
      </x:c>
      <x:c r="D510" s="16" t="str">
        <x:f>IF(ISNUMBER(C510),ABS(C510),"")</x:f>
      </x:c>
      <x:c r="E510" s="16" t="str">
        <x:f>IF(ISNUMBER(C510),C510^2,"")</x:f>
      </x:c>
      <x:c r="F510" s="16" t="str">
        <x:f>IF(AND(ISNUMBER(C510),ISNUMBER($J$6),$J$6&gt;0),(C510-$J$5)/$J$6,"")</x:f>
      </x:c>
      <x:c r="G510" s="1" t="str">
        <x:f>IF(ISNUMBER(F510),IF(ABS(F510)&gt;3,1,0),"")</x:f>
      </x:c>
      <x:c r="H510" s="1" t="str">
        <x:f>IF(ISNUMBER(F510),F510^4,"")</x:f>
      </x:c>
      <x:c r="I510" s="1"/>
      <x:c r="J510" s="1"/>
      <x:c r="K510" s="1"/>
      <x:c r="L510" s="1"/>
      <x:c r="M510" s="1"/>
      <x:c r="N510" s="1"/>
    </x:row>
    <x:row r="511" ht="22" customHeight="1">
      <x:c r="A511" s="14"/>
      <x:c r="B511" s="15"/>
      <x:c r="C511" s="16" t="str">
        <x:f>IF(AND(ISNUMBER(B511),ISNUMBER(B510),B511&gt;0,B510&gt;0),LN(B511/B510),"")</x:f>
      </x:c>
      <x:c r="D511" s="16" t="str">
        <x:f>IF(ISNUMBER(C511),ABS(C511),"")</x:f>
      </x:c>
      <x:c r="E511" s="16" t="str">
        <x:f>IF(ISNUMBER(C511),C511^2,"")</x:f>
      </x:c>
      <x:c r="F511" s="16" t="str">
        <x:f>IF(AND(ISNUMBER(C511),ISNUMBER($J$6),$J$6&gt;0),(C511-$J$5)/$J$6,"")</x:f>
      </x:c>
      <x:c r="G511" s="1" t="str">
        <x:f>IF(ISNUMBER(F511),IF(ABS(F511)&gt;3,1,0),"")</x:f>
      </x:c>
      <x:c r="H511" s="1" t="str">
        <x:f>IF(ISNUMBER(F511),F511^4,"")</x:f>
      </x:c>
      <x:c r="I511" s="1"/>
      <x:c r="J511" s="1"/>
      <x:c r="K511" s="1"/>
      <x:c r="L511" s="1"/>
      <x:c r="M511" s="1"/>
      <x:c r="N511" s="1"/>
    </x:row>
    <x:row r="512" ht="22" customHeight="1">
      <x:c r="A512" s="14"/>
      <x:c r="B512" s="15"/>
      <x:c r="C512" s="16" t="str">
        <x:f>IF(AND(ISNUMBER(B512),ISNUMBER(B511),B512&gt;0,B511&gt;0),LN(B512/B511),"")</x:f>
      </x:c>
      <x:c r="D512" s="16" t="str">
        <x:f>IF(ISNUMBER(C512),ABS(C512),"")</x:f>
      </x:c>
      <x:c r="E512" s="16" t="str">
        <x:f>IF(ISNUMBER(C512),C512^2,"")</x:f>
      </x:c>
      <x:c r="F512" s="16" t="str">
        <x:f>IF(AND(ISNUMBER(C512),ISNUMBER($J$6),$J$6&gt;0),(C512-$J$5)/$J$6,"")</x:f>
      </x:c>
      <x:c r="G512" s="1" t="str">
        <x:f>IF(ISNUMBER(F512),IF(ABS(F512)&gt;3,1,0),"")</x:f>
      </x:c>
      <x:c r="H512" s="1" t="str">
        <x:f>IF(ISNUMBER(F512),F512^4,"")</x:f>
      </x:c>
      <x:c r="I512" s="1"/>
      <x:c r="J512" s="1"/>
      <x:c r="K512" s="1"/>
      <x:c r="L512" s="1"/>
      <x:c r="M512" s="1"/>
      <x:c r="N512" s="1"/>
    </x:row>
    <x:row r="513" ht="22" customHeight="1">
      <x:c r="A513" s="14"/>
      <x:c r="B513" s="15"/>
      <x:c r="C513" s="16" t="str">
        <x:f>IF(AND(ISNUMBER(B513),ISNUMBER(B512),B513&gt;0,B512&gt;0),LN(B513/B512),"")</x:f>
      </x:c>
      <x:c r="D513" s="16" t="str">
        <x:f>IF(ISNUMBER(C513),ABS(C513),"")</x:f>
      </x:c>
      <x:c r="E513" s="16" t="str">
        <x:f>IF(ISNUMBER(C513),C513^2,"")</x:f>
      </x:c>
      <x:c r="F513" s="16" t="str">
        <x:f>IF(AND(ISNUMBER(C513),ISNUMBER($J$6),$J$6&gt;0),(C513-$J$5)/$J$6,"")</x:f>
      </x:c>
      <x:c r="G513" s="1" t="str">
        <x:f>IF(ISNUMBER(F513),IF(ABS(F513)&gt;3,1,0),"")</x:f>
      </x:c>
      <x:c r="H513" s="1" t="str">
        <x:f>IF(ISNUMBER(F513),F513^4,"")</x:f>
      </x:c>
      <x:c r="I513" s="1"/>
      <x:c r="J513" s="1"/>
      <x:c r="K513" s="1"/>
      <x:c r="L513" s="1"/>
      <x:c r="M513" s="1"/>
      <x:c r="N513" s="1"/>
    </x:row>
    <x:row r="514" ht="22" customHeight="1">
      <x:c r="A514" s="14"/>
      <x:c r="B514" s="15"/>
      <x:c r="C514" s="16" t="str">
        <x:f>IF(AND(ISNUMBER(B514),ISNUMBER(B513),B514&gt;0,B513&gt;0),LN(B514/B513),"")</x:f>
      </x:c>
      <x:c r="D514" s="16" t="str">
        <x:f>IF(ISNUMBER(C514),ABS(C514),"")</x:f>
      </x:c>
      <x:c r="E514" s="16" t="str">
        <x:f>IF(ISNUMBER(C514),C514^2,"")</x:f>
      </x:c>
      <x:c r="F514" s="16" t="str">
        <x:f>IF(AND(ISNUMBER(C514),ISNUMBER($J$6),$J$6&gt;0),(C514-$J$5)/$J$6,"")</x:f>
      </x:c>
      <x:c r="G514" s="1" t="str">
        <x:f>IF(ISNUMBER(F514),IF(ABS(F514)&gt;3,1,0),"")</x:f>
      </x:c>
      <x:c r="H514" s="1" t="str">
        <x:f>IF(ISNUMBER(F514),F514^4,"")</x:f>
      </x:c>
      <x:c r="I514" s="1"/>
      <x:c r="J514" s="1"/>
      <x:c r="K514" s="1"/>
      <x:c r="L514" s="1"/>
      <x:c r="M514" s="1"/>
      <x:c r="N514" s="1"/>
    </x:row>
    <x:row r="515" ht="22" customHeight="1">
      <x:c r="A515" s="14"/>
      <x:c r="B515" s="15"/>
      <x:c r="C515" s="16" t="str">
        <x:f>IF(AND(ISNUMBER(B515),ISNUMBER(B514),B515&gt;0,B514&gt;0),LN(B515/B514),"")</x:f>
      </x:c>
      <x:c r="D515" s="16" t="str">
        <x:f>IF(ISNUMBER(C515),ABS(C515),"")</x:f>
      </x:c>
      <x:c r="E515" s="16" t="str">
        <x:f>IF(ISNUMBER(C515),C515^2,"")</x:f>
      </x:c>
      <x:c r="F515" s="16" t="str">
        <x:f>IF(AND(ISNUMBER(C515),ISNUMBER($J$6),$J$6&gt;0),(C515-$J$5)/$J$6,"")</x:f>
      </x:c>
      <x:c r="G515" s="1" t="str">
        <x:f>IF(ISNUMBER(F515),IF(ABS(F515)&gt;3,1,0),"")</x:f>
      </x:c>
      <x:c r="H515" s="1" t="str">
        <x:f>IF(ISNUMBER(F515),F515^4,"")</x:f>
      </x:c>
      <x:c r="I515" s="1"/>
      <x:c r="J515" s="1"/>
      <x:c r="K515" s="1"/>
      <x:c r="L515" s="1"/>
      <x:c r="M515" s="1"/>
      <x:c r="N515" s="1"/>
    </x:row>
    <x:row r="516" ht="22" customHeight="1">
      <x:c r="A516" s="14"/>
      <x:c r="B516" s="15"/>
      <x:c r="C516" s="16" t="str">
        <x:f>IF(AND(ISNUMBER(B516),ISNUMBER(B515),B516&gt;0,B515&gt;0),LN(B516/B515),"")</x:f>
      </x:c>
      <x:c r="D516" s="16" t="str">
        <x:f>IF(ISNUMBER(C516),ABS(C516),"")</x:f>
      </x:c>
      <x:c r="E516" s="16" t="str">
        <x:f>IF(ISNUMBER(C516),C516^2,"")</x:f>
      </x:c>
      <x:c r="F516" s="16" t="str">
        <x:f>IF(AND(ISNUMBER(C516),ISNUMBER($J$6),$J$6&gt;0),(C516-$J$5)/$J$6,"")</x:f>
      </x:c>
      <x:c r="G516" s="1" t="str">
        <x:f>IF(ISNUMBER(F516),IF(ABS(F516)&gt;3,1,0),"")</x:f>
      </x:c>
      <x:c r="H516" s="1" t="str">
        <x:f>IF(ISNUMBER(F516),F516^4,"")</x:f>
      </x:c>
      <x:c r="I516" s="1"/>
      <x:c r="J516" s="1"/>
      <x:c r="K516" s="1"/>
      <x:c r="L516" s="1"/>
      <x:c r="M516" s="1"/>
      <x:c r="N516" s="1"/>
    </x:row>
    <x:row r="517" ht="22" customHeight="1">
      <x:c r="A517" s="14"/>
      <x:c r="B517" s="15"/>
      <x:c r="C517" s="16" t="str">
        <x:f>IF(AND(ISNUMBER(B517),ISNUMBER(B516),B517&gt;0,B516&gt;0),LN(B517/B516),"")</x:f>
      </x:c>
      <x:c r="D517" s="16" t="str">
        <x:f>IF(ISNUMBER(C517),ABS(C517),"")</x:f>
      </x:c>
      <x:c r="E517" s="16" t="str">
        <x:f>IF(ISNUMBER(C517),C517^2,"")</x:f>
      </x:c>
      <x:c r="F517" s="16" t="str">
        <x:f>IF(AND(ISNUMBER(C517),ISNUMBER($J$6),$J$6&gt;0),(C517-$J$5)/$J$6,"")</x:f>
      </x:c>
      <x:c r="G517" s="1" t="str">
        <x:f>IF(ISNUMBER(F517),IF(ABS(F517)&gt;3,1,0),"")</x:f>
      </x:c>
      <x:c r="H517" s="1" t="str">
        <x:f>IF(ISNUMBER(F517),F517^4,"")</x:f>
      </x:c>
      <x:c r="I517" s="1"/>
      <x:c r="J517" s="1"/>
      <x:c r="K517" s="1"/>
      <x:c r="L517" s="1"/>
      <x:c r="M517" s="1"/>
      <x:c r="N517" s="1"/>
    </x:row>
    <x:row r="518" ht="22" customHeight="1">
      <x:c r="A518" s="14"/>
      <x:c r="B518" s="15"/>
      <x:c r="C518" s="16" t="str">
        <x:f>IF(AND(ISNUMBER(B518),ISNUMBER(B517),B518&gt;0,B517&gt;0),LN(B518/B517),"")</x:f>
      </x:c>
      <x:c r="D518" s="16" t="str">
        <x:f>IF(ISNUMBER(C518),ABS(C518),"")</x:f>
      </x:c>
      <x:c r="E518" s="16" t="str">
        <x:f>IF(ISNUMBER(C518),C518^2,"")</x:f>
      </x:c>
      <x:c r="F518" s="16" t="str">
        <x:f>IF(AND(ISNUMBER(C518),ISNUMBER($J$6),$J$6&gt;0),(C518-$J$5)/$J$6,"")</x:f>
      </x:c>
      <x:c r="G518" s="1" t="str">
        <x:f>IF(ISNUMBER(F518),IF(ABS(F518)&gt;3,1,0),"")</x:f>
      </x:c>
      <x:c r="H518" s="1" t="str">
        <x:f>IF(ISNUMBER(F518),F518^4,"")</x:f>
      </x:c>
      <x:c r="I518" s="1"/>
      <x:c r="J518" s="1"/>
      <x:c r="K518" s="1"/>
      <x:c r="L518" s="1"/>
      <x:c r="M518" s="1"/>
      <x:c r="N518" s="1"/>
    </x:row>
    <x:row r="519" ht="22" customHeight="1">
      <x:c r="A519" s="14"/>
      <x:c r="B519" s="15"/>
      <x:c r="C519" s="16" t="str">
        <x:f>IF(AND(ISNUMBER(B519),ISNUMBER(B518),B519&gt;0,B518&gt;0),LN(B519/B518),"")</x:f>
      </x:c>
      <x:c r="D519" s="16" t="str">
        <x:f>IF(ISNUMBER(C519),ABS(C519),"")</x:f>
      </x:c>
      <x:c r="E519" s="16" t="str">
        <x:f>IF(ISNUMBER(C519),C519^2,"")</x:f>
      </x:c>
      <x:c r="F519" s="16" t="str">
        <x:f>IF(AND(ISNUMBER(C519),ISNUMBER($J$6),$J$6&gt;0),(C519-$J$5)/$J$6,"")</x:f>
      </x:c>
      <x:c r="G519" s="1" t="str">
        <x:f>IF(ISNUMBER(F519),IF(ABS(F519)&gt;3,1,0),"")</x:f>
      </x:c>
      <x:c r="H519" s="1" t="str">
        <x:f>IF(ISNUMBER(F519),F519^4,"")</x:f>
      </x:c>
      <x:c r="I519" s="1"/>
      <x:c r="J519" s="1"/>
      <x:c r="K519" s="1"/>
      <x:c r="L519" s="1"/>
      <x:c r="M519" s="1"/>
      <x:c r="N519" s="1"/>
    </x:row>
    <x:row r="520" ht="22" customHeight="1">
      <x:c r="A520" s="14"/>
      <x:c r="B520" s="15"/>
      <x:c r="C520" s="16" t="str">
        <x:f>IF(AND(ISNUMBER(B520),ISNUMBER(B519),B520&gt;0,B519&gt;0),LN(B520/B519),"")</x:f>
      </x:c>
      <x:c r="D520" s="16" t="str">
        <x:f>IF(ISNUMBER(C520),ABS(C520),"")</x:f>
      </x:c>
      <x:c r="E520" s="16" t="str">
        <x:f>IF(ISNUMBER(C520),C520^2,"")</x:f>
      </x:c>
      <x:c r="F520" s="16" t="str">
        <x:f>IF(AND(ISNUMBER(C520),ISNUMBER($J$6),$J$6&gt;0),(C520-$J$5)/$J$6,"")</x:f>
      </x:c>
      <x:c r="G520" s="1" t="str">
        <x:f>IF(ISNUMBER(F520),IF(ABS(F520)&gt;3,1,0),"")</x:f>
      </x:c>
      <x:c r="H520" s="1" t="str">
        <x:f>IF(ISNUMBER(F520),F520^4,"")</x:f>
      </x:c>
      <x:c r="I520" s="1"/>
      <x:c r="J520" s="1"/>
      <x:c r="K520" s="1"/>
      <x:c r="L520" s="1"/>
      <x:c r="M520" s="1"/>
      <x:c r="N520" s="1"/>
    </x:row>
    <x:row r="521" ht="22" customHeight="1">
      <x:c r="A521" s="14"/>
      <x:c r="B521" s="15"/>
      <x:c r="C521" s="16" t="str">
        <x:f>IF(AND(ISNUMBER(B521),ISNUMBER(B520),B521&gt;0,B520&gt;0),LN(B521/B520),"")</x:f>
      </x:c>
      <x:c r="D521" s="16" t="str">
        <x:f>IF(ISNUMBER(C521),ABS(C521),"")</x:f>
      </x:c>
      <x:c r="E521" s="16" t="str">
        <x:f>IF(ISNUMBER(C521),C521^2,"")</x:f>
      </x:c>
      <x:c r="F521" s="16" t="str">
        <x:f>IF(AND(ISNUMBER(C521),ISNUMBER($J$6),$J$6&gt;0),(C521-$J$5)/$J$6,"")</x:f>
      </x:c>
      <x:c r="G521" s="1" t="str">
        <x:f>IF(ISNUMBER(F521),IF(ABS(F521)&gt;3,1,0),"")</x:f>
      </x:c>
      <x:c r="H521" s="1" t="str">
        <x:f>IF(ISNUMBER(F521),F521^4,"")</x:f>
      </x:c>
      <x:c r="I521" s="1"/>
      <x:c r="J521" s="1"/>
      <x:c r="K521" s="1"/>
      <x:c r="L521" s="1"/>
      <x:c r="M521" s="1"/>
      <x:c r="N521" s="1"/>
    </x:row>
    <x:row r="522" ht="22" customHeight="1">
      <x:c r="A522" s="14"/>
      <x:c r="B522" s="15"/>
      <x:c r="C522" s="16" t="str">
        <x:f>IF(AND(ISNUMBER(B522),ISNUMBER(B521),B522&gt;0,B521&gt;0),LN(B522/B521),"")</x:f>
      </x:c>
      <x:c r="D522" s="16" t="str">
        <x:f>IF(ISNUMBER(C522),ABS(C522),"")</x:f>
      </x:c>
      <x:c r="E522" s="16" t="str">
        <x:f>IF(ISNUMBER(C522),C522^2,"")</x:f>
      </x:c>
      <x:c r="F522" s="16" t="str">
        <x:f>IF(AND(ISNUMBER(C522),ISNUMBER($J$6),$J$6&gt;0),(C522-$J$5)/$J$6,"")</x:f>
      </x:c>
      <x:c r="G522" s="1" t="str">
        <x:f>IF(ISNUMBER(F522),IF(ABS(F522)&gt;3,1,0),"")</x:f>
      </x:c>
      <x:c r="H522" s="1" t="str">
        <x:f>IF(ISNUMBER(F522),F522^4,"")</x:f>
      </x:c>
      <x:c r="I522" s="1"/>
      <x:c r="J522" s="1"/>
      <x:c r="K522" s="1"/>
      <x:c r="L522" s="1"/>
      <x:c r="M522" s="1"/>
      <x:c r="N522" s="1"/>
    </x:row>
    <x:row r="523" ht="22" customHeight="1">
      <x:c r="A523" s="14"/>
      <x:c r="B523" s="15"/>
      <x:c r="C523" s="16" t="str">
        <x:f>IF(AND(ISNUMBER(B523),ISNUMBER(B522),B523&gt;0,B522&gt;0),LN(B523/B522),"")</x:f>
      </x:c>
      <x:c r="D523" s="16" t="str">
        <x:f>IF(ISNUMBER(C523),ABS(C523),"")</x:f>
      </x:c>
      <x:c r="E523" s="16" t="str">
        <x:f>IF(ISNUMBER(C523),C523^2,"")</x:f>
      </x:c>
      <x:c r="F523" s="16" t="str">
        <x:f>IF(AND(ISNUMBER(C523),ISNUMBER($J$6),$J$6&gt;0),(C523-$J$5)/$J$6,"")</x:f>
      </x:c>
      <x:c r="G523" s="1" t="str">
        <x:f>IF(ISNUMBER(F523),IF(ABS(F523)&gt;3,1,0),"")</x:f>
      </x:c>
      <x:c r="H523" s="1" t="str">
        <x:f>IF(ISNUMBER(F523),F523^4,"")</x:f>
      </x:c>
      <x:c r="I523" s="1"/>
      <x:c r="J523" s="1"/>
      <x:c r="K523" s="1"/>
      <x:c r="L523" s="1"/>
      <x:c r="M523" s="1"/>
      <x:c r="N523" s="1"/>
    </x:row>
    <x:row r="524" ht="22" customHeight="1">
      <x:c r="A524" s="14"/>
      <x:c r="B524" s="15"/>
      <x:c r="C524" s="16" t="str">
        <x:f>IF(AND(ISNUMBER(B524),ISNUMBER(B523),B524&gt;0,B523&gt;0),LN(B524/B523),"")</x:f>
      </x:c>
      <x:c r="D524" s="16" t="str">
        <x:f>IF(ISNUMBER(C524),ABS(C524),"")</x:f>
      </x:c>
      <x:c r="E524" s="16" t="str">
        <x:f>IF(ISNUMBER(C524),C524^2,"")</x:f>
      </x:c>
      <x:c r="F524" s="16" t="str">
        <x:f>IF(AND(ISNUMBER(C524),ISNUMBER($J$6),$J$6&gt;0),(C524-$J$5)/$J$6,"")</x:f>
      </x:c>
      <x:c r="G524" s="1" t="str">
        <x:f>IF(ISNUMBER(F524),IF(ABS(F524)&gt;3,1,0),"")</x:f>
      </x:c>
      <x:c r="H524" s="1" t="str">
        <x:f>IF(ISNUMBER(F524),F524^4,"")</x:f>
      </x:c>
      <x:c r="I524" s="1"/>
      <x:c r="J524" s="1"/>
      <x:c r="K524" s="1"/>
      <x:c r="L524" s="1"/>
      <x:c r="M524" s="1"/>
      <x:c r="N524" s="1"/>
    </x:row>
    <x:row r="525" ht="22" customHeight="1">
      <x:c r="A525" s="14"/>
      <x:c r="B525" s="15"/>
      <x:c r="C525" s="16" t="str">
        <x:f>IF(AND(ISNUMBER(B525),ISNUMBER(B524),B525&gt;0,B524&gt;0),LN(B525/B524),"")</x:f>
      </x:c>
      <x:c r="D525" s="16" t="str">
        <x:f>IF(ISNUMBER(C525),ABS(C525),"")</x:f>
      </x:c>
      <x:c r="E525" s="16" t="str">
        <x:f>IF(ISNUMBER(C525),C525^2,"")</x:f>
      </x:c>
      <x:c r="F525" s="16" t="str">
        <x:f>IF(AND(ISNUMBER(C525),ISNUMBER($J$6),$J$6&gt;0),(C525-$J$5)/$J$6,"")</x:f>
      </x:c>
      <x:c r="G525" s="1" t="str">
        <x:f>IF(ISNUMBER(F525),IF(ABS(F525)&gt;3,1,0),"")</x:f>
      </x:c>
      <x:c r="H525" s="1" t="str">
        <x:f>IF(ISNUMBER(F525),F525^4,"")</x:f>
      </x:c>
      <x:c r="I525" s="1"/>
      <x:c r="J525" s="1"/>
      <x:c r="K525" s="1"/>
      <x:c r="L525" s="1"/>
      <x:c r="M525" s="1"/>
      <x:c r="N525" s="1"/>
    </x:row>
    <x:row r="526" ht="22" customHeight="1">
      <x:c r="A526" s="14"/>
      <x:c r="B526" s="15"/>
      <x:c r="C526" s="16" t="str">
        <x:f>IF(AND(ISNUMBER(B526),ISNUMBER(B525),B526&gt;0,B525&gt;0),LN(B526/B525),"")</x:f>
      </x:c>
      <x:c r="D526" s="16" t="str">
        <x:f>IF(ISNUMBER(C526),ABS(C526),"")</x:f>
      </x:c>
      <x:c r="E526" s="16" t="str">
        <x:f>IF(ISNUMBER(C526),C526^2,"")</x:f>
      </x:c>
      <x:c r="F526" s="16" t="str">
        <x:f>IF(AND(ISNUMBER(C526),ISNUMBER($J$6),$J$6&gt;0),(C526-$J$5)/$J$6,"")</x:f>
      </x:c>
      <x:c r="G526" s="1" t="str">
        <x:f>IF(ISNUMBER(F526),IF(ABS(F526)&gt;3,1,0),"")</x:f>
      </x:c>
      <x:c r="H526" s="1" t="str">
        <x:f>IF(ISNUMBER(F526),F526^4,"")</x:f>
      </x:c>
      <x:c r="I526" s="1"/>
      <x:c r="J526" s="1"/>
      <x:c r="K526" s="1"/>
      <x:c r="L526" s="1"/>
      <x:c r="M526" s="1"/>
      <x:c r="N526" s="1"/>
    </x:row>
    <x:row r="527" ht="22" customHeight="1">
      <x:c r="A527" s="14"/>
      <x:c r="B527" s="15"/>
      <x:c r="C527" s="16" t="str">
        <x:f>IF(AND(ISNUMBER(B527),ISNUMBER(B526),B527&gt;0,B526&gt;0),LN(B527/B526),"")</x:f>
      </x:c>
      <x:c r="D527" s="16" t="str">
        <x:f>IF(ISNUMBER(C527),ABS(C527),"")</x:f>
      </x:c>
      <x:c r="E527" s="16" t="str">
        <x:f>IF(ISNUMBER(C527),C527^2,"")</x:f>
      </x:c>
      <x:c r="F527" s="16" t="str">
        <x:f>IF(AND(ISNUMBER(C527),ISNUMBER($J$6),$J$6&gt;0),(C527-$J$5)/$J$6,"")</x:f>
      </x:c>
      <x:c r="G527" s="1" t="str">
        <x:f>IF(ISNUMBER(F527),IF(ABS(F527)&gt;3,1,0),"")</x:f>
      </x:c>
      <x:c r="H527" s="1" t="str">
        <x:f>IF(ISNUMBER(F527),F527^4,"")</x:f>
      </x:c>
      <x:c r="I527" s="1"/>
      <x:c r="J527" s="1"/>
      <x:c r="K527" s="1"/>
      <x:c r="L527" s="1"/>
      <x:c r="M527" s="1"/>
      <x:c r="N527" s="1"/>
    </x:row>
    <x:row r="528" ht="22" customHeight="1">
      <x:c r="A528" s="14"/>
      <x:c r="B528" s="15"/>
      <x:c r="C528" s="16" t="str">
        <x:f>IF(AND(ISNUMBER(B528),ISNUMBER(B527),B528&gt;0,B527&gt;0),LN(B528/B527),"")</x:f>
      </x:c>
      <x:c r="D528" s="16" t="str">
        <x:f>IF(ISNUMBER(C528),ABS(C528),"")</x:f>
      </x:c>
      <x:c r="E528" s="16" t="str">
        <x:f>IF(ISNUMBER(C528),C528^2,"")</x:f>
      </x:c>
      <x:c r="F528" s="16" t="str">
        <x:f>IF(AND(ISNUMBER(C528),ISNUMBER($J$6),$J$6&gt;0),(C528-$J$5)/$J$6,"")</x:f>
      </x:c>
      <x:c r="G528" s="1" t="str">
        <x:f>IF(ISNUMBER(F528),IF(ABS(F528)&gt;3,1,0),"")</x:f>
      </x:c>
      <x:c r="H528" s="1" t="str">
        <x:f>IF(ISNUMBER(F528),F528^4,"")</x:f>
      </x:c>
      <x:c r="I528" s="1"/>
      <x:c r="J528" s="1"/>
      <x:c r="K528" s="1"/>
      <x:c r="L528" s="1"/>
      <x:c r="M528" s="1"/>
      <x:c r="N528" s="1"/>
    </x:row>
    <x:row r="529" ht="22" customHeight="1">
      <x:c r="A529" s="14"/>
      <x:c r="B529" s="15"/>
      <x:c r="C529" s="16" t="str">
        <x:f>IF(AND(ISNUMBER(B529),ISNUMBER(B528),B529&gt;0,B528&gt;0),LN(B529/B528),"")</x:f>
      </x:c>
      <x:c r="D529" s="16" t="str">
        <x:f>IF(ISNUMBER(C529),ABS(C529),"")</x:f>
      </x:c>
      <x:c r="E529" s="16" t="str">
        <x:f>IF(ISNUMBER(C529),C529^2,"")</x:f>
      </x:c>
      <x:c r="F529" s="16" t="str">
        <x:f>IF(AND(ISNUMBER(C529),ISNUMBER($J$6),$J$6&gt;0),(C529-$J$5)/$J$6,"")</x:f>
      </x:c>
      <x:c r="G529" s="1" t="str">
        <x:f>IF(ISNUMBER(F529),IF(ABS(F529)&gt;3,1,0),"")</x:f>
      </x:c>
      <x:c r="H529" s="1" t="str">
        <x:f>IF(ISNUMBER(F529),F529^4,"")</x:f>
      </x:c>
      <x:c r="I529" s="1"/>
      <x:c r="J529" s="1"/>
      <x:c r="K529" s="1"/>
      <x:c r="L529" s="1"/>
      <x:c r="M529" s="1"/>
      <x:c r="N529" s="1"/>
    </x:row>
    <x:row r="530" ht="22" customHeight="1">
      <x:c r="A530" s="14"/>
      <x:c r="B530" s="15"/>
      <x:c r="C530" s="16" t="str">
        <x:f>IF(AND(ISNUMBER(B530),ISNUMBER(B529),B530&gt;0,B529&gt;0),LN(B530/B529),"")</x:f>
      </x:c>
      <x:c r="D530" s="16" t="str">
        <x:f>IF(ISNUMBER(C530),ABS(C530),"")</x:f>
      </x:c>
      <x:c r="E530" s="16" t="str">
        <x:f>IF(ISNUMBER(C530),C530^2,"")</x:f>
      </x:c>
      <x:c r="F530" s="16" t="str">
        <x:f>IF(AND(ISNUMBER(C530),ISNUMBER($J$6),$J$6&gt;0),(C530-$J$5)/$J$6,"")</x:f>
      </x:c>
      <x:c r="G530" s="1" t="str">
        <x:f>IF(ISNUMBER(F530),IF(ABS(F530)&gt;3,1,0),"")</x:f>
      </x:c>
      <x:c r="H530" s="1" t="str">
        <x:f>IF(ISNUMBER(F530),F530^4,"")</x:f>
      </x:c>
      <x:c r="I530" s="1"/>
      <x:c r="J530" s="1"/>
      <x:c r="K530" s="1"/>
      <x:c r="L530" s="1"/>
      <x:c r="M530" s="1"/>
      <x:c r="N530" s="1"/>
    </x:row>
    <x:row r="531" ht="22" customHeight="1">
      <x:c r="A531" s="14"/>
      <x:c r="B531" s="15"/>
      <x:c r="C531" s="16" t="str">
        <x:f>IF(AND(ISNUMBER(B531),ISNUMBER(B530),B531&gt;0,B530&gt;0),LN(B531/B530),"")</x:f>
      </x:c>
      <x:c r="D531" s="16" t="str">
        <x:f>IF(ISNUMBER(C531),ABS(C531),"")</x:f>
      </x:c>
      <x:c r="E531" s="16" t="str">
        <x:f>IF(ISNUMBER(C531),C531^2,"")</x:f>
      </x:c>
      <x:c r="F531" s="16" t="str">
        <x:f>IF(AND(ISNUMBER(C531),ISNUMBER($J$6),$J$6&gt;0),(C531-$J$5)/$J$6,"")</x:f>
      </x:c>
      <x:c r="G531" s="1" t="str">
        <x:f>IF(ISNUMBER(F531),IF(ABS(F531)&gt;3,1,0),"")</x:f>
      </x:c>
      <x:c r="H531" s="1" t="str">
        <x:f>IF(ISNUMBER(F531),F531^4,"")</x:f>
      </x:c>
      <x:c r="I531" s="1"/>
      <x:c r="J531" s="1"/>
      <x:c r="K531" s="1"/>
      <x:c r="L531" s="1"/>
      <x:c r="M531" s="1"/>
      <x:c r="N531" s="1"/>
    </x:row>
    <x:row r="532" ht="22" customHeight="1">
      <x:c r="A532" s="14"/>
      <x:c r="B532" s="15"/>
      <x:c r="C532" s="16" t="str">
        <x:f>IF(AND(ISNUMBER(B532),ISNUMBER(B531),B532&gt;0,B531&gt;0),LN(B532/B531),"")</x:f>
      </x:c>
      <x:c r="D532" s="16" t="str">
        <x:f>IF(ISNUMBER(C532),ABS(C532),"")</x:f>
      </x:c>
      <x:c r="E532" s="16" t="str">
        <x:f>IF(ISNUMBER(C532),C532^2,"")</x:f>
      </x:c>
      <x:c r="F532" s="16" t="str">
        <x:f>IF(AND(ISNUMBER(C532),ISNUMBER($J$6),$J$6&gt;0),(C532-$J$5)/$J$6,"")</x:f>
      </x:c>
      <x:c r="G532" s="1" t="str">
        <x:f>IF(ISNUMBER(F532),IF(ABS(F532)&gt;3,1,0),"")</x:f>
      </x:c>
      <x:c r="H532" s="1" t="str">
        <x:f>IF(ISNUMBER(F532),F532^4,"")</x:f>
      </x:c>
      <x:c r="I532" s="1"/>
      <x:c r="J532" s="1"/>
      <x:c r="K532" s="1"/>
      <x:c r="L532" s="1"/>
      <x:c r="M532" s="1"/>
      <x:c r="N532" s="1"/>
    </x:row>
    <x:row r="533" ht="22" customHeight="1">
      <x:c r="A533" s="14"/>
      <x:c r="B533" s="15"/>
      <x:c r="C533" s="16" t="str">
        <x:f>IF(AND(ISNUMBER(B533),ISNUMBER(B532),B533&gt;0,B532&gt;0),LN(B533/B532),"")</x:f>
      </x:c>
      <x:c r="D533" s="16" t="str">
        <x:f>IF(ISNUMBER(C533),ABS(C533),"")</x:f>
      </x:c>
      <x:c r="E533" s="16" t="str">
        <x:f>IF(ISNUMBER(C533),C533^2,"")</x:f>
      </x:c>
      <x:c r="F533" s="16" t="str">
        <x:f>IF(AND(ISNUMBER(C533),ISNUMBER($J$6),$J$6&gt;0),(C533-$J$5)/$J$6,"")</x:f>
      </x:c>
      <x:c r="G533" s="1" t="str">
        <x:f>IF(ISNUMBER(F533),IF(ABS(F533)&gt;3,1,0),"")</x:f>
      </x:c>
      <x:c r="H533" s="1" t="str">
        <x:f>IF(ISNUMBER(F533),F533^4,"")</x:f>
      </x:c>
      <x:c r="I533" s="1"/>
      <x:c r="J533" s="1"/>
      <x:c r="K533" s="1"/>
      <x:c r="L533" s="1"/>
      <x:c r="M533" s="1"/>
      <x:c r="N533" s="1"/>
    </x:row>
    <x:row r="534" ht="22" customHeight="1">
      <x:c r="A534" s="14"/>
      <x:c r="B534" s="15"/>
      <x:c r="C534" s="16" t="str">
        <x:f>IF(AND(ISNUMBER(B534),ISNUMBER(B533),B534&gt;0,B533&gt;0),LN(B534/B533),"")</x:f>
      </x:c>
      <x:c r="D534" s="16" t="str">
        <x:f>IF(ISNUMBER(C534),ABS(C534),"")</x:f>
      </x:c>
      <x:c r="E534" s="16" t="str">
        <x:f>IF(ISNUMBER(C534),C534^2,"")</x:f>
      </x:c>
      <x:c r="F534" s="16" t="str">
        <x:f>IF(AND(ISNUMBER(C534),ISNUMBER($J$6),$J$6&gt;0),(C534-$J$5)/$J$6,"")</x:f>
      </x:c>
      <x:c r="G534" s="1" t="str">
        <x:f>IF(ISNUMBER(F534),IF(ABS(F534)&gt;3,1,0),"")</x:f>
      </x:c>
      <x:c r="H534" s="1" t="str">
        <x:f>IF(ISNUMBER(F534),F534^4,"")</x:f>
      </x:c>
      <x:c r="I534" s="1"/>
      <x:c r="J534" s="1"/>
      <x:c r="K534" s="1"/>
      <x:c r="L534" s="1"/>
      <x:c r="M534" s="1"/>
      <x:c r="N534" s="1"/>
    </x:row>
    <x:row r="535" ht="22" customHeight="1">
      <x:c r="A535" s="14"/>
      <x:c r="B535" s="15"/>
      <x:c r="C535" s="16" t="str">
        <x:f>IF(AND(ISNUMBER(B535),ISNUMBER(B534),B535&gt;0,B534&gt;0),LN(B535/B534),"")</x:f>
      </x:c>
      <x:c r="D535" s="16" t="str">
        <x:f>IF(ISNUMBER(C535),ABS(C535),"")</x:f>
      </x:c>
      <x:c r="E535" s="16" t="str">
        <x:f>IF(ISNUMBER(C535),C535^2,"")</x:f>
      </x:c>
      <x:c r="F535" s="16" t="str">
        <x:f>IF(AND(ISNUMBER(C535),ISNUMBER($J$6),$J$6&gt;0),(C535-$J$5)/$J$6,"")</x:f>
      </x:c>
      <x:c r="G535" s="1" t="str">
        <x:f>IF(ISNUMBER(F535),IF(ABS(F535)&gt;3,1,0),"")</x:f>
      </x:c>
      <x:c r="H535" s="1" t="str">
        <x:f>IF(ISNUMBER(F535),F535^4,"")</x:f>
      </x:c>
      <x:c r="I535" s="1"/>
      <x:c r="J535" s="1"/>
      <x:c r="K535" s="1"/>
      <x:c r="L535" s="1"/>
      <x:c r="M535" s="1"/>
      <x:c r="N535" s="1"/>
    </x:row>
    <x:row r="536" ht="22" customHeight="1">
      <x:c r="A536" s="14"/>
      <x:c r="B536" s="15"/>
      <x:c r="C536" s="16" t="str">
        <x:f>IF(AND(ISNUMBER(B536),ISNUMBER(B535),B536&gt;0,B535&gt;0),LN(B536/B535),"")</x:f>
      </x:c>
      <x:c r="D536" s="16" t="str">
        <x:f>IF(ISNUMBER(C536),ABS(C536),"")</x:f>
      </x:c>
      <x:c r="E536" s="16" t="str">
        <x:f>IF(ISNUMBER(C536),C536^2,"")</x:f>
      </x:c>
      <x:c r="F536" s="16" t="str">
        <x:f>IF(AND(ISNUMBER(C536),ISNUMBER($J$6),$J$6&gt;0),(C536-$J$5)/$J$6,"")</x:f>
      </x:c>
      <x:c r="G536" s="1" t="str">
        <x:f>IF(ISNUMBER(F536),IF(ABS(F536)&gt;3,1,0),"")</x:f>
      </x:c>
      <x:c r="H536" s="1" t="str">
        <x:f>IF(ISNUMBER(F536),F536^4,"")</x:f>
      </x:c>
      <x:c r="I536" s="1"/>
      <x:c r="J536" s="1"/>
      <x:c r="K536" s="1"/>
      <x:c r="L536" s="1"/>
      <x:c r="M536" s="1"/>
      <x:c r="N536" s="1"/>
    </x:row>
    <x:row r="537" ht="22" customHeight="1">
      <x:c r="A537" s="14"/>
      <x:c r="B537" s="15"/>
      <x:c r="C537" s="16" t="str">
        <x:f>IF(AND(ISNUMBER(B537),ISNUMBER(B536),B537&gt;0,B536&gt;0),LN(B537/B536),"")</x:f>
      </x:c>
      <x:c r="D537" s="16" t="str">
        <x:f>IF(ISNUMBER(C537),ABS(C537),"")</x:f>
      </x:c>
      <x:c r="E537" s="16" t="str">
        <x:f>IF(ISNUMBER(C537),C537^2,"")</x:f>
      </x:c>
      <x:c r="F537" s="16" t="str">
        <x:f>IF(AND(ISNUMBER(C537),ISNUMBER($J$6),$J$6&gt;0),(C537-$J$5)/$J$6,"")</x:f>
      </x:c>
      <x:c r="G537" s="1" t="str">
        <x:f>IF(ISNUMBER(F537),IF(ABS(F537)&gt;3,1,0),"")</x:f>
      </x:c>
      <x:c r="H537" s="1" t="str">
        <x:f>IF(ISNUMBER(F537),F537^4,"")</x:f>
      </x:c>
      <x:c r="I537" s="1"/>
      <x:c r="J537" s="1"/>
      <x:c r="K537" s="1"/>
      <x:c r="L537" s="1"/>
      <x:c r="M537" s="1"/>
      <x:c r="N537" s="1"/>
    </x:row>
    <x:row r="538" ht="22" customHeight="1">
      <x:c r="A538" s="14"/>
      <x:c r="B538" s="15"/>
      <x:c r="C538" s="16" t="str">
        <x:f>IF(AND(ISNUMBER(B538),ISNUMBER(B537),B538&gt;0,B537&gt;0),LN(B538/B537),"")</x:f>
      </x:c>
      <x:c r="D538" s="16" t="str">
        <x:f>IF(ISNUMBER(C538),ABS(C538),"")</x:f>
      </x:c>
      <x:c r="E538" s="16" t="str">
        <x:f>IF(ISNUMBER(C538),C538^2,"")</x:f>
      </x:c>
      <x:c r="F538" s="16" t="str">
        <x:f>IF(AND(ISNUMBER(C538),ISNUMBER($J$6),$J$6&gt;0),(C538-$J$5)/$J$6,"")</x:f>
      </x:c>
      <x:c r="G538" s="1" t="str">
        <x:f>IF(ISNUMBER(F538),IF(ABS(F538)&gt;3,1,0),"")</x:f>
      </x:c>
      <x:c r="H538" s="1" t="str">
        <x:f>IF(ISNUMBER(F538),F538^4,"")</x:f>
      </x:c>
      <x:c r="I538" s="1"/>
      <x:c r="J538" s="1"/>
      <x:c r="K538" s="1"/>
      <x:c r="L538" s="1"/>
      <x:c r="M538" s="1"/>
      <x:c r="N538" s="1"/>
    </x:row>
    <x:row r="539" ht="22" customHeight="1">
      <x:c r="A539" s="14"/>
      <x:c r="B539" s="15"/>
      <x:c r="C539" s="16" t="str">
        <x:f>IF(AND(ISNUMBER(B539),ISNUMBER(B538),B539&gt;0,B538&gt;0),LN(B539/B538),"")</x:f>
      </x:c>
      <x:c r="D539" s="16" t="str">
        <x:f>IF(ISNUMBER(C539),ABS(C539),"")</x:f>
      </x:c>
      <x:c r="E539" s="16" t="str">
        <x:f>IF(ISNUMBER(C539),C539^2,"")</x:f>
      </x:c>
      <x:c r="F539" s="16" t="str">
        <x:f>IF(AND(ISNUMBER(C539),ISNUMBER($J$6),$J$6&gt;0),(C539-$J$5)/$J$6,"")</x:f>
      </x:c>
      <x:c r="G539" s="1" t="str">
        <x:f>IF(ISNUMBER(F539),IF(ABS(F539)&gt;3,1,0),"")</x:f>
      </x:c>
      <x:c r="H539" s="1" t="str">
        <x:f>IF(ISNUMBER(F539),F539^4,"")</x:f>
      </x:c>
      <x:c r="I539" s="1"/>
      <x:c r="J539" s="1"/>
      <x:c r="K539" s="1"/>
      <x:c r="L539" s="1"/>
      <x:c r="M539" s="1"/>
      <x:c r="N539" s="1"/>
    </x:row>
    <x:row r="540" ht="22" customHeight="1">
      <x:c r="A540" s="14"/>
      <x:c r="B540" s="15"/>
      <x:c r="C540" s="16" t="str">
        <x:f>IF(AND(ISNUMBER(B540),ISNUMBER(B539),B540&gt;0,B539&gt;0),LN(B540/B539),"")</x:f>
      </x:c>
      <x:c r="D540" s="16" t="str">
        <x:f>IF(ISNUMBER(C540),ABS(C540),"")</x:f>
      </x:c>
      <x:c r="E540" s="16" t="str">
        <x:f>IF(ISNUMBER(C540),C540^2,"")</x:f>
      </x:c>
      <x:c r="F540" s="16" t="str">
        <x:f>IF(AND(ISNUMBER(C540),ISNUMBER($J$6),$J$6&gt;0),(C540-$J$5)/$J$6,"")</x:f>
      </x:c>
      <x:c r="G540" s="1" t="str">
        <x:f>IF(ISNUMBER(F540),IF(ABS(F540)&gt;3,1,0),"")</x:f>
      </x:c>
      <x:c r="H540" s="1" t="str">
        <x:f>IF(ISNUMBER(F540),F540^4,"")</x:f>
      </x:c>
      <x:c r="I540" s="1"/>
      <x:c r="J540" s="1"/>
      <x:c r="K540" s="1"/>
      <x:c r="L540" s="1"/>
      <x:c r="M540" s="1"/>
      <x:c r="N540" s="1"/>
    </x:row>
    <x:row r="541" ht="22" customHeight="1">
      <x:c r="A541" s="14"/>
      <x:c r="B541" s="15"/>
      <x:c r="C541" s="16" t="str">
        <x:f>IF(AND(ISNUMBER(B541),ISNUMBER(B540),B541&gt;0,B540&gt;0),LN(B541/B540),"")</x:f>
      </x:c>
      <x:c r="D541" s="16" t="str">
        <x:f>IF(ISNUMBER(C541),ABS(C541),"")</x:f>
      </x:c>
      <x:c r="E541" s="16" t="str">
        <x:f>IF(ISNUMBER(C541),C541^2,"")</x:f>
      </x:c>
      <x:c r="F541" s="16" t="str">
        <x:f>IF(AND(ISNUMBER(C541),ISNUMBER($J$6),$J$6&gt;0),(C541-$J$5)/$J$6,"")</x:f>
      </x:c>
      <x:c r="G541" s="1" t="str">
        <x:f>IF(ISNUMBER(F541),IF(ABS(F541)&gt;3,1,0),"")</x:f>
      </x:c>
      <x:c r="H541" s="1" t="str">
        <x:f>IF(ISNUMBER(F541),F541^4,"")</x:f>
      </x:c>
      <x:c r="I541" s="1"/>
      <x:c r="J541" s="1"/>
      <x:c r="K541" s="1"/>
      <x:c r="L541" s="1"/>
      <x:c r="M541" s="1"/>
      <x:c r="N541" s="1"/>
    </x:row>
    <x:row r="542" ht="22" customHeight="1">
      <x:c r="A542" s="14"/>
      <x:c r="B542" s="15"/>
      <x:c r="C542" s="16" t="str">
        <x:f>IF(AND(ISNUMBER(B542),ISNUMBER(B541),B542&gt;0,B541&gt;0),LN(B542/B541),"")</x:f>
      </x:c>
      <x:c r="D542" s="16" t="str">
        <x:f>IF(ISNUMBER(C542),ABS(C542),"")</x:f>
      </x:c>
      <x:c r="E542" s="16" t="str">
        <x:f>IF(ISNUMBER(C542),C542^2,"")</x:f>
      </x:c>
      <x:c r="F542" s="16" t="str">
        <x:f>IF(AND(ISNUMBER(C542),ISNUMBER($J$6),$J$6&gt;0),(C542-$J$5)/$J$6,"")</x:f>
      </x:c>
      <x:c r="G542" s="1" t="str">
        <x:f>IF(ISNUMBER(F542),IF(ABS(F542)&gt;3,1,0),"")</x:f>
      </x:c>
      <x:c r="H542" s="1" t="str">
        <x:f>IF(ISNUMBER(F542),F542^4,"")</x:f>
      </x:c>
      <x:c r="I542" s="1"/>
      <x:c r="J542" s="1"/>
      <x:c r="K542" s="1"/>
      <x:c r="L542" s="1"/>
      <x:c r="M542" s="1"/>
      <x:c r="N542" s="1"/>
    </x:row>
    <x:row r="543" ht="22" customHeight="1">
      <x:c r="A543" s="14"/>
      <x:c r="B543" s="15"/>
      <x:c r="C543" s="16" t="str">
        <x:f>IF(AND(ISNUMBER(B543),ISNUMBER(B542),B543&gt;0,B542&gt;0),LN(B543/B542),"")</x:f>
      </x:c>
      <x:c r="D543" s="16" t="str">
        <x:f>IF(ISNUMBER(C543),ABS(C543),"")</x:f>
      </x:c>
      <x:c r="E543" s="16" t="str">
        <x:f>IF(ISNUMBER(C543),C543^2,"")</x:f>
      </x:c>
      <x:c r="F543" s="16" t="str">
        <x:f>IF(AND(ISNUMBER(C543),ISNUMBER($J$6),$J$6&gt;0),(C543-$J$5)/$J$6,"")</x:f>
      </x:c>
      <x:c r="G543" s="1" t="str">
        <x:f>IF(ISNUMBER(F543),IF(ABS(F543)&gt;3,1,0),"")</x:f>
      </x:c>
      <x:c r="H543" s="1" t="str">
        <x:f>IF(ISNUMBER(F543),F543^4,"")</x:f>
      </x:c>
      <x:c r="I543" s="1"/>
      <x:c r="J543" s="1"/>
      <x:c r="K543" s="1"/>
      <x:c r="L543" s="1"/>
      <x:c r="M543" s="1"/>
      <x:c r="N543" s="1"/>
    </x:row>
    <x:row r="544" ht="22" customHeight="1">
      <x:c r="A544" s="14"/>
      <x:c r="B544" s="15"/>
      <x:c r="C544" s="16" t="str">
        <x:f>IF(AND(ISNUMBER(B544),ISNUMBER(B543),B544&gt;0,B543&gt;0),LN(B544/B543),"")</x:f>
      </x:c>
      <x:c r="D544" s="16" t="str">
        <x:f>IF(ISNUMBER(C544),ABS(C544),"")</x:f>
      </x:c>
      <x:c r="E544" s="16" t="str">
        <x:f>IF(ISNUMBER(C544),C544^2,"")</x:f>
      </x:c>
      <x:c r="F544" s="16" t="str">
        <x:f>IF(AND(ISNUMBER(C544),ISNUMBER($J$6),$J$6&gt;0),(C544-$J$5)/$J$6,"")</x:f>
      </x:c>
      <x:c r="G544" s="1" t="str">
        <x:f>IF(ISNUMBER(F544),IF(ABS(F544)&gt;3,1,0),"")</x:f>
      </x:c>
      <x:c r="H544" s="1" t="str">
        <x:f>IF(ISNUMBER(F544),F544^4,"")</x:f>
      </x:c>
      <x:c r="I544" s="1"/>
      <x:c r="J544" s="1"/>
      <x:c r="K544" s="1"/>
      <x:c r="L544" s="1"/>
      <x:c r="M544" s="1"/>
      <x:c r="N544" s="1"/>
    </x:row>
    <x:row r="545" ht="22" customHeight="1">
      <x:c r="A545" s="14"/>
      <x:c r="B545" s="15"/>
      <x:c r="C545" s="16" t="str">
        <x:f>IF(AND(ISNUMBER(B545),ISNUMBER(B544),B545&gt;0,B544&gt;0),LN(B545/B544),"")</x:f>
      </x:c>
      <x:c r="D545" s="16" t="str">
        <x:f>IF(ISNUMBER(C545),ABS(C545),"")</x:f>
      </x:c>
      <x:c r="E545" s="16" t="str">
        <x:f>IF(ISNUMBER(C545),C545^2,"")</x:f>
      </x:c>
      <x:c r="F545" s="16" t="str">
        <x:f>IF(AND(ISNUMBER(C545),ISNUMBER($J$6),$J$6&gt;0),(C545-$J$5)/$J$6,"")</x:f>
      </x:c>
      <x:c r="G545" s="1" t="str">
        <x:f>IF(ISNUMBER(F545),IF(ABS(F545)&gt;3,1,0),"")</x:f>
      </x:c>
      <x:c r="H545" s="1" t="str">
        <x:f>IF(ISNUMBER(F545),F545^4,"")</x:f>
      </x:c>
      <x:c r="I545" s="1"/>
      <x:c r="J545" s="1"/>
      <x:c r="K545" s="1"/>
      <x:c r="L545" s="1"/>
      <x:c r="M545" s="1"/>
      <x:c r="N545" s="1"/>
    </x:row>
    <x:row r="546" ht="22" customHeight="1">
      <x:c r="A546" s="14"/>
      <x:c r="B546" s="15"/>
      <x:c r="C546" s="16" t="str">
        <x:f>IF(AND(ISNUMBER(B546),ISNUMBER(B545),B546&gt;0,B545&gt;0),LN(B546/B545),"")</x:f>
      </x:c>
      <x:c r="D546" s="16" t="str">
        <x:f>IF(ISNUMBER(C546),ABS(C546),"")</x:f>
      </x:c>
      <x:c r="E546" s="16" t="str">
        <x:f>IF(ISNUMBER(C546),C546^2,"")</x:f>
      </x:c>
      <x:c r="F546" s="16" t="str">
        <x:f>IF(AND(ISNUMBER(C546),ISNUMBER($J$6),$J$6&gt;0),(C546-$J$5)/$J$6,"")</x:f>
      </x:c>
      <x:c r="G546" s="1" t="str">
        <x:f>IF(ISNUMBER(F546),IF(ABS(F546)&gt;3,1,0),"")</x:f>
      </x:c>
      <x:c r="H546" s="1" t="str">
        <x:f>IF(ISNUMBER(F546),F546^4,"")</x:f>
      </x:c>
      <x:c r="I546" s="1"/>
      <x:c r="J546" s="1"/>
      <x:c r="K546" s="1"/>
      <x:c r="L546" s="1"/>
      <x:c r="M546" s="1"/>
      <x:c r="N546" s="1"/>
    </x:row>
    <x:row r="547" ht="22" customHeight="1">
      <x:c r="A547" s="14"/>
      <x:c r="B547" s="15"/>
      <x:c r="C547" s="16" t="str">
        <x:f>IF(AND(ISNUMBER(B547),ISNUMBER(B546),B547&gt;0,B546&gt;0),LN(B547/B546),"")</x:f>
      </x:c>
      <x:c r="D547" s="16" t="str">
        <x:f>IF(ISNUMBER(C547),ABS(C547),"")</x:f>
      </x:c>
      <x:c r="E547" s="16" t="str">
        <x:f>IF(ISNUMBER(C547),C547^2,"")</x:f>
      </x:c>
      <x:c r="F547" s="16" t="str">
        <x:f>IF(AND(ISNUMBER(C547),ISNUMBER($J$6),$J$6&gt;0),(C547-$J$5)/$J$6,"")</x:f>
      </x:c>
      <x:c r="G547" s="1" t="str">
        <x:f>IF(ISNUMBER(F547),IF(ABS(F547)&gt;3,1,0),"")</x:f>
      </x:c>
      <x:c r="H547" s="1" t="str">
        <x:f>IF(ISNUMBER(F547),F547^4,"")</x:f>
      </x:c>
      <x:c r="I547" s="1"/>
      <x:c r="J547" s="1"/>
      <x:c r="K547" s="1"/>
      <x:c r="L547" s="1"/>
      <x:c r="M547" s="1"/>
      <x:c r="N547" s="1"/>
    </x:row>
    <x:row r="548" ht="22" customHeight="1">
      <x:c r="A548" s="14"/>
      <x:c r="B548" s="15"/>
      <x:c r="C548" s="16" t="str">
        <x:f>IF(AND(ISNUMBER(B548),ISNUMBER(B547),B548&gt;0,B547&gt;0),LN(B548/B547),"")</x:f>
      </x:c>
      <x:c r="D548" s="16" t="str">
        <x:f>IF(ISNUMBER(C548),ABS(C548),"")</x:f>
      </x:c>
      <x:c r="E548" s="16" t="str">
        <x:f>IF(ISNUMBER(C548),C548^2,"")</x:f>
      </x:c>
      <x:c r="F548" s="16" t="str">
        <x:f>IF(AND(ISNUMBER(C548),ISNUMBER($J$6),$J$6&gt;0),(C548-$J$5)/$J$6,"")</x:f>
      </x:c>
      <x:c r="G548" s="1" t="str">
        <x:f>IF(ISNUMBER(F548),IF(ABS(F548)&gt;3,1,0),"")</x:f>
      </x:c>
      <x:c r="H548" s="1" t="str">
        <x:f>IF(ISNUMBER(F548),F548^4,"")</x:f>
      </x:c>
      <x:c r="I548" s="1"/>
      <x:c r="J548" s="1"/>
      <x:c r="K548" s="1"/>
      <x:c r="L548" s="1"/>
      <x:c r="M548" s="1"/>
      <x:c r="N548" s="1"/>
    </x:row>
    <x:row r="549" ht="22" customHeight="1">
      <x:c r="A549" s="14"/>
      <x:c r="B549" s="15"/>
      <x:c r="C549" s="16" t="str">
        <x:f>IF(AND(ISNUMBER(B549),ISNUMBER(B548),B549&gt;0,B548&gt;0),LN(B549/B548),"")</x:f>
      </x:c>
      <x:c r="D549" s="16" t="str">
        <x:f>IF(ISNUMBER(C549),ABS(C549),"")</x:f>
      </x:c>
      <x:c r="E549" s="16" t="str">
        <x:f>IF(ISNUMBER(C549),C549^2,"")</x:f>
      </x:c>
      <x:c r="F549" s="16" t="str">
        <x:f>IF(AND(ISNUMBER(C549),ISNUMBER($J$6),$J$6&gt;0),(C549-$J$5)/$J$6,"")</x:f>
      </x:c>
      <x:c r="G549" s="1" t="str">
        <x:f>IF(ISNUMBER(F549),IF(ABS(F549)&gt;3,1,0),"")</x:f>
      </x:c>
      <x:c r="H549" s="1" t="str">
        <x:f>IF(ISNUMBER(F549),F549^4,"")</x:f>
      </x:c>
      <x:c r="I549" s="1"/>
      <x:c r="J549" s="1"/>
      <x:c r="K549" s="1"/>
      <x:c r="L549" s="1"/>
      <x:c r="M549" s="1"/>
      <x:c r="N549" s="1"/>
    </x:row>
    <x:row r="550" ht="22" customHeight="1">
      <x:c r="A550" s="14"/>
      <x:c r="B550" s="15"/>
      <x:c r="C550" s="16" t="str">
        <x:f>IF(AND(ISNUMBER(B550),ISNUMBER(B549),B550&gt;0,B549&gt;0),LN(B550/B549),"")</x:f>
      </x:c>
      <x:c r="D550" s="16" t="str">
        <x:f>IF(ISNUMBER(C550),ABS(C550),"")</x:f>
      </x:c>
      <x:c r="E550" s="16" t="str">
        <x:f>IF(ISNUMBER(C550),C550^2,"")</x:f>
      </x:c>
      <x:c r="F550" s="16" t="str">
        <x:f>IF(AND(ISNUMBER(C550),ISNUMBER($J$6),$J$6&gt;0),(C550-$J$5)/$J$6,"")</x:f>
      </x:c>
      <x:c r="G550" s="1" t="str">
        <x:f>IF(ISNUMBER(F550),IF(ABS(F550)&gt;3,1,0),"")</x:f>
      </x:c>
      <x:c r="H550" s="1" t="str">
        <x:f>IF(ISNUMBER(F550),F550^4,"")</x:f>
      </x:c>
      <x:c r="I550" s="1"/>
      <x:c r="J550" s="1"/>
      <x:c r="K550" s="1"/>
      <x:c r="L550" s="1"/>
      <x:c r="M550" s="1"/>
      <x:c r="N550" s="1"/>
    </x:row>
    <x:row r="551" ht="22" customHeight="1">
      <x:c r="A551" s="14"/>
      <x:c r="B551" s="15"/>
      <x:c r="C551" s="16" t="str">
        <x:f>IF(AND(ISNUMBER(B551),ISNUMBER(B550),B551&gt;0,B550&gt;0),LN(B551/B550),"")</x:f>
      </x:c>
      <x:c r="D551" s="16" t="str">
        <x:f>IF(ISNUMBER(C551),ABS(C551),"")</x:f>
      </x:c>
      <x:c r="E551" s="16" t="str">
        <x:f>IF(ISNUMBER(C551),C551^2,"")</x:f>
      </x:c>
      <x:c r="F551" s="16" t="str">
        <x:f>IF(AND(ISNUMBER(C551),ISNUMBER($J$6),$J$6&gt;0),(C551-$J$5)/$J$6,"")</x:f>
      </x:c>
      <x:c r="G551" s="1" t="str">
        <x:f>IF(ISNUMBER(F551),IF(ABS(F551)&gt;3,1,0),"")</x:f>
      </x:c>
      <x:c r="H551" s="1" t="str">
        <x:f>IF(ISNUMBER(F551),F551^4,"")</x:f>
      </x:c>
      <x:c r="I551" s="1"/>
      <x:c r="J551" s="1"/>
      <x:c r="K551" s="1"/>
      <x:c r="L551" s="1"/>
      <x:c r="M551" s="1"/>
      <x:c r="N551" s="1"/>
    </x:row>
    <x:row r="552" ht="22" customHeight="1">
      <x:c r="A552" s="14"/>
      <x:c r="B552" s="15"/>
      <x:c r="C552" s="16" t="str">
        <x:f>IF(AND(ISNUMBER(B552),ISNUMBER(B551),B552&gt;0,B551&gt;0),LN(B552/B551),"")</x:f>
      </x:c>
      <x:c r="D552" s="16" t="str">
        <x:f>IF(ISNUMBER(C552),ABS(C552),"")</x:f>
      </x:c>
      <x:c r="E552" s="16" t="str">
        <x:f>IF(ISNUMBER(C552),C552^2,"")</x:f>
      </x:c>
      <x:c r="F552" s="16" t="str">
        <x:f>IF(AND(ISNUMBER(C552),ISNUMBER($J$6),$J$6&gt;0),(C552-$J$5)/$J$6,"")</x:f>
      </x:c>
      <x:c r="G552" s="1" t="str">
        <x:f>IF(ISNUMBER(F552),IF(ABS(F552)&gt;3,1,0),"")</x:f>
      </x:c>
      <x:c r="H552" s="1" t="str">
        <x:f>IF(ISNUMBER(F552),F552^4,"")</x:f>
      </x:c>
      <x:c r="I552" s="1"/>
      <x:c r="J552" s="1"/>
      <x:c r="K552" s="1"/>
      <x:c r="L552" s="1"/>
      <x:c r="M552" s="1"/>
      <x:c r="N552" s="1"/>
    </x:row>
    <x:row r="553" ht="22" customHeight="1">
      <x:c r="A553" s="14"/>
      <x:c r="B553" s="15"/>
      <x:c r="C553" s="16" t="str">
        <x:f>IF(AND(ISNUMBER(B553),ISNUMBER(B552),B553&gt;0,B552&gt;0),LN(B553/B552),"")</x:f>
      </x:c>
      <x:c r="D553" s="16" t="str">
        <x:f>IF(ISNUMBER(C553),ABS(C553),"")</x:f>
      </x:c>
      <x:c r="E553" s="16" t="str">
        <x:f>IF(ISNUMBER(C553),C553^2,"")</x:f>
      </x:c>
      <x:c r="F553" s="16" t="str">
        <x:f>IF(AND(ISNUMBER(C553),ISNUMBER($J$6),$J$6&gt;0),(C553-$J$5)/$J$6,"")</x:f>
      </x:c>
      <x:c r="G553" s="1" t="str">
        <x:f>IF(ISNUMBER(F553),IF(ABS(F553)&gt;3,1,0),"")</x:f>
      </x:c>
      <x:c r="H553" s="1" t="str">
        <x:f>IF(ISNUMBER(F553),F553^4,"")</x:f>
      </x:c>
      <x:c r="I553" s="1"/>
      <x:c r="J553" s="1"/>
      <x:c r="K553" s="1"/>
      <x:c r="L553" s="1"/>
      <x:c r="M553" s="1"/>
      <x:c r="N553" s="1"/>
    </x:row>
    <x:row r="554" ht="22" customHeight="1">
      <x:c r="A554" s="14"/>
      <x:c r="B554" s="15"/>
      <x:c r="C554" s="16" t="str">
        <x:f>IF(AND(ISNUMBER(B554),ISNUMBER(B553),B554&gt;0,B553&gt;0),LN(B554/B553),"")</x:f>
      </x:c>
      <x:c r="D554" s="16" t="str">
        <x:f>IF(ISNUMBER(C554),ABS(C554),"")</x:f>
      </x:c>
      <x:c r="E554" s="16" t="str">
        <x:f>IF(ISNUMBER(C554),C554^2,"")</x:f>
      </x:c>
      <x:c r="F554" s="16" t="str">
        <x:f>IF(AND(ISNUMBER(C554),ISNUMBER($J$6),$J$6&gt;0),(C554-$J$5)/$J$6,"")</x:f>
      </x:c>
      <x:c r="G554" s="1" t="str">
        <x:f>IF(ISNUMBER(F554),IF(ABS(F554)&gt;3,1,0),"")</x:f>
      </x:c>
      <x:c r="H554" s="1" t="str">
        <x:f>IF(ISNUMBER(F554),F554^4,"")</x:f>
      </x:c>
      <x:c r="I554" s="1"/>
      <x:c r="J554" s="1"/>
      <x:c r="K554" s="1"/>
      <x:c r="L554" s="1"/>
      <x:c r="M554" s="1"/>
      <x:c r="N554" s="1"/>
    </x:row>
    <x:row r="555" ht="22" customHeight="1">
      <x:c r="A555" s="14"/>
      <x:c r="B555" s="15"/>
      <x:c r="C555" s="16" t="str">
        <x:f>IF(AND(ISNUMBER(B555),ISNUMBER(B554),B555&gt;0,B554&gt;0),LN(B555/B554),"")</x:f>
      </x:c>
      <x:c r="D555" s="16" t="str">
        <x:f>IF(ISNUMBER(C555),ABS(C555),"")</x:f>
      </x:c>
      <x:c r="E555" s="16" t="str">
        <x:f>IF(ISNUMBER(C555),C555^2,"")</x:f>
      </x:c>
      <x:c r="F555" s="16" t="str">
        <x:f>IF(AND(ISNUMBER(C555),ISNUMBER($J$6),$J$6&gt;0),(C555-$J$5)/$J$6,"")</x:f>
      </x:c>
      <x:c r="G555" s="1" t="str">
        <x:f>IF(ISNUMBER(F555),IF(ABS(F555)&gt;3,1,0),"")</x:f>
      </x:c>
      <x:c r="H555" s="1" t="str">
        <x:f>IF(ISNUMBER(F555),F555^4,"")</x:f>
      </x:c>
      <x:c r="I555" s="1"/>
      <x:c r="J555" s="1"/>
      <x:c r="K555" s="1"/>
      <x:c r="L555" s="1"/>
      <x:c r="M555" s="1"/>
      <x:c r="N555" s="1"/>
    </x:row>
    <x:row r="556" ht="22" customHeight="1">
      <x:c r="A556" s="14"/>
      <x:c r="B556" s="15"/>
      <x:c r="C556" s="16" t="str">
        <x:f>IF(AND(ISNUMBER(B556),ISNUMBER(B555),B556&gt;0,B555&gt;0),LN(B556/B555),"")</x:f>
      </x:c>
      <x:c r="D556" s="16" t="str">
        <x:f>IF(ISNUMBER(C556),ABS(C556),"")</x:f>
      </x:c>
      <x:c r="E556" s="16" t="str">
        <x:f>IF(ISNUMBER(C556),C556^2,"")</x:f>
      </x:c>
      <x:c r="F556" s="16" t="str">
        <x:f>IF(AND(ISNUMBER(C556),ISNUMBER($J$6),$J$6&gt;0),(C556-$J$5)/$J$6,"")</x:f>
      </x:c>
      <x:c r="G556" s="1" t="str">
        <x:f>IF(ISNUMBER(F556),IF(ABS(F556)&gt;3,1,0),"")</x:f>
      </x:c>
      <x:c r="H556" s="1" t="str">
        <x:f>IF(ISNUMBER(F556),F556^4,"")</x:f>
      </x:c>
      <x:c r="I556" s="1"/>
      <x:c r="J556" s="1"/>
      <x:c r="K556" s="1"/>
      <x:c r="L556" s="1"/>
      <x:c r="M556" s="1"/>
      <x:c r="N556" s="1"/>
    </x:row>
    <x:row r="557" ht="22" customHeight="1">
      <x:c r="A557" s="14"/>
      <x:c r="B557" s="15"/>
      <x:c r="C557" s="16" t="str">
        <x:f>IF(AND(ISNUMBER(B557),ISNUMBER(B556),B557&gt;0,B556&gt;0),LN(B557/B556),"")</x:f>
      </x:c>
      <x:c r="D557" s="16" t="str">
        <x:f>IF(ISNUMBER(C557),ABS(C557),"")</x:f>
      </x:c>
      <x:c r="E557" s="16" t="str">
        <x:f>IF(ISNUMBER(C557),C557^2,"")</x:f>
      </x:c>
      <x:c r="F557" s="16" t="str">
        <x:f>IF(AND(ISNUMBER(C557),ISNUMBER($J$6),$J$6&gt;0),(C557-$J$5)/$J$6,"")</x:f>
      </x:c>
      <x:c r="G557" s="1" t="str">
        <x:f>IF(ISNUMBER(F557),IF(ABS(F557)&gt;3,1,0),"")</x:f>
      </x:c>
      <x:c r="H557" s="1" t="str">
        <x:f>IF(ISNUMBER(F557),F557^4,"")</x:f>
      </x:c>
      <x:c r="I557" s="1"/>
      <x:c r="J557" s="1"/>
      <x:c r="K557" s="1"/>
      <x:c r="L557" s="1"/>
      <x:c r="M557" s="1"/>
      <x:c r="N557" s="1"/>
    </x:row>
    <x:row r="558" ht="22" customHeight="1">
      <x:c r="A558" s="14"/>
      <x:c r="B558" s="15"/>
      <x:c r="C558" s="16" t="str">
        <x:f>IF(AND(ISNUMBER(B558),ISNUMBER(B557),B558&gt;0,B557&gt;0),LN(B558/B557),"")</x:f>
      </x:c>
      <x:c r="D558" s="16" t="str">
        <x:f>IF(ISNUMBER(C558),ABS(C558),"")</x:f>
      </x:c>
      <x:c r="E558" s="16" t="str">
        <x:f>IF(ISNUMBER(C558),C558^2,"")</x:f>
      </x:c>
      <x:c r="F558" s="16" t="str">
        <x:f>IF(AND(ISNUMBER(C558),ISNUMBER($J$6),$J$6&gt;0),(C558-$J$5)/$J$6,"")</x:f>
      </x:c>
      <x:c r="G558" s="1" t="str">
        <x:f>IF(ISNUMBER(F558),IF(ABS(F558)&gt;3,1,0),"")</x:f>
      </x:c>
      <x:c r="H558" s="1" t="str">
        <x:f>IF(ISNUMBER(F558),F558^4,"")</x:f>
      </x:c>
      <x:c r="I558" s="1"/>
      <x:c r="J558" s="1"/>
      <x:c r="K558" s="1"/>
      <x:c r="L558" s="1"/>
      <x:c r="M558" s="1"/>
      <x:c r="N558" s="1"/>
    </x:row>
    <x:row r="559" ht="22" customHeight="1">
      <x:c r="A559" s="14"/>
      <x:c r="B559" s="15"/>
      <x:c r="C559" s="16" t="str">
        <x:f>IF(AND(ISNUMBER(B559),ISNUMBER(B558),B559&gt;0,B558&gt;0),LN(B559/B558),"")</x:f>
      </x:c>
      <x:c r="D559" s="16" t="str">
        <x:f>IF(ISNUMBER(C559),ABS(C559),"")</x:f>
      </x:c>
      <x:c r="E559" s="16" t="str">
        <x:f>IF(ISNUMBER(C559),C559^2,"")</x:f>
      </x:c>
      <x:c r="F559" s="16" t="str">
        <x:f>IF(AND(ISNUMBER(C559),ISNUMBER($J$6),$J$6&gt;0),(C559-$J$5)/$J$6,"")</x:f>
      </x:c>
      <x:c r="G559" s="1" t="str">
        <x:f>IF(ISNUMBER(F559),IF(ABS(F559)&gt;3,1,0),"")</x:f>
      </x:c>
      <x:c r="H559" s="1" t="str">
        <x:f>IF(ISNUMBER(F559),F559^4,"")</x:f>
      </x:c>
      <x:c r="I559" s="1"/>
      <x:c r="J559" s="1"/>
      <x:c r="K559" s="1"/>
      <x:c r="L559" s="1"/>
      <x:c r="M559" s="1"/>
      <x:c r="N559" s="1"/>
    </x:row>
    <x:row r="560" ht="22" customHeight="1">
      <x:c r="A560" s="14"/>
      <x:c r="B560" s="15"/>
      <x:c r="C560" s="16" t="str">
        <x:f>IF(AND(ISNUMBER(B560),ISNUMBER(B559),B560&gt;0,B559&gt;0),LN(B560/B559),"")</x:f>
      </x:c>
      <x:c r="D560" s="16" t="str">
        <x:f>IF(ISNUMBER(C560),ABS(C560),"")</x:f>
      </x:c>
      <x:c r="E560" s="16" t="str">
        <x:f>IF(ISNUMBER(C560),C560^2,"")</x:f>
      </x:c>
      <x:c r="F560" s="16" t="str">
        <x:f>IF(AND(ISNUMBER(C560),ISNUMBER($J$6),$J$6&gt;0),(C560-$J$5)/$J$6,"")</x:f>
      </x:c>
      <x:c r="G560" s="1" t="str">
        <x:f>IF(ISNUMBER(F560),IF(ABS(F560)&gt;3,1,0),"")</x:f>
      </x:c>
      <x:c r="H560" s="1" t="str">
        <x:f>IF(ISNUMBER(F560),F560^4,"")</x:f>
      </x:c>
      <x:c r="I560" s="1"/>
      <x:c r="J560" s="1"/>
      <x:c r="K560" s="1"/>
      <x:c r="L560" s="1"/>
      <x:c r="M560" s="1"/>
      <x:c r="N560" s="1"/>
    </x:row>
    <x:row r="561" ht="22" customHeight="1">
      <x:c r="A561" s="14"/>
      <x:c r="B561" s="15"/>
      <x:c r="C561" s="16" t="str">
        <x:f>IF(AND(ISNUMBER(B561),ISNUMBER(B560),B561&gt;0,B560&gt;0),LN(B561/B560),"")</x:f>
      </x:c>
      <x:c r="D561" s="16" t="str">
        <x:f>IF(ISNUMBER(C561),ABS(C561),"")</x:f>
      </x:c>
      <x:c r="E561" s="16" t="str">
        <x:f>IF(ISNUMBER(C561),C561^2,"")</x:f>
      </x:c>
      <x:c r="F561" s="16" t="str">
        <x:f>IF(AND(ISNUMBER(C561),ISNUMBER($J$6),$J$6&gt;0),(C561-$J$5)/$J$6,"")</x:f>
      </x:c>
      <x:c r="G561" s="1" t="str">
        <x:f>IF(ISNUMBER(F561),IF(ABS(F561)&gt;3,1,0),"")</x:f>
      </x:c>
      <x:c r="H561" s="1" t="str">
        <x:f>IF(ISNUMBER(F561),F561^4,"")</x:f>
      </x:c>
      <x:c r="I561" s="1"/>
      <x:c r="J561" s="1"/>
      <x:c r="K561" s="1"/>
      <x:c r="L561" s="1"/>
      <x:c r="M561" s="1"/>
      <x:c r="N561" s="1"/>
    </x:row>
    <x:row r="562" ht="22" customHeight="1">
      <x:c r="A562" s="14"/>
      <x:c r="B562" s="15"/>
      <x:c r="C562" s="16" t="str">
        <x:f>IF(AND(ISNUMBER(B562),ISNUMBER(B561),B562&gt;0,B561&gt;0),LN(B562/B561),"")</x:f>
      </x:c>
      <x:c r="D562" s="16" t="str">
        <x:f>IF(ISNUMBER(C562),ABS(C562),"")</x:f>
      </x:c>
      <x:c r="E562" s="16" t="str">
        <x:f>IF(ISNUMBER(C562),C562^2,"")</x:f>
      </x:c>
      <x:c r="F562" s="16" t="str">
        <x:f>IF(AND(ISNUMBER(C562),ISNUMBER($J$6),$J$6&gt;0),(C562-$J$5)/$J$6,"")</x:f>
      </x:c>
      <x:c r="G562" s="1" t="str">
        <x:f>IF(ISNUMBER(F562),IF(ABS(F562)&gt;3,1,0),"")</x:f>
      </x:c>
      <x:c r="H562" s="1" t="str">
        <x:f>IF(ISNUMBER(F562),F562^4,"")</x:f>
      </x:c>
      <x:c r="I562" s="1"/>
      <x:c r="J562" s="1"/>
      <x:c r="K562" s="1"/>
      <x:c r="L562" s="1"/>
      <x:c r="M562" s="1"/>
      <x:c r="N562" s="1"/>
    </x:row>
    <x:row r="563" ht="22" customHeight="1">
      <x:c r="A563" s="14"/>
      <x:c r="B563" s="15"/>
      <x:c r="C563" s="16" t="str">
        <x:f>IF(AND(ISNUMBER(B563),ISNUMBER(B562),B563&gt;0,B562&gt;0),LN(B563/B562),"")</x:f>
      </x:c>
      <x:c r="D563" s="16" t="str">
        <x:f>IF(ISNUMBER(C563),ABS(C563),"")</x:f>
      </x:c>
      <x:c r="E563" s="16" t="str">
        <x:f>IF(ISNUMBER(C563),C563^2,"")</x:f>
      </x:c>
      <x:c r="F563" s="16" t="str">
        <x:f>IF(AND(ISNUMBER(C563),ISNUMBER($J$6),$J$6&gt;0),(C563-$J$5)/$J$6,"")</x:f>
      </x:c>
      <x:c r="G563" s="1" t="str">
        <x:f>IF(ISNUMBER(F563),IF(ABS(F563)&gt;3,1,0),"")</x:f>
      </x:c>
      <x:c r="H563" s="1" t="str">
        <x:f>IF(ISNUMBER(F563),F563^4,"")</x:f>
      </x:c>
      <x:c r="I563" s="1"/>
      <x:c r="J563" s="1"/>
      <x:c r="K563" s="1"/>
      <x:c r="L563" s="1"/>
      <x:c r="M563" s="1"/>
      <x:c r="N563" s="1"/>
    </x:row>
    <x:row r="564" ht="22" customHeight="1">
      <x:c r="A564" s="14"/>
      <x:c r="B564" s="15"/>
      <x:c r="C564" s="16" t="str">
        <x:f>IF(AND(ISNUMBER(B564),ISNUMBER(B563),B564&gt;0,B563&gt;0),LN(B564/B563),"")</x:f>
      </x:c>
      <x:c r="D564" s="16" t="str">
        <x:f>IF(ISNUMBER(C564),ABS(C564),"")</x:f>
      </x:c>
      <x:c r="E564" s="16" t="str">
        <x:f>IF(ISNUMBER(C564),C564^2,"")</x:f>
      </x:c>
      <x:c r="F564" s="16" t="str">
        <x:f>IF(AND(ISNUMBER(C564),ISNUMBER($J$6),$J$6&gt;0),(C564-$J$5)/$J$6,"")</x:f>
      </x:c>
      <x:c r="G564" s="1" t="str">
        <x:f>IF(ISNUMBER(F564),IF(ABS(F564)&gt;3,1,0),"")</x:f>
      </x:c>
      <x:c r="H564" s="1" t="str">
        <x:f>IF(ISNUMBER(F564),F564^4,"")</x:f>
      </x:c>
      <x:c r="I564" s="1"/>
      <x:c r="J564" s="1"/>
      <x:c r="K564" s="1"/>
      <x:c r="L564" s="1"/>
      <x:c r="M564" s="1"/>
      <x:c r="N564" s="1"/>
    </x:row>
    <x:row r="565" ht="22" customHeight="1">
      <x:c r="A565" s="14"/>
      <x:c r="B565" s="15"/>
      <x:c r="C565" s="16" t="str">
        <x:f>IF(AND(ISNUMBER(B565),ISNUMBER(B564),B565&gt;0,B564&gt;0),LN(B565/B564),"")</x:f>
      </x:c>
      <x:c r="D565" s="16" t="str">
        <x:f>IF(ISNUMBER(C565),ABS(C565),"")</x:f>
      </x:c>
      <x:c r="E565" s="16" t="str">
        <x:f>IF(ISNUMBER(C565),C565^2,"")</x:f>
      </x:c>
      <x:c r="F565" s="16" t="str">
        <x:f>IF(AND(ISNUMBER(C565),ISNUMBER($J$6),$J$6&gt;0),(C565-$J$5)/$J$6,"")</x:f>
      </x:c>
      <x:c r="G565" s="1" t="str">
        <x:f>IF(ISNUMBER(F565),IF(ABS(F565)&gt;3,1,0),"")</x:f>
      </x:c>
      <x:c r="H565" s="1" t="str">
        <x:f>IF(ISNUMBER(F565),F565^4,"")</x:f>
      </x:c>
      <x:c r="I565" s="1"/>
      <x:c r="J565" s="1"/>
      <x:c r="K565" s="1"/>
      <x:c r="L565" s="1"/>
      <x:c r="M565" s="1"/>
      <x:c r="N565" s="1"/>
    </x:row>
    <x:row r="566" ht="22" customHeight="1">
      <x:c r="A566" s="14"/>
      <x:c r="B566" s="15"/>
      <x:c r="C566" s="16" t="str">
        <x:f>IF(AND(ISNUMBER(B566),ISNUMBER(B565),B566&gt;0,B565&gt;0),LN(B566/B565),"")</x:f>
      </x:c>
      <x:c r="D566" s="16" t="str">
        <x:f>IF(ISNUMBER(C566),ABS(C566),"")</x:f>
      </x:c>
      <x:c r="E566" s="16" t="str">
        <x:f>IF(ISNUMBER(C566),C566^2,"")</x:f>
      </x:c>
      <x:c r="F566" s="16" t="str">
        <x:f>IF(AND(ISNUMBER(C566),ISNUMBER($J$6),$J$6&gt;0),(C566-$J$5)/$J$6,"")</x:f>
      </x:c>
      <x:c r="G566" s="1" t="str">
        <x:f>IF(ISNUMBER(F566),IF(ABS(F566)&gt;3,1,0),"")</x:f>
      </x:c>
      <x:c r="H566" s="1" t="str">
        <x:f>IF(ISNUMBER(F566),F566^4,"")</x:f>
      </x:c>
      <x:c r="I566" s="1"/>
      <x:c r="J566" s="1"/>
      <x:c r="K566" s="1"/>
      <x:c r="L566" s="1"/>
      <x:c r="M566" s="1"/>
      <x:c r="N566" s="1"/>
    </x:row>
    <x:row r="567" ht="22" customHeight="1">
      <x:c r="A567" s="14"/>
      <x:c r="B567" s="15"/>
      <x:c r="C567" s="16" t="str">
        <x:f>IF(AND(ISNUMBER(B567),ISNUMBER(B566),B567&gt;0,B566&gt;0),LN(B567/B566),"")</x:f>
      </x:c>
      <x:c r="D567" s="16" t="str">
        <x:f>IF(ISNUMBER(C567),ABS(C567),"")</x:f>
      </x:c>
      <x:c r="E567" s="16" t="str">
        <x:f>IF(ISNUMBER(C567),C567^2,"")</x:f>
      </x:c>
      <x:c r="F567" s="16" t="str">
        <x:f>IF(AND(ISNUMBER(C567),ISNUMBER($J$6),$J$6&gt;0),(C567-$J$5)/$J$6,"")</x:f>
      </x:c>
      <x:c r="G567" s="1" t="str">
        <x:f>IF(ISNUMBER(F567),IF(ABS(F567)&gt;3,1,0),"")</x:f>
      </x:c>
      <x:c r="H567" s="1" t="str">
        <x:f>IF(ISNUMBER(F567),F567^4,"")</x:f>
      </x:c>
      <x:c r="I567" s="1"/>
      <x:c r="J567" s="1"/>
      <x:c r="K567" s="1"/>
      <x:c r="L567" s="1"/>
      <x:c r="M567" s="1"/>
      <x:c r="N567" s="1"/>
    </x:row>
    <x:row r="568" ht="22" customHeight="1">
      <x:c r="A568" s="14"/>
      <x:c r="B568" s="15"/>
      <x:c r="C568" s="16" t="str">
        <x:f>IF(AND(ISNUMBER(B568),ISNUMBER(B567),B568&gt;0,B567&gt;0),LN(B568/B567),"")</x:f>
      </x:c>
      <x:c r="D568" s="16" t="str">
        <x:f>IF(ISNUMBER(C568),ABS(C568),"")</x:f>
      </x:c>
      <x:c r="E568" s="16" t="str">
        <x:f>IF(ISNUMBER(C568),C568^2,"")</x:f>
      </x:c>
      <x:c r="F568" s="16" t="str">
        <x:f>IF(AND(ISNUMBER(C568),ISNUMBER($J$6),$J$6&gt;0),(C568-$J$5)/$J$6,"")</x:f>
      </x:c>
      <x:c r="G568" s="1" t="str">
        <x:f>IF(ISNUMBER(F568),IF(ABS(F568)&gt;3,1,0),"")</x:f>
      </x:c>
      <x:c r="H568" s="1" t="str">
        <x:f>IF(ISNUMBER(F568),F568^4,"")</x:f>
      </x:c>
      <x:c r="I568" s="1"/>
      <x:c r="J568" s="1"/>
      <x:c r="K568" s="1"/>
      <x:c r="L568" s="1"/>
      <x:c r="M568" s="1"/>
      <x:c r="N568" s="1"/>
    </x:row>
    <x:row r="569" ht="22" customHeight="1">
      <x:c r="A569" s="14"/>
      <x:c r="B569" s="15"/>
      <x:c r="C569" s="16" t="str">
        <x:f>IF(AND(ISNUMBER(B569),ISNUMBER(B568),B569&gt;0,B568&gt;0),LN(B569/B568),"")</x:f>
      </x:c>
      <x:c r="D569" s="16" t="str">
        <x:f>IF(ISNUMBER(C569),ABS(C569),"")</x:f>
      </x:c>
      <x:c r="E569" s="16" t="str">
        <x:f>IF(ISNUMBER(C569),C569^2,"")</x:f>
      </x:c>
      <x:c r="F569" s="16" t="str">
        <x:f>IF(AND(ISNUMBER(C569),ISNUMBER($J$6),$J$6&gt;0),(C569-$J$5)/$J$6,"")</x:f>
      </x:c>
      <x:c r="G569" s="1" t="str">
        <x:f>IF(ISNUMBER(F569),IF(ABS(F569)&gt;3,1,0),"")</x:f>
      </x:c>
      <x:c r="H569" s="1" t="str">
        <x:f>IF(ISNUMBER(F569),F569^4,"")</x:f>
      </x:c>
      <x:c r="I569" s="1"/>
      <x:c r="J569" s="1"/>
      <x:c r="K569" s="1"/>
      <x:c r="L569" s="1"/>
      <x:c r="M569" s="1"/>
      <x:c r="N569" s="1"/>
    </x:row>
    <x:row r="570" ht="22" customHeight="1">
      <x:c r="A570" s="14"/>
      <x:c r="B570" s="15"/>
      <x:c r="C570" s="16" t="str">
        <x:f>IF(AND(ISNUMBER(B570),ISNUMBER(B569),B570&gt;0,B569&gt;0),LN(B570/B569),"")</x:f>
      </x:c>
      <x:c r="D570" s="16" t="str">
        <x:f>IF(ISNUMBER(C570),ABS(C570),"")</x:f>
      </x:c>
      <x:c r="E570" s="16" t="str">
        <x:f>IF(ISNUMBER(C570),C570^2,"")</x:f>
      </x:c>
      <x:c r="F570" s="16" t="str">
        <x:f>IF(AND(ISNUMBER(C570),ISNUMBER($J$6),$J$6&gt;0),(C570-$J$5)/$J$6,"")</x:f>
      </x:c>
      <x:c r="G570" s="1" t="str">
        <x:f>IF(ISNUMBER(F570),IF(ABS(F570)&gt;3,1,0),"")</x:f>
      </x:c>
      <x:c r="H570" s="1" t="str">
        <x:f>IF(ISNUMBER(F570),F570^4,"")</x:f>
      </x:c>
      <x:c r="I570" s="1"/>
      <x:c r="J570" s="1"/>
      <x:c r="K570" s="1"/>
      <x:c r="L570" s="1"/>
      <x:c r="M570" s="1"/>
      <x:c r="N570" s="1"/>
    </x:row>
    <x:row r="571" ht="22" customHeight="1">
      <x:c r="A571" s="14"/>
      <x:c r="B571" s="15"/>
      <x:c r="C571" s="16" t="str">
        <x:f>IF(AND(ISNUMBER(B571),ISNUMBER(B570),B571&gt;0,B570&gt;0),LN(B571/B570),"")</x:f>
      </x:c>
      <x:c r="D571" s="16" t="str">
        <x:f>IF(ISNUMBER(C571),ABS(C571),"")</x:f>
      </x:c>
      <x:c r="E571" s="16" t="str">
        <x:f>IF(ISNUMBER(C571),C571^2,"")</x:f>
      </x:c>
      <x:c r="F571" s="16" t="str">
        <x:f>IF(AND(ISNUMBER(C571),ISNUMBER($J$6),$J$6&gt;0),(C571-$J$5)/$J$6,"")</x:f>
      </x:c>
      <x:c r="G571" s="1" t="str">
        <x:f>IF(ISNUMBER(F571),IF(ABS(F571)&gt;3,1,0),"")</x:f>
      </x:c>
      <x:c r="H571" s="1" t="str">
        <x:f>IF(ISNUMBER(F571),F571^4,"")</x:f>
      </x:c>
      <x:c r="I571" s="1"/>
      <x:c r="J571" s="1"/>
      <x:c r="K571" s="1"/>
      <x:c r="L571" s="1"/>
      <x:c r="M571" s="1"/>
      <x:c r="N571" s="1"/>
    </x:row>
    <x:row r="572" ht="22" customHeight="1">
      <x:c r="A572" s="14"/>
      <x:c r="B572" s="15"/>
      <x:c r="C572" s="16" t="str">
        <x:f>IF(AND(ISNUMBER(B572),ISNUMBER(B571),B572&gt;0,B571&gt;0),LN(B572/B571),"")</x:f>
      </x:c>
      <x:c r="D572" s="16" t="str">
        <x:f>IF(ISNUMBER(C572),ABS(C572),"")</x:f>
      </x:c>
      <x:c r="E572" s="16" t="str">
        <x:f>IF(ISNUMBER(C572),C572^2,"")</x:f>
      </x:c>
      <x:c r="F572" s="16" t="str">
        <x:f>IF(AND(ISNUMBER(C572),ISNUMBER($J$6),$J$6&gt;0),(C572-$J$5)/$J$6,"")</x:f>
      </x:c>
      <x:c r="G572" s="1" t="str">
        <x:f>IF(ISNUMBER(F572),IF(ABS(F572)&gt;3,1,0),"")</x:f>
      </x:c>
      <x:c r="H572" s="1" t="str">
        <x:f>IF(ISNUMBER(F572),F572^4,"")</x:f>
      </x:c>
      <x:c r="I572" s="1"/>
      <x:c r="J572" s="1"/>
      <x:c r="K572" s="1"/>
      <x:c r="L572" s="1"/>
      <x:c r="M572" s="1"/>
      <x:c r="N572" s="1"/>
    </x:row>
    <x:row r="573" ht="22" customHeight="1">
      <x:c r="A573" s="14"/>
      <x:c r="B573" s="15"/>
      <x:c r="C573" s="16" t="str">
        <x:f>IF(AND(ISNUMBER(B573),ISNUMBER(B572),B573&gt;0,B572&gt;0),LN(B573/B572),"")</x:f>
      </x:c>
      <x:c r="D573" s="16" t="str">
        <x:f>IF(ISNUMBER(C573),ABS(C573),"")</x:f>
      </x:c>
      <x:c r="E573" s="16" t="str">
        <x:f>IF(ISNUMBER(C573),C573^2,"")</x:f>
      </x:c>
      <x:c r="F573" s="16" t="str">
        <x:f>IF(AND(ISNUMBER(C573),ISNUMBER($J$6),$J$6&gt;0),(C573-$J$5)/$J$6,"")</x:f>
      </x:c>
      <x:c r="G573" s="1" t="str">
        <x:f>IF(ISNUMBER(F573),IF(ABS(F573)&gt;3,1,0),"")</x:f>
      </x:c>
      <x:c r="H573" s="1" t="str">
        <x:f>IF(ISNUMBER(F573),F573^4,"")</x:f>
      </x:c>
      <x:c r="I573" s="1"/>
      <x:c r="J573" s="1"/>
      <x:c r="K573" s="1"/>
      <x:c r="L573" s="1"/>
      <x:c r="M573" s="1"/>
      <x:c r="N573" s="1"/>
    </x:row>
    <x:row r="574" ht="22" customHeight="1">
      <x:c r="A574" s="14"/>
      <x:c r="B574" s="15"/>
      <x:c r="C574" s="16" t="str">
        <x:f>IF(AND(ISNUMBER(B574),ISNUMBER(B573),B574&gt;0,B573&gt;0),LN(B574/B573),"")</x:f>
      </x:c>
      <x:c r="D574" s="16" t="str">
        <x:f>IF(ISNUMBER(C574),ABS(C574),"")</x:f>
      </x:c>
      <x:c r="E574" s="16" t="str">
        <x:f>IF(ISNUMBER(C574),C574^2,"")</x:f>
      </x:c>
      <x:c r="F574" s="16" t="str">
        <x:f>IF(AND(ISNUMBER(C574),ISNUMBER($J$6),$J$6&gt;0),(C574-$J$5)/$J$6,"")</x:f>
      </x:c>
      <x:c r="G574" s="1" t="str">
        <x:f>IF(ISNUMBER(F574),IF(ABS(F574)&gt;3,1,0),"")</x:f>
      </x:c>
      <x:c r="H574" s="1" t="str">
        <x:f>IF(ISNUMBER(F574),F574^4,"")</x:f>
      </x:c>
      <x:c r="I574" s="1"/>
      <x:c r="J574" s="1"/>
      <x:c r="K574" s="1"/>
      <x:c r="L574" s="1"/>
      <x:c r="M574" s="1"/>
      <x:c r="N574" s="1"/>
    </x:row>
    <x:row r="575" ht="22" customHeight="1">
      <x:c r="A575" s="14"/>
      <x:c r="B575" s="15"/>
      <x:c r="C575" s="16" t="str">
        <x:f>IF(AND(ISNUMBER(B575),ISNUMBER(B574),B575&gt;0,B574&gt;0),LN(B575/B574),"")</x:f>
      </x:c>
      <x:c r="D575" s="16" t="str">
        <x:f>IF(ISNUMBER(C575),ABS(C575),"")</x:f>
      </x:c>
      <x:c r="E575" s="16" t="str">
        <x:f>IF(ISNUMBER(C575),C575^2,"")</x:f>
      </x:c>
      <x:c r="F575" s="16" t="str">
        <x:f>IF(AND(ISNUMBER(C575),ISNUMBER($J$6),$J$6&gt;0),(C575-$J$5)/$J$6,"")</x:f>
      </x:c>
      <x:c r="G575" s="1" t="str">
        <x:f>IF(ISNUMBER(F575),IF(ABS(F575)&gt;3,1,0),"")</x:f>
      </x:c>
      <x:c r="H575" s="1" t="str">
        <x:f>IF(ISNUMBER(F575),F575^4,"")</x:f>
      </x:c>
      <x:c r="I575" s="1"/>
      <x:c r="J575" s="1"/>
      <x:c r="K575" s="1"/>
      <x:c r="L575" s="1"/>
      <x:c r="M575" s="1"/>
      <x:c r="N575" s="1"/>
    </x:row>
    <x:row r="576" ht="22" customHeight="1">
      <x:c r="A576" s="14"/>
      <x:c r="B576" s="15"/>
      <x:c r="C576" s="16" t="str">
        <x:f>IF(AND(ISNUMBER(B576),ISNUMBER(B575),B576&gt;0,B575&gt;0),LN(B576/B575),"")</x:f>
      </x:c>
      <x:c r="D576" s="16" t="str">
        <x:f>IF(ISNUMBER(C576),ABS(C576),"")</x:f>
      </x:c>
      <x:c r="E576" s="16" t="str">
        <x:f>IF(ISNUMBER(C576),C576^2,"")</x:f>
      </x:c>
      <x:c r="F576" s="16" t="str">
        <x:f>IF(AND(ISNUMBER(C576),ISNUMBER($J$6),$J$6&gt;0),(C576-$J$5)/$J$6,"")</x:f>
      </x:c>
      <x:c r="G576" s="1" t="str">
        <x:f>IF(ISNUMBER(F576),IF(ABS(F576)&gt;3,1,0),"")</x:f>
      </x:c>
      <x:c r="H576" s="1" t="str">
        <x:f>IF(ISNUMBER(F576),F576^4,"")</x:f>
      </x:c>
      <x:c r="I576" s="1"/>
      <x:c r="J576" s="1"/>
      <x:c r="K576" s="1"/>
      <x:c r="L576" s="1"/>
      <x:c r="M576" s="1"/>
      <x:c r="N576" s="1"/>
    </x:row>
    <x:row r="577" ht="22" customHeight="1">
      <x:c r="A577" s="14"/>
      <x:c r="B577" s="15"/>
      <x:c r="C577" s="16" t="str">
        <x:f>IF(AND(ISNUMBER(B577),ISNUMBER(B576),B577&gt;0,B576&gt;0),LN(B577/B576),"")</x:f>
      </x:c>
      <x:c r="D577" s="16" t="str">
        <x:f>IF(ISNUMBER(C577),ABS(C577),"")</x:f>
      </x:c>
      <x:c r="E577" s="16" t="str">
        <x:f>IF(ISNUMBER(C577),C577^2,"")</x:f>
      </x:c>
      <x:c r="F577" s="16" t="str">
        <x:f>IF(AND(ISNUMBER(C577),ISNUMBER($J$6),$J$6&gt;0),(C577-$J$5)/$J$6,"")</x:f>
      </x:c>
      <x:c r="G577" s="1" t="str">
        <x:f>IF(ISNUMBER(F577),IF(ABS(F577)&gt;3,1,0),"")</x:f>
      </x:c>
      <x:c r="H577" s="1" t="str">
        <x:f>IF(ISNUMBER(F577),F577^4,"")</x:f>
      </x:c>
      <x:c r="I577" s="1"/>
      <x:c r="J577" s="1"/>
      <x:c r="K577" s="1"/>
      <x:c r="L577" s="1"/>
      <x:c r="M577" s="1"/>
      <x:c r="N577" s="1"/>
    </x:row>
    <x:row r="578" ht="22" customHeight="1">
      <x:c r="A578" s="14"/>
      <x:c r="B578" s="15"/>
      <x:c r="C578" s="16" t="str">
        <x:f>IF(AND(ISNUMBER(B578),ISNUMBER(B577),B578&gt;0,B577&gt;0),LN(B578/B577),"")</x:f>
      </x:c>
      <x:c r="D578" s="16" t="str">
        <x:f>IF(ISNUMBER(C578),ABS(C578),"")</x:f>
      </x:c>
      <x:c r="E578" s="16" t="str">
        <x:f>IF(ISNUMBER(C578),C578^2,"")</x:f>
      </x:c>
      <x:c r="F578" s="16" t="str">
        <x:f>IF(AND(ISNUMBER(C578),ISNUMBER($J$6),$J$6&gt;0),(C578-$J$5)/$J$6,"")</x:f>
      </x:c>
      <x:c r="G578" s="1" t="str">
        <x:f>IF(ISNUMBER(F578),IF(ABS(F578)&gt;3,1,0),"")</x:f>
      </x:c>
      <x:c r="H578" s="1" t="str">
        <x:f>IF(ISNUMBER(F578),F578^4,"")</x:f>
      </x:c>
      <x:c r="I578" s="1"/>
      <x:c r="J578" s="1"/>
      <x:c r="K578" s="1"/>
      <x:c r="L578" s="1"/>
      <x:c r="M578" s="1"/>
      <x:c r="N578" s="1"/>
    </x:row>
    <x:row r="579" ht="22" customHeight="1">
      <x:c r="A579" s="14"/>
      <x:c r="B579" s="15"/>
      <x:c r="C579" s="16" t="str">
        <x:f>IF(AND(ISNUMBER(B579),ISNUMBER(B578),B579&gt;0,B578&gt;0),LN(B579/B578),"")</x:f>
      </x:c>
      <x:c r="D579" s="16" t="str">
        <x:f>IF(ISNUMBER(C579),ABS(C579),"")</x:f>
      </x:c>
      <x:c r="E579" s="16" t="str">
        <x:f>IF(ISNUMBER(C579),C579^2,"")</x:f>
      </x:c>
      <x:c r="F579" s="16" t="str">
        <x:f>IF(AND(ISNUMBER(C579),ISNUMBER($J$6),$J$6&gt;0),(C579-$J$5)/$J$6,"")</x:f>
      </x:c>
      <x:c r="G579" s="1" t="str">
        <x:f>IF(ISNUMBER(F579),IF(ABS(F579)&gt;3,1,0),"")</x:f>
      </x:c>
      <x:c r="H579" s="1" t="str">
        <x:f>IF(ISNUMBER(F579),F579^4,"")</x:f>
      </x:c>
      <x:c r="I579" s="1"/>
      <x:c r="J579" s="1"/>
      <x:c r="K579" s="1"/>
      <x:c r="L579" s="1"/>
      <x:c r="M579" s="1"/>
      <x:c r="N579" s="1"/>
    </x:row>
    <x:row r="580" ht="22" customHeight="1">
      <x:c r="A580" s="14"/>
      <x:c r="B580" s="15"/>
      <x:c r="C580" s="16" t="str">
        <x:f>IF(AND(ISNUMBER(B580),ISNUMBER(B579),B580&gt;0,B579&gt;0),LN(B580/B579),"")</x:f>
      </x:c>
      <x:c r="D580" s="16" t="str">
        <x:f>IF(ISNUMBER(C580),ABS(C580),"")</x:f>
      </x:c>
      <x:c r="E580" s="16" t="str">
        <x:f>IF(ISNUMBER(C580),C580^2,"")</x:f>
      </x:c>
      <x:c r="F580" s="16" t="str">
        <x:f>IF(AND(ISNUMBER(C580),ISNUMBER($J$6),$J$6&gt;0),(C580-$J$5)/$J$6,"")</x:f>
      </x:c>
      <x:c r="G580" s="1" t="str">
        <x:f>IF(ISNUMBER(F580),IF(ABS(F580)&gt;3,1,0),"")</x:f>
      </x:c>
      <x:c r="H580" s="1" t="str">
        <x:f>IF(ISNUMBER(F580),F580^4,"")</x:f>
      </x:c>
      <x:c r="I580" s="1"/>
      <x:c r="J580" s="1"/>
      <x:c r="K580" s="1"/>
      <x:c r="L580" s="1"/>
      <x:c r="M580" s="1"/>
      <x:c r="N580" s="1"/>
    </x:row>
    <x:row r="581" ht="22" customHeight="1">
      <x:c r="A581" s="14"/>
      <x:c r="B581" s="15"/>
      <x:c r="C581" s="16" t="str">
        <x:f>IF(AND(ISNUMBER(B581),ISNUMBER(B580),B581&gt;0,B580&gt;0),LN(B581/B580),"")</x:f>
      </x:c>
      <x:c r="D581" s="16" t="str">
        <x:f>IF(ISNUMBER(C581),ABS(C581),"")</x:f>
      </x:c>
      <x:c r="E581" s="16" t="str">
        <x:f>IF(ISNUMBER(C581),C581^2,"")</x:f>
      </x:c>
      <x:c r="F581" s="16" t="str">
        <x:f>IF(AND(ISNUMBER(C581),ISNUMBER($J$6),$J$6&gt;0),(C581-$J$5)/$J$6,"")</x:f>
      </x:c>
      <x:c r="G581" s="1" t="str">
        <x:f>IF(ISNUMBER(F581),IF(ABS(F581)&gt;3,1,0),"")</x:f>
      </x:c>
      <x:c r="H581" s="1" t="str">
        <x:f>IF(ISNUMBER(F581),F581^4,"")</x:f>
      </x:c>
      <x:c r="I581" s="1"/>
      <x:c r="J581" s="1"/>
      <x:c r="K581" s="1"/>
      <x:c r="L581" s="1"/>
      <x:c r="M581" s="1"/>
      <x:c r="N581" s="1"/>
    </x:row>
    <x:row r="582" ht="22" customHeight="1">
      <x:c r="A582" s="14"/>
      <x:c r="B582" s="15"/>
      <x:c r="C582" s="16" t="str">
        <x:f>IF(AND(ISNUMBER(B582),ISNUMBER(B581),B582&gt;0,B581&gt;0),LN(B582/B581),"")</x:f>
      </x:c>
      <x:c r="D582" s="16" t="str">
        <x:f>IF(ISNUMBER(C582),ABS(C582),"")</x:f>
      </x:c>
      <x:c r="E582" s="16" t="str">
        <x:f>IF(ISNUMBER(C582),C582^2,"")</x:f>
      </x:c>
      <x:c r="F582" s="16" t="str">
        <x:f>IF(AND(ISNUMBER(C582),ISNUMBER($J$6),$J$6&gt;0),(C582-$J$5)/$J$6,"")</x:f>
      </x:c>
      <x:c r="G582" s="1" t="str">
        <x:f>IF(ISNUMBER(F582),IF(ABS(F582)&gt;3,1,0),"")</x:f>
      </x:c>
      <x:c r="H582" s="1" t="str">
        <x:f>IF(ISNUMBER(F582),F582^4,"")</x:f>
      </x:c>
      <x:c r="I582" s="1"/>
      <x:c r="J582" s="1"/>
      <x:c r="K582" s="1"/>
      <x:c r="L582" s="1"/>
      <x:c r="M582" s="1"/>
      <x:c r="N582" s="1"/>
    </x:row>
    <x:row r="583" ht="22" customHeight="1">
      <x:c r="A583" s="14"/>
      <x:c r="B583" s="15"/>
      <x:c r="C583" s="16" t="str">
        <x:f>IF(AND(ISNUMBER(B583),ISNUMBER(B582),B583&gt;0,B582&gt;0),LN(B583/B582),"")</x:f>
      </x:c>
      <x:c r="D583" s="16" t="str">
        <x:f>IF(ISNUMBER(C583),ABS(C583),"")</x:f>
      </x:c>
      <x:c r="E583" s="16" t="str">
        <x:f>IF(ISNUMBER(C583),C583^2,"")</x:f>
      </x:c>
      <x:c r="F583" s="16" t="str">
        <x:f>IF(AND(ISNUMBER(C583),ISNUMBER($J$6),$J$6&gt;0),(C583-$J$5)/$J$6,"")</x:f>
      </x:c>
      <x:c r="G583" s="1" t="str">
        <x:f>IF(ISNUMBER(F583),IF(ABS(F583)&gt;3,1,0),"")</x:f>
      </x:c>
      <x:c r="H583" s="1" t="str">
        <x:f>IF(ISNUMBER(F583),F583^4,"")</x:f>
      </x:c>
      <x:c r="I583" s="1"/>
      <x:c r="J583" s="1"/>
      <x:c r="K583" s="1"/>
      <x:c r="L583" s="1"/>
      <x:c r="M583" s="1"/>
      <x:c r="N583" s="1"/>
    </x:row>
    <x:row r="584" ht="22" customHeight="1">
      <x:c r="A584" s="14"/>
      <x:c r="B584" s="15"/>
      <x:c r="C584" s="16" t="str">
        <x:f>IF(AND(ISNUMBER(B584),ISNUMBER(B583),B584&gt;0,B583&gt;0),LN(B584/B583),"")</x:f>
      </x:c>
      <x:c r="D584" s="16" t="str">
        <x:f>IF(ISNUMBER(C584),ABS(C584),"")</x:f>
      </x:c>
      <x:c r="E584" s="16" t="str">
        <x:f>IF(ISNUMBER(C584),C584^2,"")</x:f>
      </x:c>
      <x:c r="F584" s="16" t="str">
        <x:f>IF(AND(ISNUMBER(C584),ISNUMBER($J$6),$J$6&gt;0),(C584-$J$5)/$J$6,"")</x:f>
      </x:c>
      <x:c r="G584" s="1" t="str">
        <x:f>IF(ISNUMBER(F584),IF(ABS(F584)&gt;3,1,0),"")</x:f>
      </x:c>
      <x:c r="H584" s="1" t="str">
        <x:f>IF(ISNUMBER(F584),F584^4,"")</x:f>
      </x:c>
      <x:c r="I584" s="1"/>
      <x:c r="J584" s="1"/>
      <x:c r="K584" s="1"/>
      <x:c r="L584" s="1"/>
      <x:c r="M584" s="1"/>
      <x:c r="N584" s="1"/>
    </x:row>
    <x:row r="585" ht="22" customHeight="1">
      <x:c r="A585" s="14"/>
      <x:c r="B585" s="15"/>
      <x:c r="C585" s="16" t="str">
        <x:f>IF(AND(ISNUMBER(B585),ISNUMBER(B584),B585&gt;0,B584&gt;0),LN(B585/B584),"")</x:f>
      </x:c>
      <x:c r="D585" s="16" t="str">
        <x:f>IF(ISNUMBER(C585),ABS(C585),"")</x:f>
      </x:c>
      <x:c r="E585" s="16" t="str">
        <x:f>IF(ISNUMBER(C585),C585^2,"")</x:f>
      </x:c>
      <x:c r="F585" s="16" t="str">
        <x:f>IF(AND(ISNUMBER(C585),ISNUMBER($J$6),$J$6&gt;0),(C585-$J$5)/$J$6,"")</x:f>
      </x:c>
      <x:c r="G585" s="1" t="str">
        <x:f>IF(ISNUMBER(F585),IF(ABS(F585)&gt;3,1,0),"")</x:f>
      </x:c>
      <x:c r="H585" s="1" t="str">
        <x:f>IF(ISNUMBER(F585),F585^4,"")</x:f>
      </x:c>
      <x:c r="I585" s="1"/>
      <x:c r="J585" s="1"/>
      <x:c r="K585" s="1"/>
      <x:c r="L585" s="1"/>
      <x:c r="M585" s="1"/>
      <x:c r="N585" s="1"/>
    </x:row>
    <x:row r="586" ht="22" customHeight="1">
      <x:c r="A586" s="14"/>
      <x:c r="B586" s="15"/>
      <x:c r="C586" s="16" t="str">
        <x:f>IF(AND(ISNUMBER(B586),ISNUMBER(B585),B586&gt;0,B585&gt;0),LN(B586/B585),"")</x:f>
      </x:c>
      <x:c r="D586" s="16" t="str">
        <x:f>IF(ISNUMBER(C586),ABS(C586),"")</x:f>
      </x:c>
      <x:c r="E586" s="16" t="str">
        <x:f>IF(ISNUMBER(C586),C586^2,"")</x:f>
      </x:c>
      <x:c r="F586" s="16" t="str">
        <x:f>IF(AND(ISNUMBER(C586),ISNUMBER($J$6),$J$6&gt;0),(C586-$J$5)/$J$6,"")</x:f>
      </x:c>
      <x:c r="G586" s="1" t="str">
        <x:f>IF(ISNUMBER(F586),IF(ABS(F586)&gt;3,1,0),"")</x:f>
      </x:c>
      <x:c r="H586" s="1" t="str">
        <x:f>IF(ISNUMBER(F586),F586^4,"")</x:f>
      </x:c>
      <x:c r="I586" s="1"/>
      <x:c r="J586" s="1"/>
      <x:c r="K586" s="1"/>
      <x:c r="L586" s="1"/>
      <x:c r="M586" s="1"/>
      <x:c r="N586" s="1"/>
    </x:row>
    <x:row r="587" ht="22" customHeight="1">
      <x:c r="A587" s="14"/>
      <x:c r="B587" s="15"/>
      <x:c r="C587" s="16" t="str">
        <x:f>IF(AND(ISNUMBER(B587),ISNUMBER(B586),B587&gt;0,B586&gt;0),LN(B587/B586),"")</x:f>
      </x:c>
      <x:c r="D587" s="16" t="str">
        <x:f>IF(ISNUMBER(C587),ABS(C587),"")</x:f>
      </x:c>
      <x:c r="E587" s="16" t="str">
        <x:f>IF(ISNUMBER(C587),C587^2,"")</x:f>
      </x:c>
      <x:c r="F587" s="16" t="str">
        <x:f>IF(AND(ISNUMBER(C587),ISNUMBER($J$6),$J$6&gt;0),(C587-$J$5)/$J$6,"")</x:f>
      </x:c>
      <x:c r="G587" s="1" t="str">
        <x:f>IF(ISNUMBER(F587),IF(ABS(F587)&gt;3,1,0),"")</x:f>
      </x:c>
      <x:c r="H587" s="1" t="str">
        <x:f>IF(ISNUMBER(F587),F587^4,"")</x:f>
      </x:c>
      <x:c r="I587" s="1"/>
      <x:c r="J587" s="1"/>
      <x:c r="K587" s="1"/>
      <x:c r="L587" s="1"/>
      <x:c r="M587" s="1"/>
      <x:c r="N587" s="1"/>
    </x:row>
    <x:row r="588" ht="22" customHeight="1">
      <x:c r="A588" s="14"/>
      <x:c r="B588" s="15"/>
      <x:c r="C588" s="16" t="str">
        <x:f>IF(AND(ISNUMBER(B588),ISNUMBER(B587),B588&gt;0,B587&gt;0),LN(B588/B587),"")</x:f>
      </x:c>
      <x:c r="D588" s="16" t="str">
        <x:f>IF(ISNUMBER(C588),ABS(C588),"")</x:f>
      </x:c>
      <x:c r="E588" s="16" t="str">
        <x:f>IF(ISNUMBER(C588),C588^2,"")</x:f>
      </x:c>
      <x:c r="F588" s="16" t="str">
        <x:f>IF(AND(ISNUMBER(C588),ISNUMBER($J$6),$J$6&gt;0),(C588-$J$5)/$J$6,"")</x:f>
      </x:c>
      <x:c r="G588" s="1" t="str">
        <x:f>IF(ISNUMBER(F588),IF(ABS(F588)&gt;3,1,0),"")</x:f>
      </x:c>
      <x:c r="H588" s="1" t="str">
        <x:f>IF(ISNUMBER(F588),F588^4,"")</x:f>
      </x:c>
      <x:c r="I588" s="1"/>
      <x:c r="J588" s="1"/>
      <x:c r="K588" s="1"/>
      <x:c r="L588" s="1"/>
      <x:c r="M588" s="1"/>
      <x:c r="N588" s="1"/>
    </x:row>
    <x:row r="589" ht="22" customHeight="1">
      <x:c r="A589" s="14"/>
      <x:c r="B589" s="15"/>
      <x:c r="C589" s="16" t="str">
        <x:f>IF(AND(ISNUMBER(B589),ISNUMBER(B588),B589&gt;0,B588&gt;0),LN(B589/B588),"")</x:f>
      </x:c>
      <x:c r="D589" s="16" t="str">
        <x:f>IF(ISNUMBER(C589),ABS(C589),"")</x:f>
      </x:c>
      <x:c r="E589" s="16" t="str">
        <x:f>IF(ISNUMBER(C589),C589^2,"")</x:f>
      </x:c>
      <x:c r="F589" s="16" t="str">
        <x:f>IF(AND(ISNUMBER(C589),ISNUMBER($J$6),$J$6&gt;0),(C589-$J$5)/$J$6,"")</x:f>
      </x:c>
      <x:c r="G589" s="1" t="str">
        <x:f>IF(ISNUMBER(F589),IF(ABS(F589)&gt;3,1,0),"")</x:f>
      </x:c>
      <x:c r="H589" s="1" t="str">
        <x:f>IF(ISNUMBER(F589),F589^4,"")</x:f>
      </x:c>
      <x:c r="I589" s="1"/>
      <x:c r="J589" s="1"/>
      <x:c r="K589" s="1"/>
      <x:c r="L589" s="1"/>
      <x:c r="M589" s="1"/>
      <x:c r="N589" s="1"/>
    </x:row>
    <x:row r="590" ht="22" customHeight="1">
      <x:c r="A590" s="14"/>
      <x:c r="B590" s="15"/>
      <x:c r="C590" s="16" t="str">
        <x:f>IF(AND(ISNUMBER(B590),ISNUMBER(B589),B590&gt;0,B589&gt;0),LN(B590/B589),"")</x:f>
      </x:c>
      <x:c r="D590" s="16" t="str">
        <x:f>IF(ISNUMBER(C590),ABS(C590),"")</x:f>
      </x:c>
      <x:c r="E590" s="16" t="str">
        <x:f>IF(ISNUMBER(C590),C590^2,"")</x:f>
      </x:c>
      <x:c r="F590" s="16" t="str">
        <x:f>IF(AND(ISNUMBER(C590),ISNUMBER($J$6),$J$6&gt;0),(C590-$J$5)/$J$6,"")</x:f>
      </x:c>
      <x:c r="G590" s="1" t="str">
        <x:f>IF(ISNUMBER(F590),IF(ABS(F590)&gt;3,1,0),"")</x:f>
      </x:c>
      <x:c r="H590" s="1" t="str">
        <x:f>IF(ISNUMBER(F590),F590^4,"")</x:f>
      </x:c>
      <x:c r="I590" s="1"/>
      <x:c r="J590" s="1"/>
      <x:c r="K590" s="1"/>
      <x:c r="L590" s="1"/>
      <x:c r="M590" s="1"/>
      <x:c r="N590" s="1"/>
    </x:row>
    <x:row r="591" ht="22" customHeight="1">
      <x:c r="A591" s="14"/>
      <x:c r="B591" s="15"/>
      <x:c r="C591" s="16" t="str">
        <x:f>IF(AND(ISNUMBER(B591),ISNUMBER(B590),B591&gt;0,B590&gt;0),LN(B591/B590),"")</x:f>
      </x:c>
      <x:c r="D591" s="16" t="str">
        <x:f>IF(ISNUMBER(C591),ABS(C591),"")</x:f>
      </x:c>
      <x:c r="E591" s="16" t="str">
        <x:f>IF(ISNUMBER(C591),C591^2,"")</x:f>
      </x:c>
      <x:c r="F591" s="16" t="str">
        <x:f>IF(AND(ISNUMBER(C591),ISNUMBER($J$6),$J$6&gt;0),(C591-$J$5)/$J$6,"")</x:f>
      </x:c>
      <x:c r="G591" s="1" t="str">
        <x:f>IF(ISNUMBER(F591),IF(ABS(F591)&gt;3,1,0),"")</x:f>
      </x:c>
      <x:c r="H591" s="1" t="str">
        <x:f>IF(ISNUMBER(F591),F591^4,"")</x:f>
      </x:c>
      <x:c r="I591" s="1"/>
      <x:c r="J591" s="1"/>
      <x:c r="K591" s="1"/>
      <x:c r="L591" s="1"/>
      <x:c r="M591" s="1"/>
      <x:c r="N591" s="1"/>
    </x:row>
    <x:row r="592" ht="22" customHeight="1">
      <x:c r="A592" s="14"/>
      <x:c r="B592" s="15"/>
      <x:c r="C592" s="16" t="str">
        <x:f>IF(AND(ISNUMBER(B592),ISNUMBER(B591),B592&gt;0,B591&gt;0),LN(B592/B591),"")</x:f>
      </x:c>
      <x:c r="D592" s="16" t="str">
        <x:f>IF(ISNUMBER(C592),ABS(C592),"")</x:f>
      </x:c>
      <x:c r="E592" s="16" t="str">
        <x:f>IF(ISNUMBER(C592),C592^2,"")</x:f>
      </x:c>
      <x:c r="F592" s="16" t="str">
        <x:f>IF(AND(ISNUMBER(C592),ISNUMBER($J$6),$J$6&gt;0),(C592-$J$5)/$J$6,"")</x:f>
      </x:c>
      <x:c r="G592" s="1" t="str">
        <x:f>IF(ISNUMBER(F592),IF(ABS(F592)&gt;3,1,0),"")</x:f>
      </x:c>
      <x:c r="H592" s="1" t="str">
        <x:f>IF(ISNUMBER(F592),F592^4,"")</x:f>
      </x:c>
      <x:c r="I592" s="1"/>
      <x:c r="J592" s="1"/>
      <x:c r="K592" s="1"/>
      <x:c r="L592" s="1"/>
      <x:c r="M592" s="1"/>
      <x:c r="N592" s="1"/>
    </x:row>
    <x:row r="593" ht="22" customHeight="1">
      <x:c r="A593" s="14"/>
      <x:c r="B593" s="15"/>
      <x:c r="C593" s="16" t="str">
        <x:f>IF(AND(ISNUMBER(B593),ISNUMBER(B592),B593&gt;0,B592&gt;0),LN(B593/B592),"")</x:f>
      </x:c>
      <x:c r="D593" s="16" t="str">
        <x:f>IF(ISNUMBER(C593),ABS(C593),"")</x:f>
      </x:c>
      <x:c r="E593" s="16" t="str">
        <x:f>IF(ISNUMBER(C593),C593^2,"")</x:f>
      </x:c>
      <x:c r="F593" s="16" t="str">
        <x:f>IF(AND(ISNUMBER(C593),ISNUMBER($J$6),$J$6&gt;0),(C593-$J$5)/$J$6,"")</x:f>
      </x:c>
      <x:c r="G593" s="1" t="str">
        <x:f>IF(ISNUMBER(F593),IF(ABS(F593)&gt;3,1,0),"")</x:f>
      </x:c>
      <x:c r="H593" s="1" t="str">
        <x:f>IF(ISNUMBER(F593),F593^4,"")</x:f>
      </x:c>
      <x:c r="I593" s="1"/>
      <x:c r="J593" s="1"/>
      <x:c r="K593" s="1"/>
      <x:c r="L593" s="1"/>
      <x:c r="M593" s="1"/>
      <x:c r="N593" s="1"/>
    </x:row>
    <x:row r="594" ht="22" customHeight="1">
      <x:c r="A594" s="14"/>
      <x:c r="B594" s="15"/>
      <x:c r="C594" s="16" t="str">
        <x:f>IF(AND(ISNUMBER(B594),ISNUMBER(B593),B594&gt;0,B593&gt;0),LN(B594/B593),"")</x:f>
      </x:c>
      <x:c r="D594" s="16" t="str">
        <x:f>IF(ISNUMBER(C594),ABS(C594),"")</x:f>
      </x:c>
      <x:c r="E594" s="16" t="str">
        <x:f>IF(ISNUMBER(C594),C594^2,"")</x:f>
      </x:c>
      <x:c r="F594" s="16" t="str">
        <x:f>IF(AND(ISNUMBER(C594),ISNUMBER($J$6),$J$6&gt;0),(C594-$J$5)/$J$6,"")</x:f>
      </x:c>
      <x:c r="G594" s="1" t="str">
        <x:f>IF(ISNUMBER(F594),IF(ABS(F594)&gt;3,1,0),"")</x:f>
      </x:c>
      <x:c r="H594" s="1" t="str">
        <x:f>IF(ISNUMBER(F594),F594^4,"")</x:f>
      </x:c>
      <x:c r="I594" s="1"/>
      <x:c r="J594" s="1"/>
      <x:c r="K594" s="1"/>
      <x:c r="L594" s="1"/>
      <x:c r="M594" s="1"/>
      <x:c r="N594" s="1"/>
    </x:row>
    <x:row r="595" ht="22" customHeight="1">
      <x:c r="A595" s="14"/>
      <x:c r="B595" s="15"/>
      <x:c r="C595" s="16" t="str">
        <x:f>IF(AND(ISNUMBER(B595),ISNUMBER(B594),B595&gt;0,B594&gt;0),LN(B595/B594),"")</x:f>
      </x:c>
      <x:c r="D595" s="16" t="str">
        <x:f>IF(ISNUMBER(C595),ABS(C595),"")</x:f>
      </x:c>
      <x:c r="E595" s="16" t="str">
        <x:f>IF(ISNUMBER(C595),C595^2,"")</x:f>
      </x:c>
      <x:c r="F595" s="16" t="str">
        <x:f>IF(AND(ISNUMBER(C595),ISNUMBER($J$6),$J$6&gt;0),(C595-$J$5)/$J$6,"")</x:f>
      </x:c>
      <x:c r="G595" s="1" t="str">
        <x:f>IF(ISNUMBER(F595),IF(ABS(F595)&gt;3,1,0),"")</x:f>
      </x:c>
      <x:c r="H595" s="1" t="str">
        <x:f>IF(ISNUMBER(F595),F595^4,"")</x:f>
      </x:c>
      <x:c r="I595" s="1"/>
      <x:c r="J595" s="1"/>
      <x:c r="K595" s="1"/>
      <x:c r="L595" s="1"/>
      <x:c r="M595" s="1"/>
      <x:c r="N595" s="1"/>
    </x:row>
    <x:row r="596" ht="22" customHeight="1">
      <x:c r="A596" s="14"/>
      <x:c r="B596" s="15"/>
      <x:c r="C596" s="16" t="str">
        <x:f>IF(AND(ISNUMBER(B596),ISNUMBER(B595),B596&gt;0,B595&gt;0),LN(B596/B595),"")</x:f>
      </x:c>
      <x:c r="D596" s="16" t="str">
        <x:f>IF(ISNUMBER(C596),ABS(C596),"")</x:f>
      </x:c>
      <x:c r="E596" s="16" t="str">
        <x:f>IF(ISNUMBER(C596),C596^2,"")</x:f>
      </x:c>
      <x:c r="F596" s="16" t="str">
        <x:f>IF(AND(ISNUMBER(C596),ISNUMBER($J$6),$J$6&gt;0),(C596-$J$5)/$J$6,"")</x:f>
      </x:c>
      <x:c r="G596" s="1" t="str">
        <x:f>IF(ISNUMBER(F596),IF(ABS(F596)&gt;3,1,0),"")</x:f>
      </x:c>
      <x:c r="H596" s="1" t="str">
        <x:f>IF(ISNUMBER(F596),F596^4,"")</x:f>
      </x:c>
      <x:c r="I596" s="1"/>
      <x:c r="J596" s="1"/>
      <x:c r="K596" s="1"/>
      <x:c r="L596" s="1"/>
      <x:c r="M596" s="1"/>
      <x:c r="N596" s="1"/>
    </x:row>
    <x:row r="597" ht="22" customHeight="1">
      <x:c r="A597" s="14"/>
      <x:c r="B597" s="15"/>
      <x:c r="C597" s="16" t="str">
        <x:f>IF(AND(ISNUMBER(B597),ISNUMBER(B596),B597&gt;0,B596&gt;0),LN(B597/B596),"")</x:f>
      </x:c>
      <x:c r="D597" s="16" t="str">
        <x:f>IF(ISNUMBER(C597),ABS(C597),"")</x:f>
      </x:c>
      <x:c r="E597" s="16" t="str">
        <x:f>IF(ISNUMBER(C597),C597^2,"")</x:f>
      </x:c>
      <x:c r="F597" s="16" t="str">
        <x:f>IF(AND(ISNUMBER(C597),ISNUMBER($J$6),$J$6&gt;0),(C597-$J$5)/$J$6,"")</x:f>
      </x:c>
      <x:c r="G597" s="1" t="str">
        <x:f>IF(ISNUMBER(F597),IF(ABS(F597)&gt;3,1,0),"")</x:f>
      </x:c>
      <x:c r="H597" s="1" t="str">
        <x:f>IF(ISNUMBER(F597),F597^4,"")</x:f>
      </x:c>
      <x:c r="I597" s="1"/>
      <x:c r="J597" s="1"/>
      <x:c r="K597" s="1"/>
      <x:c r="L597" s="1"/>
      <x:c r="M597" s="1"/>
      <x:c r="N597" s="1"/>
    </x:row>
    <x:row r="598" ht="22" customHeight="1">
      <x:c r="A598" s="14"/>
      <x:c r="B598" s="15"/>
      <x:c r="C598" s="16" t="str">
        <x:f>IF(AND(ISNUMBER(B598),ISNUMBER(B597),B598&gt;0,B597&gt;0),LN(B598/B597),"")</x:f>
      </x:c>
      <x:c r="D598" s="16" t="str">
        <x:f>IF(ISNUMBER(C598),ABS(C598),"")</x:f>
      </x:c>
      <x:c r="E598" s="16" t="str">
        <x:f>IF(ISNUMBER(C598),C598^2,"")</x:f>
      </x:c>
      <x:c r="F598" s="16" t="str">
        <x:f>IF(AND(ISNUMBER(C598),ISNUMBER($J$6),$J$6&gt;0),(C598-$J$5)/$J$6,"")</x:f>
      </x:c>
      <x:c r="G598" s="1" t="str">
        <x:f>IF(ISNUMBER(F598),IF(ABS(F598)&gt;3,1,0),"")</x:f>
      </x:c>
      <x:c r="H598" s="1" t="str">
        <x:f>IF(ISNUMBER(F598),F598^4,"")</x:f>
      </x:c>
      <x:c r="I598" s="1"/>
      <x:c r="J598" s="1"/>
      <x:c r="K598" s="1"/>
      <x:c r="L598" s="1"/>
      <x:c r="M598" s="1"/>
      <x:c r="N598" s="1"/>
    </x:row>
    <x:row r="599" ht="22" customHeight="1">
      <x:c r="A599" s="14"/>
      <x:c r="B599" s="15"/>
      <x:c r="C599" s="16" t="str">
        <x:f>IF(AND(ISNUMBER(B599),ISNUMBER(B598),B599&gt;0,B598&gt;0),LN(B599/B598),"")</x:f>
      </x:c>
      <x:c r="D599" s="16" t="str">
        <x:f>IF(ISNUMBER(C599),ABS(C599),"")</x:f>
      </x:c>
      <x:c r="E599" s="16" t="str">
        <x:f>IF(ISNUMBER(C599),C599^2,"")</x:f>
      </x:c>
      <x:c r="F599" s="16" t="str">
        <x:f>IF(AND(ISNUMBER(C599),ISNUMBER($J$6),$J$6&gt;0),(C599-$J$5)/$J$6,"")</x:f>
      </x:c>
      <x:c r="G599" s="1" t="str">
        <x:f>IF(ISNUMBER(F599),IF(ABS(F599)&gt;3,1,0),"")</x:f>
      </x:c>
      <x:c r="H599" s="1" t="str">
        <x:f>IF(ISNUMBER(F599),F599^4,"")</x:f>
      </x:c>
      <x:c r="I599" s="1"/>
      <x:c r="J599" s="1"/>
      <x:c r="K599" s="1"/>
      <x:c r="L599" s="1"/>
      <x:c r="M599" s="1"/>
      <x:c r="N599" s="1"/>
    </x:row>
    <x:row r="600" ht="22" customHeight="1">
      <x:c r="A600" s="14"/>
      <x:c r="B600" s="15"/>
      <x:c r="C600" s="16" t="str">
        <x:f>IF(AND(ISNUMBER(B600),ISNUMBER(B599),B600&gt;0,B599&gt;0),LN(B600/B599),"")</x:f>
      </x:c>
      <x:c r="D600" s="16" t="str">
        <x:f>IF(ISNUMBER(C600),ABS(C600),"")</x:f>
      </x:c>
      <x:c r="E600" s="16" t="str">
        <x:f>IF(ISNUMBER(C600),C600^2,"")</x:f>
      </x:c>
      <x:c r="F600" s="16" t="str">
        <x:f>IF(AND(ISNUMBER(C600),ISNUMBER($J$6),$J$6&gt;0),(C600-$J$5)/$J$6,"")</x:f>
      </x:c>
      <x:c r="G600" s="1" t="str">
        <x:f>IF(ISNUMBER(F600),IF(ABS(F600)&gt;3,1,0),"")</x:f>
      </x:c>
      <x:c r="H600" s="1" t="str">
        <x:f>IF(ISNUMBER(F600),F600^4,"")</x:f>
      </x:c>
      <x:c r="I600" s="1"/>
      <x:c r="J600" s="1"/>
      <x:c r="K600" s="1"/>
      <x:c r="L600" s="1"/>
      <x:c r="M600" s="1"/>
      <x:c r="N600" s="1"/>
    </x:row>
    <x:row r="601" ht="22" customHeight="1">
      <x:c r="A601" s="14"/>
      <x:c r="B601" s="15"/>
      <x:c r="C601" s="16" t="str">
        <x:f>IF(AND(ISNUMBER(B601),ISNUMBER(B600),B601&gt;0,B600&gt;0),LN(B601/B600),"")</x:f>
      </x:c>
      <x:c r="D601" s="16" t="str">
        <x:f>IF(ISNUMBER(C601),ABS(C601),"")</x:f>
      </x:c>
      <x:c r="E601" s="16" t="str">
        <x:f>IF(ISNUMBER(C601),C601^2,"")</x:f>
      </x:c>
      <x:c r="F601" s="16" t="str">
        <x:f>IF(AND(ISNUMBER(C601),ISNUMBER($J$6),$J$6&gt;0),(C601-$J$5)/$J$6,"")</x:f>
      </x:c>
      <x:c r="G601" s="1" t="str">
        <x:f>IF(ISNUMBER(F601),IF(ABS(F601)&gt;3,1,0),"")</x:f>
      </x:c>
      <x:c r="H601" s="1" t="str">
        <x:f>IF(ISNUMBER(F601),F601^4,"")</x:f>
      </x:c>
      <x:c r="I601" s="1"/>
      <x:c r="J601" s="1"/>
      <x:c r="K601" s="1"/>
      <x:c r="L601" s="1"/>
      <x:c r="M601" s="1"/>
      <x:c r="N601" s="1"/>
    </x:row>
    <x:row r="602" ht="22" customHeight="1">
      <x:c r="A602" s="14"/>
      <x:c r="B602" s="15"/>
      <x:c r="C602" s="16" t="str">
        <x:f>IF(AND(ISNUMBER(B602),ISNUMBER(B601),B602&gt;0,B601&gt;0),LN(B602/B601),"")</x:f>
      </x:c>
      <x:c r="D602" s="16" t="str">
        <x:f>IF(ISNUMBER(C602),ABS(C602),"")</x:f>
      </x:c>
      <x:c r="E602" s="16" t="str">
        <x:f>IF(ISNUMBER(C602),C602^2,"")</x:f>
      </x:c>
      <x:c r="F602" s="16" t="str">
        <x:f>IF(AND(ISNUMBER(C602),ISNUMBER($J$6),$J$6&gt;0),(C602-$J$5)/$J$6,"")</x:f>
      </x:c>
      <x:c r="G602" s="1" t="str">
        <x:f>IF(ISNUMBER(F602),IF(ABS(F602)&gt;3,1,0),"")</x:f>
      </x:c>
      <x:c r="H602" s="1" t="str">
        <x:f>IF(ISNUMBER(F602),F602^4,"")</x:f>
      </x:c>
      <x:c r="I602" s="1"/>
      <x:c r="J602" s="1"/>
      <x:c r="K602" s="1"/>
      <x:c r="L602" s="1"/>
      <x:c r="M602" s="1"/>
      <x:c r="N602" s="1"/>
    </x:row>
    <x:row r="603" ht="22" customHeight="1">
      <x:c r="A603" s="14"/>
      <x:c r="B603" s="15"/>
      <x:c r="C603" s="16" t="str">
        <x:f>IF(AND(ISNUMBER(B603),ISNUMBER(B602),B603&gt;0,B602&gt;0),LN(B603/B602),"")</x:f>
      </x:c>
      <x:c r="D603" s="16" t="str">
        <x:f>IF(ISNUMBER(C603),ABS(C603),"")</x:f>
      </x:c>
      <x:c r="E603" s="16" t="str">
        <x:f>IF(ISNUMBER(C603),C603^2,"")</x:f>
      </x:c>
      <x:c r="F603" s="16" t="str">
        <x:f>IF(AND(ISNUMBER(C603),ISNUMBER($J$6),$J$6&gt;0),(C603-$J$5)/$J$6,"")</x:f>
      </x:c>
      <x:c r="G603" s="1" t="str">
        <x:f>IF(ISNUMBER(F603),IF(ABS(F603)&gt;3,1,0),"")</x:f>
      </x:c>
      <x:c r="H603" s="1" t="str">
        <x:f>IF(ISNUMBER(F603),F603^4,"")</x:f>
      </x:c>
      <x:c r="I603" s="1"/>
      <x:c r="J603" s="1"/>
      <x:c r="K603" s="1"/>
      <x:c r="L603" s="1"/>
      <x:c r="M603" s="1"/>
      <x:c r="N603" s="1"/>
    </x:row>
    <x:row r="604" ht="22" customHeight="1">
      <x:c r="A604" s="14"/>
      <x:c r="B604" s="15"/>
      <x:c r="C604" s="16" t="str">
        <x:f>IF(AND(ISNUMBER(B604),ISNUMBER(B603),B604&gt;0,B603&gt;0),LN(B604/B603),"")</x:f>
      </x:c>
      <x:c r="D604" s="16" t="str">
        <x:f>IF(ISNUMBER(C604),ABS(C604),"")</x:f>
      </x:c>
      <x:c r="E604" s="16" t="str">
        <x:f>IF(ISNUMBER(C604),C604^2,"")</x:f>
      </x:c>
      <x:c r="F604" s="16" t="str">
        <x:f>IF(AND(ISNUMBER(C604),ISNUMBER($J$6),$J$6&gt;0),(C604-$J$5)/$J$6,"")</x:f>
      </x:c>
      <x:c r="G604" s="1" t="str">
        <x:f>IF(ISNUMBER(F604),IF(ABS(F604)&gt;3,1,0),"")</x:f>
      </x:c>
      <x:c r="H604" s="1" t="str">
        <x:f>IF(ISNUMBER(F604),F604^4,"")</x:f>
      </x:c>
      <x:c r="I604" s="1"/>
      <x:c r="J604" s="1"/>
      <x:c r="K604" s="1"/>
      <x:c r="L604" s="1"/>
      <x:c r="M604" s="1"/>
      <x:c r="N604" s="1"/>
    </x:row>
    <x:row r="605" ht="22" customHeight="1">
      <x:c r="A605" s="14"/>
      <x:c r="B605" s="15"/>
      <x:c r="C605" s="16" t="str">
        <x:f>IF(AND(ISNUMBER(B605),ISNUMBER(B604),B605&gt;0,B604&gt;0),LN(B605/B604),"")</x:f>
      </x:c>
      <x:c r="D605" s="16" t="str">
        <x:f>IF(ISNUMBER(C605),ABS(C605),"")</x:f>
      </x:c>
      <x:c r="E605" s="16" t="str">
        <x:f>IF(ISNUMBER(C605),C605^2,"")</x:f>
      </x:c>
      <x:c r="F605" s="16" t="str">
        <x:f>IF(AND(ISNUMBER(C605),ISNUMBER($J$6),$J$6&gt;0),(C605-$J$5)/$J$6,"")</x:f>
      </x:c>
      <x:c r="G605" s="1" t="str">
        <x:f>IF(ISNUMBER(F605),IF(ABS(F605)&gt;3,1,0),"")</x:f>
      </x:c>
      <x:c r="H605" s="1" t="str">
        <x:f>IF(ISNUMBER(F605),F605^4,"")</x:f>
      </x:c>
      <x:c r="I605" s="1"/>
      <x:c r="J605" s="1"/>
      <x:c r="K605" s="1"/>
      <x:c r="L605" s="1"/>
      <x:c r="M605" s="1"/>
      <x:c r="N605" s="1"/>
    </x:row>
    <x:row r="606" ht="22" customHeight="1">
      <x:c r="A606" s="14"/>
      <x:c r="B606" s="15"/>
      <x:c r="C606" s="16" t="str">
        <x:f>IF(AND(ISNUMBER(B606),ISNUMBER(B605),B606&gt;0,B605&gt;0),LN(B606/B605),"")</x:f>
      </x:c>
      <x:c r="D606" s="16" t="str">
        <x:f>IF(ISNUMBER(C606),ABS(C606),"")</x:f>
      </x:c>
      <x:c r="E606" s="16" t="str">
        <x:f>IF(ISNUMBER(C606),C606^2,"")</x:f>
      </x:c>
      <x:c r="F606" s="16" t="str">
        <x:f>IF(AND(ISNUMBER(C606),ISNUMBER($J$6),$J$6&gt;0),(C606-$J$5)/$J$6,"")</x:f>
      </x:c>
      <x:c r="G606" s="1" t="str">
        <x:f>IF(ISNUMBER(F606),IF(ABS(F606)&gt;3,1,0),"")</x:f>
      </x:c>
      <x:c r="H606" s="1" t="str">
        <x:f>IF(ISNUMBER(F606),F606^4,"")</x:f>
      </x:c>
      <x:c r="I606" s="1"/>
      <x:c r="J606" s="1"/>
      <x:c r="K606" s="1"/>
      <x:c r="L606" s="1"/>
      <x:c r="M606" s="1"/>
      <x:c r="N606" s="1"/>
    </x:row>
    <x:row r="607" ht="22" customHeight="1">
      <x:c r="A607" s="14"/>
      <x:c r="B607" s="15"/>
      <x:c r="C607" s="16" t="str">
        <x:f>IF(AND(ISNUMBER(B607),ISNUMBER(B606),B607&gt;0,B606&gt;0),LN(B607/B606),"")</x:f>
      </x:c>
      <x:c r="D607" s="16" t="str">
        <x:f>IF(ISNUMBER(C607),ABS(C607),"")</x:f>
      </x:c>
      <x:c r="E607" s="16" t="str">
        <x:f>IF(ISNUMBER(C607),C607^2,"")</x:f>
      </x:c>
      <x:c r="F607" s="16" t="str">
        <x:f>IF(AND(ISNUMBER(C607),ISNUMBER($J$6),$J$6&gt;0),(C607-$J$5)/$J$6,"")</x:f>
      </x:c>
      <x:c r="G607" s="1" t="str">
        <x:f>IF(ISNUMBER(F607),IF(ABS(F607)&gt;3,1,0),"")</x:f>
      </x:c>
      <x:c r="H607" s="1" t="str">
        <x:f>IF(ISNUMBER(F607),F607^4,"")</x:f>
      </x:c>
      <x:c r="I607" s="1"/>
      <x:c r="J607" s="1"/>
      <x:c r="K607" s="1"/>
      <x:c r="L607" s="1"/>
      <x:c r="M607" s="1"/>
      <x:c r="N607" s="1"/>
    </x:row>
    <x:row r="608" ht="22" customHeight="1">
      <x:c r="A608" s="14"/>
      <x:c r="B608" s="15"/>
      <x:c r="C608" s="16" t="str">
        <x:f>IF(AND(ISNUMBER(B608),ISNUMBER(B607),B608&gt;0,B607&gt;0),LN(B608/B607),"")</x:f>
      </x:c>
      <x:c r="D608" s="16" t="str">
        <x:f>IF(ISNUMBER(C608),ABS(C608),"")</x:f>
      </x:c>
      <x:c r="E608" s="16" t="str">
        <x:f>IF(ISNUMBER(C608),C608^2,"")</x:f>
      </x:c>
      <x:c r="F608" s="16" t="str">
        <x:f>IF(AND(ISNUMBER(C608),ISNUMBER($J$6),$J$6&gt;0),(C608-$J$5)/$J$6,"")</x:f>
      </x:c>
      <x:c r="G608" s="1" t="str">
        <x:f>IF(ISNUMBER(F608),IF(ABS(F608)&gt;3,1,0),"")</x:f>
      </x:c>
      <x:c r="H608" s="1" t="str">
        <x:f>IF(ISNUMBER(F608),F608^4,"")</x:f>
      </x:c>
      <x:c r="I608" s="1"/>
      <x:c r="J608" s="1"/>
      <x:c r="K608" s="1"/>
      <x:c r="L608" s="1"/>
      <x:c r="M608" s="1"/>
      <x:c r="N608" s="1"/>
    </x:row>
    <x:row r="609" ht="22" customHeight="1">
      <x:c r="A609" s="14"/>
      <x:c r="B609" s="15"/>
      <x:c r="C609" s="16" t="str">
        <x:f>IF(AND(ISNUMBER(B609),ISNUMBER(B608),B609&gt;0,B608&gt;0),LN(B609/B608),"")</x:f>
      </x:c>
      <x:c r="D609" s="16" t="str">
        <x:f>IF(ISNUMBER(C609),ABS(C609),"")</x:f>
      </x:c>
      <x:c r="E609" s="16" t="str">
        <x:f>IF(ISNUMBER(C609),C609^2,"")</x:f>
      </x:c>
      <x:c r="F609" s="16" t="str">
        <x:f>IF(AND(ISNUMBER(C609),ISNUMBER($J$6),$J$6&gt;0),(C609-$J$5)/$J$6,"")</x:f>
      </x:c>
      <x:c r="G609" s="1" t="str">
        <x:f>IF(ISNUMBER(F609),IF(ABS(F609)&gt;3,1,0),"")</x:f>
      </x:c>
      <x:c r="H609" s="1" t="str">
        <x:f>IF(ISNUMBER(F609),F609^4,"")</x:f>
      </x:c>
      <x:c r="I609" s="1"/>
      <x:c r="J609" s="1"/>
      <x:c r="K609" s="1"/>
      <x:c r="L609" s="1"/>
      <x:c r="M609" s="1"/>
      <x:c r="N609" s="1"/>
    </x:row>
    <x:row r="610" ht="22" customHeight="1">
      <x:c r="A610" s="14"/>
      <x:c r="B610" s="15"/>
      <x:c r="C610" s="16" t="str">
        <x:f>IF(AND(ISNUMBER(B610),ISNUMBER(B609),B610&gt;0,B609&gt;0),LN(B610/B609),"")</x:f>
      </x:c>
      <x:c r="D610" s="16" t="str">
        <x:f>IF(ISNUMBER(C610),ABS(C610),"")</x:f>
      </x:c>
      <x:c r="E610" s="16" t="str">
        <x:f>IF(ISNUMBER(C610),C610^2,"")</x:f>
      </x:c>
      <x:c r="F610" s="16" t="str">
        <x:f>IF(AND(ISNUMBER(C610),ISNUMBER($J$6),$J$6&gt;0),(C610-$J$5)/$J$6,"")</x:f>
      </x:c>
      <x:c r="G610" s="1" t="str">
        <x:f>IF(ISNUMBER(F610),IF(ABS(F610)&gt;3,1,0),"")</x:f>
      </x:c>
      <x:c r="H610" s="1" t="str">
        <x:f>IF(ISNUMBER(F610),F610^4,"")</x:f>
      </x:c>
      <x:c r="I610" s="1"/>
      <x:c r="J610" s="1"/>
      <x:c r="K610" s="1"/>
      <x:c r="L610" s="1"/>
      <x:c r="M610" s="1"/>
      <x:c r="N610" s="1"/>
    </x:row>
    <x:row r="611" ht="22" customHeight="1">
      <x:c r="A611" s="14"/>
      <x:c r="B611" s="15"/>
      <x:c r="C611" s="16" t="str">
        <x:f>IF(AND(ISNUMBER(B611),ISNUMBER(B610),B611&gt;0,B610&gt;0),LN(B611/B610),"")</x:f>
      </x:c>
      <x:c r="D611" s="16" t="str">
        <x:f>IF(ISNUMBER(C611),ABS(C611),"")</x:f>
      </x:c>
      <x:c r="E611" s="16" t="str">
        <x:f>IF(ISNUMBER(C611),C611^2,"")</x:f>
      </x:c>
      <x:c r="F611" s="16" t="str">
        <x:f>IF(AND(ISNUMBER(C611),ISNUMBER($J$6),$J$6&gt;0),(C611-$J$5)/$J$6,"")</x:f>
      </x:c>
      <x:c r="G611" s="1" t="str">
        <x:f>IF(ISNUMBER(F611),IF(ABS(F611)&gt;3,1,0),"")</x:f>
      </x:c>
      <x:c r="H611" s="1" t="str">
        <x:f>IF(ISNUMBER(F611),F611^4,"")</x:f>
      </x:c>
      <x:c r="I611" s="1"/>
      <x:c r="J611" s="1"/>
      <x:c r="K611" s="1"/>
      <x:c r="L611" s="1"/>
      <x:c r="M611" s="1"/>
      <x:c r="N611" s="1"/>
    </x:row>
    <x:row r="612" ht="22" customHeight="1">
      <x:c r="A612" s="14"/>
      <x:c r="B612" s="15"/>
      <x:c r="C612" s="16" t="str">
        <x:f>IF(AND(ISNUMBER(B612),ISNUMBER(B611),B612&gt;0,B611&gt;0),LN(B612/B611),"")</x:f>
      </x:c>
      <x:c r="D612" s="16" t="str">
        <x:f>IF(ISNUMBER(C612),ABS(C612),"")</x:f>
      </x:c>
      <x:c r="E612" s="16" t="str">
        <x:f>IF(ISNUMBER(C612),C612^2,"")</x:f>
      </x:c>
      <x:c r="F612" s="16" t="str">
        <x:f>IF(AND(ISNUMBER(C612),ISNUMBER($J$6),$J$6&gt;0),(C612-$J$5)/$J$6,"")</x:f>
      </x:c>
      <x:c r="G612" s="1" t="str">
        <x:f>IF(ISNUMBER(F612),IF(ABS(F612)&gt;3,1,0),"")</x:f>
      </x:c>
      <x:c r="H612" s="1" t="str">
        <x:f>IF(ISNUMBER(F612),F612^4,"")</x:f>
      </x:c>
      <x:c r="I612" s="1"/>
      <x:c r="J612" s="1"/>
      <x:c r="K612" s="1"/>
      <x:c r="L612" s="1"/>
      <x:c r="M612" s="1"/>
      <x:c r="N612" s="1"/>
    </x:row>
    <x:row r="613" ht="22" customHeight="1">
      <x:c r="A613" s="14"/>
      <x:c r="B613" s="15"/>
      <x:c r="C613" s="16" t="str">
        <x:f>IF(AND(ISNUMBER(B613),ISNUMBER(B612),B613&gt;0,B612&gt;0),LN(B613/B612),"")</x:f>
      </x:c>
      <x:c r="D613" s="16" t="str">
        <x:f>IF(ISNUMBER(C613),ABS(C613),"")</x:f>
      </x:c>
      <x:c r="E613" s="16" t="str">
        <x:f>IF(ISNUMBER(C613),C613^2,"")</x:f>
      </x:c>
      <x:c r="F613" s="16" t="str">
        <x:f>IF(AND(ISNUMBER(C613),ISNUMBER($J$6),$J$6&gt;0),(C613-$J$5)/$J$6,"")</x:f>
      </x:c>
      <x:c r="G613" s="1" t="str">
        <x:f>IF(ISNUMBER(F613),IF(ABS(F613)&gt;3,1,0),"")</x:f>
      </x:c>
      <x:c r="H613" s="1" t="str">
        <x:f>IF(ISNUMBER(F613),F613^4,"")</x:f>
      </x:c>
      <x:c r="I613" s="1"/>
      <x:c r="J613" s="1"/>
      <x:c r="K613" s="1"/>
      <x:c r="L613" s="1"/>
      <x:c r="M613" s="1"/>
      <x:c r="N613" s="1"/>
    </x:row>
    <x:row r="614" ht="22" customHeight="1">
      <x:c r="A614" s="14"/>
      <x:c r="B614" s="15"/>
      <x:c r="C614" s="16" t="str">
        <x:f>IF(AND(ISNUMBER(B614),ISNUMBER(B613),B614&gt;0,B613&gt;0),LN(B614/B613),"")</x:f>
      </x:c>
      <x:c r="D614" s="16" t="str">
        <x:f>IF(ISNUMBER(C614),ABS(C614),"")</x:f>
      </x:c>
      <x:c r="E614" s="16" t="str">
        <x:f>IF(ISNUMBER(C614),C614^2,"")</x:f>
      </x:c>
      <x:c r="F614" s="16" t="str">
        <x:f>IF(AND(ISNUMBER(C614),ISNUMBER($J$6),$J$6&gt;0),(C614-$J$5)/$J$6,"")</x:f>
      </x:c>
      <x:c r="G614" s="1" t="str">
        <x:f>IF(ISNUMBER(F614),IF(ABS(F614)&gt;3,1,0),"")</x:f>
      </x:c>
      <x:c r="H614" s="1" t="str">
        <x:f>IF(ISNUMBER(F614),F614^4,"")</x:f>
      </x:c>
      <x:c r="I614" s="1"/>
      <x:c r="J614" s="1"/>
      <x:c r="K614" s="1"/>
      <x:c r="L614" s="1"/>
      <x:c r="M614" s="1"/>
      <x:c r="N614" s="1"/>
    </x:row>
    <x:row r="615" ht="22" customHeight="1">
      <x:c r="A615" s="14"/>
      <x:c r="B615" s="15"/>
      <x:c r="C615" s="16" t="str">
        <x:f>IF(AND(ISNUMBER(B615),ISNUMBER(B614),B615&gt;0,B614&gt;0),LN(B615/B614),"")</x:f>
      </x:c>
      <x:c r="D615" s="16" t="str">
        <x:f>IF(ISNUMBER(C615),ABS(C615),"")</x:f>
      </x:c>
      <x:c r="E615" s="16" t="str">
        <x:f>IF(ISNUMBER(C615),C615^2,"")</x:f>
      </x:c>
      <x:c r="F615" s="16" t="str">
        <x:f>IF(AND(ISNUMBER(C615),ISNUMBER($J$6),$J$6&gt;0),(C615-$J$5)/$J$6,"")</x:f>
      </x:c>
      <x:c r="G615" s="1" t="str">
        <x:f>IF(ISNUMBER(F615),IF(ABS(F615)&gt;3,1,0),"")</x:f>
      </x:c>
      <x:c r="H615" s="1" t="str">
        <x:f>IF(ISNUMBER(F615),F615^4,"")</x:f>
      </x:c>
      <x:c r="I615" s="1"/>
      <x:c r="J615" s="1"/>
      <x:c r="K615" s="1"/>
      <x:c r="L615" s="1"/>
      <x:c r="M615" s="1"/>
      <x:c r="N615" s="1"/>
    </x:row>
    <x:row r="616" ht="22" customHeight="1">
      <x:c r="A616" s="14"/>
      <x:c r="B616" s="15"/>
      <x:c r="C616" s="16" t="str">
        <x:f>IF(AND(ISNUMBER(B616),ISNUMBER(B615),B616&gt;0,B615&gt;0),LN(B616/B615),"")</x:f>
      </x:c>
      <x:c r="D616" s="16" t="str">
        <x:f>IF(ISNUMBER(C616),ABS(C616),"")</x:f>
      </x:c>
      <x:c r="E616" s="16" t="str">
        <x:f>IF(ISNUMBER(C616),C616^2,"")</x:f>
      </x:c>
      <x:c r="F616" s="16" t="str">
        <x:f>IF(AND(ISNUMBER(C616),ISNUMBER($J$6),$J$6&gt;0),(C616-$J$5)/$J$6,"")</x:f>
      </x:c>
      <x:c r="G616" s="1" t="str">
        <x:f>IF(ISNUMBER(F616),IF(ABS(F616)&gt;3,1,0),"")</x:f>
      </x:c>
      <x:c r="H616" s="1" t="str">
        <x:f>IF(ISNUMBER(F616),F616^4,"")</x:f>
      </x:c>
      <x:c r="I616" s="1"/>
      <x:c r="J616" s="1"/>
      <x:c r="K616" s="1"/>
      <x:c r="L616" s="1"/>
      <x:c r="M616" s="1"/>
      <x:c r="N616" s="1"/>
    </x:row>
    <x:row r="617" ht="22" customHeight="1">
      <x:c r="A617" s="14"/>
      <x:c r="B617" s="15"/>
      <x:c r="C617" s="16" t="str">
        <x:f>IF(AND(ISNUMBER(B617),ISNUMBER(B616),B617&gt;0,B616&gt;0),LN(B617/B616),"")</x:f>
      </x:c>
      <x:c r="D617" s="16" t="str">
        <x:f>IF(ISNUMBER(C617),ABS(C617),"")</x:f>
      </x:c>
      <x:c r="E617" s="16" t="str">
        <x:f>IF(ISNUMBER(C617),C617^2,"")</x:f>
      </x:c>
      <x:c r="F617" s="16" t="str">
        <x:f>IF(AND(ISNUMBER(C617),ISNUMBER($J$6),$J$6&gt;0),(C617-$J$5)/$J$6,"")</x:f>
      </x:c>
      <x:c r="G617" s="1" t="str">
        <x:f>IF(ISNUMBER(F617),IF(ABS(F617)&gt;3,1,0),"")</x:f>
      </x:c>
      <x:c r="H617" s="1" t="str">
        <x:f>IF(ISNUMBER(F617),F617^4,"")</x:f>
      </x:c>
      <x:c r="I617" s="1"/>
      <x:c r="J617" s="1"/>
      <x:c r="K617" s="1"/>
      <x:c r="L617" s="1"/>
      <x:c r="M617" s="1"/>
      <x:c r="N617" s="1"/>
    </x:row>
    <x:row r="618" ht="22" customHeight="1">
      <x:c r="A618" s="14"/>
      <x:c r="B618" s="15"/>
      <x:c r="C618" s="16" t="str">
        <x:f>IF(AND(ISNUMBER(B618),ISNUMBER(B617),B618&gt;0,B617&gt;0),LN(B618/B617),"")</x:f>
      </x:c>
      <x:c r="D618" s="16" t="str">
        <x:f>IF(ISNUMBER(C618),ABS(C618),"")</x:f>
      </x:c>
      <x:c r="E618" s="16" t="str">
        <x:f>IF(ISNUMBER(C618),C618^2,"")</x:f>
      </x:c>
      <x:c r="F618" s="16" t="str">
        <x:f>IF(AND(ISNUMBER(C618),ISNUMBER($J$6),$J$6&gt;0),(C618-$J$5)/$J$6,"")</x:f>
      </x:c>
      <x:c r="G618" s="1" t="str">
        <x:f>IF(ISNUMBER(F618),IF(ABS(F618)&gt;3,1,0),"")</x:f>
      </x:c>
      <x:c r="H618" s="1" t="str">
        <x:f>IF(ISNUMBER(F618),F618^4,"")</x:f>
      </x:c>
      <x:c r="I618" s="1"/>
      <x:c r="J618" s="1"/>
      <x:c r="K618" s="1"/>
      <x:c r="L618" s="1"/>
      <x:c r="M618" s="1"/>
      <x:c r="N618" s="1"/>
    </x:row>
    <x:row r="619" ht="22" customHeight="1">
      <x:c r="A619" s="14"/>
      <x:c r="B619" s="15"/>
      <x:c r="C619" s="16" t="str">
        <x:f>IF(AND(ISNUMBER(B619),ISNUMBER(B618),B619&gt;0,B618&gt;0),LN(B619/B618),"")</x:f>
      </x:c>
      <x:c r="D619" s="16" t="str">
        <x:f>IF(ISNUMBER(C619),ABS(C619),"")</x:f>
      </x:c>
      <x:c r="E619" s="16" t="str">
        <x:f>IF(ISNUMBER(C619),C619^2,"")</x:f>
      </x:c>
      <x:c r="F619" s="16" t="str">
        <x:f>IF(AND(ISNUMBER(C619),ISNUMBER($J$6),$J$6&gt;0),(C619-$J$5)/$J$6,"")</x:f>
      </x:c>
      <x:c r="G619" s="1" t="str">
        <x:f>IF(ISNUMBER(F619),IF(ABS(F619)&gt;3,1,0),"")</x:f>
      </x:c>
      <x:c r="H619" s="1" t="str">
        <x:f>IF(ISNUMBER(F619),F619^4,"")</x:f>
      </x:c>
      <x:c r="I619" s="1"/>
      <x:c r="J619" s="1"/>
      <x:c r="K619" s="1"/>
      <x:c r="L619" s="1"/>
      <x:c r="M619" s="1"/>
      <x:c r="N619" s="1"/>
    </x:row>
    <x:row r="620" ht="22" customHeight="1">
      <x:c r="A620" s="14"/>
      <x:c r="B620" s="15"/>
      <x:c r="C620" s="16" t="str">
        <x:f>IF(AND(ISNUMBER(B620),ISNUMBER(B619),B620&gt;0,B619&gt;0),LN(B620/B619),"")</x:f>
      </x:c>
      <x:c r="D620" s="16" t="str">
        <x:f>IF(ISNUMBER(C620),ABS(C620),"")</x:f>
      </x:c>
      <x:c r="E620" s="16" t="str">
        <x:f>IF(ISNUMBER(C620),C620^2,"")</x:f>
      </x:c>
      <x:c r="F620" s="16" t="str">
        <x:f>IF(AND(ISNUMBER(C620),ISNUMBER($J$6),$J$6&gt;0),(C620-$J$5)/$J$6,"")</x:f>
      </x:c>
      <x:c r="G620" s="1" t="str">
        <x:f>IF(ISNUMBER(F620),IF(ABS(F620)&gt;3,1,0),"")</x:f>
      </x:c>
      <x:c r="H620" s="1" t="str">
        <x:f>IF(ISNUMBER(F620),F620^4,"")</x:f>
      </x:c>
      <x:c r="I620" s="1"/>
      <x:c r="J620" s="1"/>
      <x:c r="K620" s="1"/>
      <x:c r="L620" s="1"/>
      <x:c r="M620" s="1"/>
      <x:c r="N620" s="1"/>
    </x:row>
    <x:row r="621" ht="22" customHeight="1">
      <x:c r="A621" s="14"/>
      <x:c r="B621" s="15"/>
      <x:c r="C621" s="16" t="str">
        <x:f>IF(AND(ISNUMBER(B621),ISNUMBER(B620),B621&gt;0,B620&gt;0),LN(B621/B620),"")</x:f>
      </x:c>
      <x:c r="D621" s="16" t="str">
        <x:f>IF(ISNUMBER(C621),ABS(C621),"")</x:f>
      </x:c>
      <x:c r="E621" s="16" t="str">
        <x:f>IF(ISNUMBER(C621),C621^2,"")</x:f>
      </x:c>
      <x:c r="F621" s="16" t="str">
        <x:f>IF(AND(ISNUMBER(C621),ISNUMBER($J$6),$J$6&gt;0),(C621-$J$5)/$J$6,"")</x:f>
      </x:c>
      <x:c r="G621" s="1" t="str">
        <x:f>IF(ISNUMBER(F621),IF(ABS(F621)&gt;3,1,0),"")</x:f>
      </x:c>
      <x:c r="H621" s="1" t="str">
        <x:f>IF(ISNUMBER(F621),F621^4,"")</x:f>
      </x:c>
      <x:c r="I621" s="1"/>
      <x:c r="J621" s="1"/>
      <x:c r="K621" s="1"/>
      <x:c r="L621" s="1"/>
      <x:c r="M621" s="1"/>
      <x:c r="N621" s="1"/>
    </x:row>
    <x:row r="622" ht="22" customHeight="1">
      <x:c r="A622" s="14"/>
      <x:c r="B622" s="15"/>
      <x:c r="C622" s="16" t="str">
        <x:f>IF(AND(ISNUMBER(B622),ISNUMBER(B621),B622&gt;0,B621&gt;0),LN(B622/B621),"")</x:f>
      </x:c>
      <x:c r="D622" s="16" t="str">
        <x:f>IF(ISNUMBER(C622),ABS(C622),"")</x:f>
      </x:c>
      <x:c r="E622" s="16" t="str">
        <x:f>IF(ISNUMBER(C622),C622^2,"")</x:f>
      </x:c>
      <x:c r="F622" s="16" t="str">
        <x:f>IF(AND(ISNUMBER(C622),ISNUMBER($J$6),$J$6&gt;0),(C622-$J$5)/$J$6,"")</x:f>
      </x:c>
      <x:c r="G622" s="1" t="str">
        <x:f>IF(ISNUMBER(F622),IF(ABS(F622)&gt;3,1,0),"")</x:f>
      </x:c>
      <x:c r="H622" s="1" t="str">
        <x:f>IF(ISNUMBER(F622),F622^4,"")</x:f>
      </x:c>
      <x:c r="I622" s="1"/>
      <x:c r="J622" s="1"/>
      <x:c r="K622" s="1"/>
      <x:c r="L622" s="1"/>
      <x:c r="M622" s="1"/>
      <x:c r="N622" s="1"/>
    </x:row>
    <x:row r="623" ht="22" customHeight="1">
      <x:c r="A623" s="14"/>
      <x:c r="B623" s="15"/>
      <x:c r="C623" s="16" t="str">
        <x:f>IF(AND(ISNUMBER(B623),ISNUMBER(B622),B623&gt;0,B622&gt;0),LN(B623/B622),"")</x:f>
      </x:c>
      <x:c r="D623" s="16" t="str">
        <x:f>IF(ISNUMBER(C623),ABS(C623),"")</x:f>
      </x:c>
      <x:c r="E623" s="16" t="str">
        <x:f>IF(ISNUMBER(C623),C623^2,"")</x:f>
      </x:c>
      <x:c r="F623" s="16" t="str">
        <x:f>IF(AND(ISNUMBER(C623),ISNUMBER($J$6),$J$6&gt;0),(C623-$J$5)/$J$6,"")</x:f>
      </x:c>
      <x:c r="G623" s="1" t="str">
        <x:f>IF(ISNUMBER(F623),IF(ABS(F623)&gt;3,1,0),"")</x:f>
      </x:c>
      <x:c r="H623" s="1" t="str">
        <x:f>IF(ISNUMBER(F623),F623^4,"")</x:f>
      </x:c>
      <x:c r="I623" s="1"/>
      <x:c r="J623" s="1"/>
      <x:c r="K623" s="1"/>
      <x:c r="L623" s="1"/>
      <x:c r="M623" s="1"/>
      <x:c r="N623" s="1"/>
    </x:row>
    <x:row r="624" ht="22" customHeight="1">
      <x:c r="A624" s="14"/>
      <x:c r="B624" s="15"/>
      <x:c r="C624" s="16" t="str">
        <x:f>IF(AND(ISNUMBER(B624),ISNUMBER(B623),B624&gt;0,B623&gt;0),LN(B624/B623),"")</x:f>
      </x:c>
      <x:c r="D624" s="16" t="str">
        <x:f>IF(ISNUMBER(C624),ABS(C624),"")</x:f>
      </x:c>
      <x:c r="E624" s="16" t="str">
        <x:f>IF(ISNUMBER(C624),C624^2,"")</x:f>
      </x:c>
      <x:c r="F624" s="16" t="str">
        <x:f>IF(AND(ISNUMBER(C624),ISNUMBER($J$6),$J$6&gt;0),(C624-$J$5)/$J$6,"")</x:f>
      </x:c>
      <x:c r="G624" s="1" t="str">
        <x:f>IF(ISNUMBER(F624),IF(ABS(F624)&gt;3,1,0),"")</x:f>
      </x:c>
      <x:c r="H624" s="1" t="str">
        <x:f>IF(ISNUMBER(F624),F624^4,"")</x:f>
      </x:c>
      <x:c r="I624" s="1"/>
      <x:c r="J624" s="1"/>
      <x:c r="K624" s="1"/>
      <x:c r="L624" s="1"/>
      <x:c r="M624" s="1"/>
      <x:c r="N624" s="1"/>
    </x:row>
    <x:row r="625" ht="22" customHeight="1">
      <x:c r="A625" s="14"/>
      <x:c r="B625" s="15"/>
      <x:c r="C625" s="16" t="str">
        <x:f>IF(AND(ISNUMBER(B625),ISNUMBER(B624),B625&gt;0,B624&gt;0),LN(B625/B624),"")</x:f>
      </x:c>
      <x:c r="D625" s="16" t="str">
        <x:f>IF(ISNUMBER(C625),ABS(C625),"")</x:f>
      </x:c>
      <x:c r="E625" s="16" t="str">
        <x:f>IF(ISNUMBER(C625),C625^2,"")</x:f>
      </x:c>
      <x:c r="F625" s="16" t="str">
        <x:f>IF(AND(ISNUMBER(C625),ISNUMBER($J$6),$J$6&gt;0),(C625-$J$5)/$J$6,"")</x:f>
      </x:c>
      <x:c r="G625" s="1" t="str">
        <x:f>IF(ISNUMBER(F625),IF(ABS(F625)&gt;3,1,0),"")</x:f>
      </x:c>
      <x:c r="H625" s="1" t="str">
        <x:f>IF(ISNUMBER(F625),F625^4,"")</x:f>
      </x:c>
      <x:c r="I625" s="1"/>
      <x:c r="J625" s="1"/>
      <x:c r="K625" s="1"/>
      <x:c r="L625" s="1"/>
      <x:c r="M625" s="1"/>
      <x:c r="N625" s="1"/>
    </x:row>
    <x:row r="626" ht="22" customHeight="1">
      <x:c r="A626" s="14"/>
      <x:c r="B626" s="15"/>
      <x:c r="C626" s="16" t="str">
        <x:f>IF(AND(ISNUMBER(B626),ISNUMBER(B625),B626&gt;0,B625&gt;0),LN(B626/B625),"")</x:f>
      </x:c>
      <x:c r="D626" s="16" t="str">
        <x:f>IF(ISNUMBER(C626),ABS(C626),"")</x:f>
      </x:c>
      <x:c r="E626" s="16" t="str">
        <x:f>IF(ISNUMBER(C626),C626^2,"")</x:f>
      </x:c>
      <x:c r="F626" s="16" t="str">
        <x:f>IF(AND(ISNUMBER(C626),ISNUMBER($J$6),$J$6&gt;0),(C626-$J$5)/$J$6,"")</x:f>
      </x:c>
      <x:c r="G626" s="1" t="str">
        <x:f>IF(ISNUMBER(F626),IF(ABS(F626)&gt;3,1,0),"")</x:f>
      </x:c>
      <x:c r="H626" s="1" t="str">
        <x:f>IF(ISNUMBER(F626),F626^4,"")</x:f>
      </x:c>
      <x:c r="I626" s="1"/>
      <x:c r="J626" s="1"/>
      <x:c r="K626" s="1"/>
      <x:c r="L626" s="1"/>
      <x:c r="M626" s="1"/>
      <x:c r="N626" s="1"/>
    </x:row>
    <x:row r="627" ht="22" customHeight="1">
      <x:c r="A627" s="14"/>
      <x:c r="B627" s="15"/>
      <x:c r="C627" s="16" t="str">
        <x:f>IF(AND(ISNUMBER(B627),ISNUMBER(B626),B627&gt;0,B626&gt;0),LN(B627/B626),"")</x:f>
      </x:c>
      <x:c r="D627" s="16" t="str">
        <x:f>IF(ISNUMBER(C627),ABS(C627),"")</x:f>
      </x:c>
      <x:c r="E627" s="16" t="str">
        <x:f>IF(ISNUMBER(C627),C627^2,"")</x:f>
      </x:c>
      <x:c r="F627" s="16" t="str">
        <x:f>IF(AND(ISNUMBER(C627),ISNUMBER($J$6),$J$6&gt;0),(C627-$J$5)/$J$6,"")</x:f>
      </x:c>
      <x:c r="G627" s="1" t="str">
        <x:f>IF(ISNUMBER(F627),IF(ABS(F627)&gt;3,1,0),"")</x:f>
      </x:c>
      <x:c r="H627" s="1" t="str">
        <x:f>IF(ISNUMBER(F627),F627^4,"")</x:f>
      </x:c>
      <x:c r="I627" s="1"/>
      <x:c r="J627" s="1"/>
      <x:c r="K627" s="1"/>
      <x:c r="L627" s="1"/>
      <x:c r="M627" s="1"/>
      <x:c r="N627" s="1"/>
    </x:row>
    <x:row r="628" ht="22" customHeight="1">
      <x:c r="A628" s="14"/>
      <x:c r="B628" s="15"/>
      <x:c r="C628" s="16" t="str">
        <x:f>IF(AND(ISNUMBER(B628),ISNUMBER(B627),B628&gt;0,B627&gt;0),LN(B628/B627),"")</x:f>
      </x:c>
      <x:c r="D628" s="16" t="str">
        <x:f>IF(ISNUMBER(C628),ABS(C628),"")</x:f>
      </x:c>
      <x:c r="E628" s="16" t="str">
        <x:f>IF(ISNUMBER(C628),C628^2,"")</x:f>
      </x:c>
      <x:c r="F628" s="16" t="str">
        <x:f>IF(AND(ISNUMBER(C628),ISNUMBER($J$6),$J$6&gt;0),(C628-$J$5)/$J$6,"")</x:f>
      </x:c>
      <x:c r="G628" s="1" t="str">
        <x:f>IF(ISNUMBER(F628),IF(ABS(F628)&gt;3,1,0),"")</x:f>
      </x:c>
      <x:c r="H628" s="1" t="str">
        <x:f>IF(ISNUMBER(F628),F628^4,"")</x:f>
      </x:c>
      <x:c r="I628" s="1"/>
      <x:c r="J628" s="1"/>
      <x:c r="K628" s="1"/>
      <x:c r="L628" s="1"/>
      <x:c r="M628" s="1"/>
      <x:c r="N628" s="1"/>
    </x:row>
    <x:row r="629" ht="22" customHeight="1">
      <x:c r="A629" s="14"/>
      <x:c r="B629" s="15"/>
      <x:c r="C629" s="16" t="str">
        <x:f>IF(AND(ISNUMBER(B629),ISNUMBER(B628),B629&gt;0,B628&gt;0),LN(B629/B628),"")</x:f>
      </x:c>
      <x:c r="D629" s="16" t="str">
        <x:f>IF(ISNUMBER(C629),ABS(C629),"")</x:f>
      </x:c>
      <x:c r="E629" s="16" t="str">
        <x:f>IF(ISNUMBER(C629),C629^2,"")</x:f>
      </x:c>
      <x:c r="F629" s="16" t="str">
        <x:f>IF(AND(ISNUMBER(C629),ISNUMBER($J$6),$J$6&gt;0),(C629-$J$5)/$J$6,"")</x:f>
      </x:c>
      <x:c r="G629" s="1" t="str">
        <x:f>IF(ISNUMBER(F629),IF(ABS(F629)&gt;3,1,0),"")</x:f>
      </x:c>
      <x:c r="H629" s="1" t="str">
        <x:f>IF(ISNUMBER(F629),F629^4,"")</x:f>
      </x:c>
      <x:c r="I629" s="1"/>
      <x:c r="J629" s="1"/>
      <x:c r="K629" s="1"/>
      <x:c r="L629" s="1"/>
      <x:c r="M629" s="1"/>
      <x:c r="N629" s="1"/>
    </x:row>
    <x:row r="630" ht="22" customHeight="1">
      <x:c r="A630" s="14"/>
      <x:c r="B630" s="15"/>
      <x:c r="C630" s="16" t="str">
        <x:f>IF(AND(ISNUMBER(B630),ISNUMBER(B629),B630&gt;0,B629&gt;0),LN(B630/B629),"")</x:f>
      </x:c>
      <x:c r="D630" s="16" t="str">
        <x:f>IF(ISNUMBER(C630),ABS(C630),"")</x:f>
      </x:c>
      <x:c r="E630" s="16" t="str">
        <x:f>IF(ISNUMBER(C630),C630^2,"")</x:f>
      </x:c>
      <x:c r="F630" s="16" t="str">
        <x:f>IF(AND(ISNUMBER(C630),ISNUMBER($J$6),$J$6&gt;0),(C630-$J$5)/$J$6,"")</x:f>
      </x:c>
      <x:c r="G630" s="1" t="str">
        <x:f>IF(ISNUMBER(F630),IF(ABS(F630)&gt;3,1,0),"")</x:f>
      </x:c>
      <x:c r="H630" s="1" t="str">
        <x:f>IF(ISNUMBER(F630),F630^4,"")</x:f>
      </x:c>
      <x:c r="I630" s="1"/>
      <x:c r="J630" s="1"/>
      <x:c r="K630" s="1"/>
      <x:c r="L630" s="1"/>
      <x:c r="M630" s="1"/>
      <x:c r="N630" s="1"/>
    </x:row>
    <x:row r="631" ht="22" customHeight="1">
      <x:c r="A631" s="14"/>
      <x:c r="B631" s="15"/>
      <x:c r="C631" s="16" t="str">
        <x:f>IF(AND(ISNUMBER(B631),ISNUMBER(B630),B631&gt;0,B630&gt;0),LN(B631/B630),"")</x:f>
      </x:c>
      <x:c r="D631" s="16" t="str">
        <x:f>IF(ISNUMBER(C631),ABS(C631),"")</x:f>
      </x:c>
      <x:c r="E631" s="16" t="str">
        <x:f>IF(ISNUMBER(C631),C631^2,"")</x:f>
      </x:c>
      <x:c r="F631" s="16" t="str">
        <x:f>IF(AND(ISNUMBER(C631),ISNUMBER($J$6),$J$6&gt;0),(C631-$J$5)/$J$6,"")</x:f>
      </x:c>
      <x:c r="G631" s="1" t="str">
        <x:f>IF(ISNUMBER(F631),IF(ABS(F631)&gt;3,1,0),"")</x:f>
      </x:c>
      <x:c r="H631" s="1" t="str">
        <x:f>IF(ISNUMBER(F631),F631^4,"")</x:f>
      </x:c>
      <x:c r="I631" s="1"/>
      <x:c r="J631" s="1"/>
      <x:c r="K631" s="1"/>
      <x:c r="L631" s="1"/>
      <x:c r="M631" s="1"/>
      <x:c r="N631" s="1"/>
    </x:row>
    <x:row r="632" ht="22" customHeight="1">
      <x:c r="A632" s="14"/>
      <x:c r="B632" s="15"/>
      <x:c r="C632" s="16" t="str">
        <x:f>IF(AND(ISNUMBER(B632),ISNUMBER(B631),B632&gt;0,B631&gt;0),LN(B632/B631),"")</x:f>
      </x:c>
      <x:c r="D632" s="16" t="str">
        <x:f>IF(ISNUMBER(C632),ABS(C632),"")</x:f>
      </x:c>
      <x:c r="E632" s="16" t="str">
        <x:f>IF(ISNUMBER(C632),C632^2,"")</x:f>
      </x:c>
      <x:c r="F632" s="16" t="str">
        <x:f>IF(AND(ISNUMBER(C632),ISNUMBER($J$6),$J$6&gt;0),(C632-$J$5)/$J$6,"")</x:f>
      </x:c>
      <x:c r="G632" s="1" t="str">
        <x:f>IF(ISNUMBER(F632),IF(ABS(F632)&gt;3,1,0),"")</x:f>
      </x:c>
      <x:c r="H632" s="1" t="str">
        <x:f>IF(ISNUMBER(F632),F632^4,"")</x:f>
      </x:c>
      <x:c r="I632" s="1"/>
      <x:c r="J632" s="1"/>
      <x:c r="K632" s="1"/>
      <x:c r="L632" s="1"/>
      <x:c r="M632" s="1"/>
      <x:c r="N632" s="1"/>
    </x:row>
    <x:row r="633" ht="22" customHeight="1">
      <x:c r="A633" s="14"/>
      <x:c r="B633" s="15"/>
      <x:c r="C633" s="16" t="str">
        <x:f>IF(AND(ISNUMBER(B633),ISNUMBER(B632),B633&gt;0,B632&gt;0),LN(B633/B632),"")</x:f>
      </x:c>
      <x:c r="D633" s="16" t="str">
        <x:f>IF(ISNUMBER(C633),ABS(C633),"")</x:f>
      </x:c>
      <x:c r="E633" s="16" t="str">
        <x:f>IF(ISNUMBER(C633),C633^2,"")</x:f>
      </x:c>
      <x:c r="F633" s="16" t="str">
        <x:f>IF(AND(ISNUMBER(C633),ISNUMBER($J$6),$J$6&gt;0),(C633-$J$5)/$J$6,"")</x:f>
      </x:c>
      <x:c r="G633" s="1" t="str">
        <x:f>IF(ISNUMBER(F633),IF(ABS(F633)&gt;3,1,0),"")</x:f>
      </x:c>
      <x:c r="H633" s="1" t="str">
        <x:f>IF(ISNUMBER(F633),F633^4,"")</x:f>
      </x:c>
      <x:c r="I633" s="1"/>
      <x:c r="J633" s="1"/>
      <x:c r="K633" s="1"/>
      <x:c r="L633" s="1"/>
      <x:c r="M633" s="1"/>
      <x:c r="N633" s="1"/>
    </x:row>
    <x:row r="634" ht="22" customHeight="1">
      <x:c r="A634" s="14"/>
      <x:c r="B634" s="15"/>
      <x:c r="C634" s="16" t="str">
        <x:f>IF(AND(ISNUMBER(B634),ISNUMBER(B633),B634&gt;0,B633&gt;0),LN(B634/B633),"")</x:f>
      </x:c>
      <x:c r="D634" s="16" t="str">
        <x:f>IF(ISNUMBER(C634),ABS(C634),"")</x:f>
      </x:c>
      <x:c r="E634" s="16" t="str">
        <x:f>IF(ISNUMBER(C634),C634^2,"")</x:f>
      </x:c>
      <x:c r="F634" s="16" t="str">
        <x:f>IF(AND(ISNUMBER(C634),ISNUMBER($J$6),$J$6&gt;0),(C634-$J$5)/$J$6,"")</x:f>
      </x:c>
      <x:c r="G634" s="1" t="str">
        <x:f>IF(ISNUMBER(F634),IF(ABS(F634)&gt;3,1,0),"")</x:f>
      </x:c>
      <x:c r="H634" s="1" t="str">
        <x:f>IF(ISNUMBER(F634),F634^4,"")</x:f>
      </x:c>
      <x:c r="I634" s="1"/>
      <x:c r="J634" s="1"/>
      <x:c r="K634" s="1"/>
      <x:c r="L634" s="1"/>
      <x:c r="M634" s="1"/>
      <x:c r="N634" s="1"/>
    </x:row>
    <x:row r="635" ht="22" customHeight="1">
      <x:c r="A635" s="14"/>
      <x:c r="B635" s="15"/>
      <x:c r="C635" s="16" t="str">
        <x:f>IF(AND(ISNUMBER(B635),ISNUMBER(B634),B635&gt;0,B634&gt;0),LN(B635/B634),"")</x:f>
      </x:c>
      <x:c r="D635" s="16" t="str">
        <x:f>IF(ISNUMBER(C635),ABS(C635),"")</x:f>
      </x:c>
      <x:c r="E635" s="16" t="str">
        <x:f>IF(ISNUMBER(C635),C635^2,"")</x:f>
      </x:c>
      <x:c r="F635" s="16" t="str">
        <x:f>IF(AND(ISNUMBER(C635),ISNUMBER($J$6),$J$6&gt;0),(C635-$J$5)/$J$6,"")</x:f>
      </x:c>
      <x:c r="G635" s="1" t="str">
        <x:f>IF(ISNUMBER(F635),IF(ABS(F635)&gt;3,1,0),"")</x:f>
      </x:c>
      <x:c r="H635" s="1" t="str">
        <x:f>IF(ISNUMBER(F635),F635^4,"")</x:f>
      </x:c>
      <x:c r="I635" s="1"/>
      <x:c r="J635" s="1"/>
      <x:c r="K635" s="1"/>
      <x:c r="L635" s="1"/>
      <x:c r="M635" s="1"/>
      <x:c r="N635" s="1"/>
    </x:row>
    <x:row r="636" ht="22" customHeight="1">
      <x:c r="A636" s="14"/>
      <x:c r="B636" s="15"/>
      <x:c r="C636" s="16" t="str">
        <x:f>IF(AND(ISNUMBER(B636),ISNUMBER(B635),B636&gt;0,B635&gt;0),LN(B636/B635),"")</x:f>
      </x:c>
      <x:c r="D636" s="16" t="str">
        <x:f>IF(ISNUMBER(C636),ABS(C636),"")</x:f>
      </x:c>
      <x:c r="E636" s="16" t="str">
        <x:f>IF(ISNUMBER(C636),C636^2,"")</x:f>
      </x:c>
      <x:c r="F636" s="16" t="str">
        <x:f>IF(AND(ISNUMBER(C636),ISNUMBER($J$6),$J$6&gt;0),(C636-$J$5)/$J$6,"")</x:f>
      </x:c>
      <x:c r="G636" s="1" t="str">
        <x:f>IF(ISNUMBER(F636),IF(ABS(F636)&gt;3,1,0),"")</x:f>
      </x:c>
      <x:c r="H636" s="1" t="str">
        <x:f>IF(ISNUMBER(F636),F636^4,"")</x:f>
      </x:c>
      <x:c r="I636" s="1"/>
      <x:c r="J636" s="1"/>
      <x:c r="K636" s="1"/>
      <x:c r="L636" s="1"/>
      <x:c r="M636" s="1"/>
      <x:c r="N636" s="1"/>
    </x:row>
    <x:row r="637" ht="22" customHeight="1">
      <x:c r="A637" s="14"/>
      <x:c r="B637" s="15"/>
      <x:c r="C637" s="16" t="str">
        <x:f>IF(AND(ISNUMBER(B637),ISNUMBER(B636),B637&gt;0,B636&gt;0),LN(B637/B636),"")</x:f>
      </x:c>
      <x:c r="D637" s="16" t="str">
        <x:f>IF(ISNUMBER(C637),ABS(C637),"")</x:f>
      </x:c>
      <x:c r="E637" s="16" t="str">
        <x:f>IF(ISNUMBER(C637),C637^2,"")</x:f>
      </x:c>
      <x:c r="F637" s="16" t="str">
        <x:f>IF(AND(ISNUMBER(C637),ISNUMBER($J$6),$J$6&gt;0),(C637-$J$5)/$J$6,"")</x:f>
      </x:c>
      <x:c r="G637" s="1" t="str">
        <x:f>IF(ISNUMBER(F637),IF(ABS(F637)&gt;3,1,0),"")</x:f>
      </x:c>
      <x:c r="H637" s="1" t="str">
        <x:f>IF(ISNUMBER(F637),F637^4,"")</x:f>
      </x:c>
      <x:c r="I637" s="1"/>
      <x:c r="J637" s="1"/>
      <x:c r="K637" s="1"/>
      <x:c r="L637" s="1"/>
      <x:c r="M637" s="1"/>
      <x:c r="N637" s="1"/>
    </x:row>
    <x:row r="638" ht="22" customHeight="1">
      <x:c r="A638" s="14"/>
      <x:c r="B638" s="15"/>
      <x:c r="C638" s="16" t="str">
        <x:f>IF(AND(ISNUMBER(B638),ISNUMBER(B637),B638&gt;0,B637&gt;0),LN(B638/B637),"")</x:f>
      </x:c>
      <x:c r="D638" s="16" t="str">
        <x:f>IF(ISNUMBER(C638),ABS(C638),"")</x:f>
      </x:c>
      <x:c r="E638" s="16" t="str">
        <x:f>IF(ISNUMBER(C638),C638^2,"")</x:f>
      </x:c>
      <x:c r="F638" s="16" t="str">
        <x:f>IF(AND(ISNUMBER(C638),ISNUMBER($J$6),$J$6&gt;0),(C638-$J$5)/$J$6,"")</x:f>
      </x:c>
      <x:c r="G638" s="1" t="str">
        <x:f>IF(ISNUMBER(F638),IF(ABS(F638)&gt;3,1,0),"")</x:f>
      </x:c>
      <x:c r="H638" s="1" t="str">
        <x:f>IF(ISNUMBER(F638),F638^4,"")</x:f>
      </x:c>
      <x:c r="I638" s="1"/>
      <x:c r="J638" s="1"/>
      <x:c r="K638" s="1"/>
      <x:c r="L638" s="1"/>
      <x:c r="M638" s="1"/>
      <x:c r="N638" s="1"/>
    </x:row>
    <x:row r="639" ht="22" customHeight="1">
      <x:c r="A639" s="14"/>
      <x:c r="B639" s="15"/>
      <x:c r="C639" s="16" t="str">
        <x:f>IF(AND(ISNUMBER(B639),ISNUMBER(B638),B639&gt;0,B638&gt;0),LN(B639/B638),"")</x:f>
      </x:c>
      <x:c r="D639" s="16" t="str">
        <x:f>IF(ISNUMBER(C639),ABS(C639),"")</x:f>
      </x:c>
      <x:c r="E639" s="16" t="str">
        <x:f>IF(ISNUMBER(C639),C639^2,"")</x:f>
      </x:c>
      <x:c r="F639" s="16" t="str">
        <x:f>IF(AND(ISNUMBER(C639),ISNUMBER($J$6),$J$6&gt;0),(C639-$J$5)/$J$6,"")</x:f>
      </x:c>
      <x:c r="G639" s="1" t="str">
        <x:f>IF(ISNUMBER(F639),IF(ABS(F639)&gt;3,1,0),"")</x:f>
      </x:c>
      <x:c r="H639" s="1" t="str">
        <x:f>IF(ISNUMBER(F639),F639^4,"")</x:f>
      </x:c>
      <x:c r="I639" s="1"/>
      <x:c r="J639" s="1"/>
      <x:c r="K639" s="1"/>
      <x:c r="L639" s="1"/>
      <x:c r="M639" s="1"/>
      <x:c r="N639" s="1"/>
    </x:row>
    <x:row r="640" ht="22" customHeight="1">
      <x:c r="A640" s="14"/>
      <x:c r="B640" s="15"/>
      <x:c r="C640" s="16" t="str">
        <x:f>IF(AND(ISNUMBER(B640),ISNUMBER(B639),B640&gt;0,B639&gt;0),LN(B640/B639),"")</x:f>
      </x:c>
      <x:c r="D640" s="16" t="str">
        <x:f>IF(ISNUMBER(C640),ABS(C640),"")</x:f>
      </x:c>
      <x:c r="E640" s="16" t="str">
        <x:f>IF(ISNUMBER(C640),C640^2,"")</x:f>
      </x:c>
      <x:c r="F640" s="16" t="str">
        <x:f>IF(AND(ISNUMBER(C640),ISNUMBER($J$6),$J$6&gt;0),(C640-$J$5)/$J$6,"")</x:f>
      </x:c>
      <x:c r="G640" s="1" t="str">
        <x:f>IF(ISNUMBER(F640),IF(ABS(F640)&gt;3,1,0),"")</x:f>
      </x:c>
      <x:c r="H640" s="1" t="str">
        <x:f>IF(ISNUMBER(F640),F640^4,"")</x:f>
      </x:c>
      <x:c r="I640" s="1"/>
      <x:c r="J640" s="1"/>
      <x:c r="K640" s="1"/>
      <x:c r="L640" s="1"/>
      <x:c r="M640" s="1"/>
      <x:c r="N640" s="1"/>
    </x:row>
    <x:row r="641" ht="22" customHeight="1">
      <x:c r="A641" s="14"/>
      <x:c r="B641" s="15"/>
      <x:c r="C641" s="16" t="str">
        <x:f>IF(AND(ISNUMBER(B641),ISNUMBER(B640),B641&gt;0,B640&gt;0),LN(B641/B640),"")</x:f>
      </x:c>
      <x:c r="D641" s="16" t="str">
        <x:f>IF(ISNUMBER(C641),ABS(C641),"")</x:f>
      </x:c>
      <x:c r="E641" s="16" t="str">
        <x:f>IF(ISNUMBER(C641),C641^2,"")</x:f>
      </x:c>
      <x:c r="F641" s="16" t="str">
        <x:f>IF(AND(ISNUMBER(C641),ISNUMBER($J$6),$J$6&gt;0),(C641-$J$5)/$J$6,"")</x:f>
      </x:c>
      <x:c r="G641" s="1" t="str">
        <x:f>IF(ISNUMBER(F641),IF(ABS(F641)&gt;3,1,0),"")</x:f>
      </x:c>
      <x:c r="H641" s="1" t="str">
        <x:f>IF(ISNUMBER(F641),F641^4,"")</x:f>
      </x:c>
      <x:c r="I641" s="1"/>
      <x:c r="J641" s="1"/>
      <x:c r="K641" s="1"/>
      <x:c r="L641" s="1"/>
      <x:c r="M641" s="1"/>
      <x:c r="N641" s="1"/>
    </x:row>
    <x:row r="642" ht="22" customHeight="1">
      <x:c r="A642" s="14"/>
      <x:c r="B642" s="15"/>
      <x:c r="C642" s="16" t="str">
        <x:f>IF(AND(ISNUMBER(B642),ISNUMBER(B641),B642&gt;0,B641&gt;0),LN(B642/B641),"")</x:f>
      </x:c>
      <x:c r="D642" s="16" t="str">
        <x:f>IF(ISNUMBER(C642),ABS(C642),"")</x:f>
      </x:c>
      <x:c r="E642" s="16" t="str">
        <x:f>IF(ISNUMBER(C642),C642^2,"")</x:f>
      </x:c>
      <x:c r="F642" s="16" t="str">
        <x:f>IF(AND(ISNUMBER(C642),ISNUMBER($J$6),$J$6&gt;0),(C642-$J$5)/$J$6,"")</x:f>
      </x:c>
      <x:c r="G642" s="1" t="str">
        <x:f>IF(ISNUMBER(F642),IF(ABS(F642)&gt;3,1,0),"")</x:f>
      </x:c>
      <x:c r="H642" s="1" t="str">
        <x:f>IF(ISNUMBER(F642),F642^4,"")</x:f>
      </x:c>
      <x:c r="I642" s="1"/>
      <x:c r="J642" s="1"/>
      <x:c r="K642" s="1"/>
      <x:c r="L642" s="1"/>
      <x:c r="M642" s="1"/>
      <x:c r="N642" s="1"/>
    </x:row>
    <x:row r="643" ht="22" customHeight="1">
      <x:c r="A643" s="14"/>
      <x:c r="B643" s="15"/>
      <x:c r="C643" s="16" t="str">
        <x:f>IF(AND(ISNUMBER(B643),ISNUMBER(B642),B643&gt;0,B642&gt;0),LN(B643/B642),"")</x:f>
      </x:c>
      <x:c r="D643" s="16" t="str">
        <x:f>IF(ISNUMBER(C643),ABS(C643),"")</x:f>
      </x:c>
      <x:c r="E643" s="16" t="str">
        <x:f>IF(ISNUMBER(C643),C643^2,"")</x:f>
      </x:c>
      <x:c r="F643" s="16" t="str">
        <x:f>IF(AND(ISNUMBER(C643),ISNUMBER($J$6),$J$6&gt;0),(C643-$J$5)/$J$6,"")</x:f>
      </x:c>
      <x:c r="G643" s="1" t="str">
        <x:f>IF(ISNUMBER(F643),IF(ABS(F643)&gt;3,1,0),"")</x:f>
      </x:c>
      <x:c r="H643" s="1" t="str">
        <x:f>IF(ISNUMBER(F643),F643^4,"")</x:f>
      </x:c>
      <x:c r="I643" s="1"/>
      <x:c r="J643" s="1"/>
      <x:c r="K643" s="1"/>
      <x:c r="L643" s="1"/>
      <x:c r="M643" s="1"/>
      <x:c r="N643" s="1"/>
    </x:row>
    <x:row r="644" ht="22" customHeight="1">
      <x:c r="A644" s="14"/>
      <x:c r="B644" s="15"/>
      <x:c r="C644" s="16" t="str">
        <x:f>IF(AND(ISNUMBER(B644),ISNUMBER(B643),B644&gt;0,B643&gt;0),LN(B644/B643),"")</x:f>
      </x:c>
      <x:c r="D644" s="16" t="str">
        <x:f>IF(ISNUMBER(C644),ABS(C644),"")</x:f>
      </x:c>
      <x:c r="E644" s="16" t="str">
        <x:f>IF(ISNUMBER(C644),C644^2,"")</x:f>
      </x:c>
      <x:c r="F644" s="16" t="str">
        <x:f>IF(AND(ISNUMBER(C644),ISNUMBER($J$6),$J$6&gt;0),(C644-$J$5)/$J$6,"")</x:f>
      </x:c>
      <x:c r="G644" s="1" t="str">
        <x:f>IF(ISNUMBER(F644),IF(ABS(F644)&gt;3,1,0),"")</x:f>
      </x:c>
      <x:c r="H644" s="1" t="str">
        <x:f>IF(ISNUMBER(F644),F644^4,"")</x:f>
      </x:c>
      <x:c r="I644" s="1"/>
      <x:c r="J644" s="1"/>
      <x:c r="K644" s="1"/>
      <x:c r="L644" s="1"/>
      <x:c r="M644" s="1"/>
      <x:c r="N644" s="1"/>
    </x:row>
    <x:row r="645" ht="22" customHeight="1">
      <x:c r="A645" s="14"/>
      <x:c r="B645" s="15"/>
      <x:c r="C645" s="16" t="str">
        <x:f>IF(AND(ISNUMBER(B645),ISNUMBER(B644),B645&gt;0,B644&gt;0),LN(B645/B644),"")</x:f>
      </x:c>
      <x:c r="D645" s="16" t="str">
        <x:f>IF(ISNUMBER(C645),ABS(C645),"")</x:f>
      </x:c>
      <x:c r="E645" s="16" t="str">
        <x:f>IF(ISNUMBER(C645),C645^2,"")</x:f>
      </x:c>
      <x:c r="F645" s="16" t="str">
        <x:f>IF(AND(ISNUMBER(C645),ISNUMBER($J$6),$J$6&gt;0),(C645-$J$5)/$J$6,"")</x:f>
      </x:c>
      <x:c r="G645" s="1" t="str">
        <x:f>IF(ISNUMBER(F645),IF(ABS(F645)&gt;3,1,0),"")</x:f>
      </x:c>
      <x:c r="H645" s="1" t="str">
        <x:f>IF(ISNUMBER(F645),F645^4,"")</x:f>
      </x:c>
      <x:c r="I645" s="1"/>
      <x:c r="J645" s="1"/>
      <x:c r="K645" s="1"/>
      <x:c r="L645" s="1"/>
      <x:c r="M645" s="1"/>
      <x:c r="N645" s="1"/>
    </x:row>
    <x:row r="646" ht="22" customHeight="1">
      <x:c r="A646" s="14"/>
      <x:c r="B646" s="15"/>
      <x:c r="C646" s="16" t="str">
        <x:f>IF(AND(ISNUMBER(B646),ISNUMBER(B645),B646&gt;0,B645&gt;0),LN(B646/B645),"")</x:f>
      </x:c>
      <x:c r="D646" s="16" t="str">
        <x:f>IF(ISNUMBER(C646),ABS(C646),"")</x:f>
      </x:c>
      <x:c r="E646" s="16" t="str">
        <x:f>IF(ISNUMBER(C646),C646^2,"")</x:f>
      </x:c>
      <x:c r="F646" s="16" t="str">
        <x:f>IF(AND(ISNUMBER(C646),ISNUMBER($J$6),$J$6&gt;0),(C646-$J$5)/$J$6,"")</x:f>
      </x:c>
      <x:c r="G646" s="1" t="str">
        <x:f>IF(ISNUMBER(F646),IF(ABS(F646)&gt;3,1,0),"")</x:f>
      </x:c>
      <x:c r="H646" s="1" t="str">
        <x:f>IF(ISNUMBER(F646),F646^4,"")</x:f>
      </x:c>
      <x:c r="I646" s="1"/>
      <x:c r="J646" s="1"/>
      <x:c r="K646" s="1"/>
      <x:c r="L646" s="1"/>
      <x:c r="M646" s="1"/>
      <x:c r="N646" s="1"/>
    </x:row>
    <x:row r="647" ht="22" customHeight="1">
      <x:c r="A647" s="14"/>
      <x:c r="B647" s="15"/>
      <x:c r="C647" s="16" t="str">
        <x:f>IF(AND(ISNUMBER(B647),ISNUMBER(B646),B647&gt;0,B646&gt;0),LN(B647/B646),"")</x:f>
      </x:c>
      <x:c r="D647" s="16" t="str">
        <x:f>IF(ISNUMBER(C647),ABS(C647),"")</x:f>
      </x:c>
      <x:c r="E647" s="16" t="str">
        <x:f>IF(ISNUMBER(C647),C647^2,"")</x:f>
      </x:c>
      <x:c r="F647" s="16" t="str">
        <x:f>IF(AND(ISNUMBER(C647),ISNUMBER($J$6),$J$6&gt;0),(C647-$J$5)/$J$6,"")</x:f>
      </x:c>
      <x:c r="G647" s="1" t="str">
        <x:f>IF(ISNUMBER(F647),IF(ABS(F647)&gt;3,1,0),"")</x:f>
      </x:c>
      <x:c r="H647" s="1" t="str">
        <x:f>IF(ISNUMBER(F647),F647^4,"")</x:f>
      </x:c>
      <x:c r="I647" s="1"/>
      <x:c r="J647" s="1"/>
      <x:c r="K647" s="1"/>
      <x:c r="L647" s="1"/>
      <x:c r="M647" s="1"/>
      <x:c r="N647" s="1"/>
    </x:row>
    <x:row r="648" ht="22" customHeight="1">
      <x:c r="A648" s="14"/>
      <x:c r="B648" s="15"/>
      <x:c r="C648" s="16" t="str">
        <x:f>IF(AND(ISNUMBER(B648),ISNUMBER(B647),B648&gt;0,B647&gt;0),LN(B648/B647),"")</x:f>
      </x:c>
      <x:c r="D648" s="16" t="str">
        <x:f>IF(ISNUMBER(C648),ABS(C648),"")</x:f>
      </x:c>
      <x:c r="E648" s="16" t="str">
        <x:f>IF(ISNUMBER(C648),C648^2,"")</x:f>
      </x:c>
      <x:c r="F648" s="16" t="str">
        <x:f>IF(AND(ISNUMBER(C648),ISNUMBER($J$6),$J$6&gt;0),(C648-$J$5)/$J$6,"")</x:f>
      </x:c>
      <x:c r="G648" s="1" t="str">
        <x:f>IF(ISNUMBER(F648),IF(ABS(F648)&gt;3,1,0),"")</x:f>
      </x:c>
      <x:c r="H648" s="1" t="str">
        <x:f>IF(ISNUMBER(F648),F648^4,"")</x:f>
      </x:c>
      <x:c r="I648" s="1"/>
      <x:c r="J648" s="1"/>
      <x:c r="K648" s="1"/>
      <x:c r="L648" s="1"/>
      <x:c r="M648" s="1"/>
      <x:c r="N648" s="1"/>
    </x:row>
    <x:row r="649" ht="22" customHeight="1">
      <x:c r="A649" s="14"/>
      <x:c r="B649" s="15"/>
      <x:c r="C649" s="16" t="str">
        <x:f>IF(AND(ISNUMBER(B649),ISNUMBER(B648),B649&gt;0,B648&gt;0),LN(B649/B648),"")</x:f>
      </x:c>
      <x:c r="D649" s="16" t="str">
        <x:f>IF(ISNUMBER(C649),ABS(C649),"")</x:f>
      </x:c>
      <x:c r="E649" s="16" t="str">
        <x:f>IF(ISNUMBER(C649),C649^2,"")</x:f>
      </x:c>
      <x:c r="F649" s="16" t="str">
        <x:f>IF(AND(ISNUMBER(C649),ISNUMBER($J$6),$J$6&gt;0),(C649-$J$5)/$J$6,"")</x:f>
      </x:c>
      <x:c r="G649" s="1" t="str">
        <x:f>IF(ISNUMBER(F649),IF(ABS(F649)&gt;3,1,0),"")</x:f>
      </x:c>
      <x:c r="H649" s="1" t="str">
        <x:f>IF(ISNUMBER(F649),F649^4,"")</x:f>
      </x:c>
      <x:c r="I649" s="1"/>
      <x:c r="J649" s="1"/>
      <x:c r="K649" s="1"/>
      <x:c r="L649" s="1"/>
      <x:c r="M649" s="1"/>
      <x:c r="N649" s="1"/>
    </x:row>
    <x:row r="650" ht="22" customHeight="1">
      <x:c r="A650" s="14"/>
      <x:c r="B650" s="15"/>
      <x:c r="C650" s="16" t="str">
        <x:f>IF(AND(ISNUMBER(B650),ISNUMBER(B649),B650&gt;0,B649&gt;0),LN(B650/B649),"")</x:f>
      </x:c>
      <x:c r="D650" s="16" t="str">
        <x:f>IF(ISNUMBER(C650),ABS(C650),"")</x:f>
      </x:c>
      <x:c r="E650" s="16" t="str">
        <x:f>IF(ISNUMBER(C650),C650^2,"")</x:f>
      </x:c>
      <x:c r="F650" s="16" t="str">
        <x:f>IF(AND(ISNUMBER(C650),ISNUMBER($J$6),$J$6&gt;0),(C650-$J$5)/$J$6,"")</x:f>
      </x:c>
      <x:c r="G650" s="1" t="str">
        <x:f>IF(ISNUMBER(F650),IF(ABS(F650)&gt;3,1,0),"")</x:f>
      </x:c>
      <x:c r="H650" s="1" t="str">
        <x:f>IF(ISNUMBER(F650),F650^4,"")</x:f>
      </x:c>
      <x:c r="I650" s="1"/>
      <x:c r="J650" s="1"/>
      <x:c r="K650" s="1"/>
      <x:c r="L650" s="1"/>
      <x:c r="M650" s="1"/>
      <x:c r="N650" s="1"/>
    </x:row>
    <x:row r="651" ht="22" customHeight="1">
      <x:c r="A651" s="14"/>
      <x:c r="B651" s="15"/>
      <x:c r="C651" s="16" t="str">
        <x:f>IF(AND(ISNUMBER(B651),ISNUMBER(B650),B651&gt;0,B650&gt;0),LN(B651/B650),"")</x:f>
      </x:c>
      <x:c r="D651" s="16" t="str">
        <x:f>IF(ISNUMBER(C651),ABS(C651),"")</x:f>
      </x:c>
      <x:c r="E651" s="16" t="str">
        <x:f>IF(ISNUMBER(C651),C651^2,"")</x:f>
      </x:c>
      <x:c r="F651" s="16" t="str">
        <x:f>IF(AND(ISNUMBER(C651),ISNUMBER($J$6),$J$6&gt;0),(C651-$J$5)/$J$6,"")</x:f>
      </x:c>
      <x:c r="G651" s="1" t="str">
        <x:f>IF(ISNUMBER(F651),IF(ABS(F651)&gt;3,1,0),"")</x:f>
      </x:c>
      <x:c r="H651" s="1" t="str">
        <x:f>IF(ISNUMBER(F651),F651^4,"")</x:f>
      </x:c>
      <x:c r="I651" s="1"/>
      <x:c r="J651" s="1"/>
      <x:c r="K651" s="1"/>
      <x:c r="L651" s="1"/>
      <x:c r="M651" s="1"/>
      <x:c r="N651" s="1"/>
    </x:row>
    <x:row r="652" ht="22" customHeight="1">
      <x:c r="A652" s="14"/>
      <x:c r="B652" s="15"/>
      <x:c r="C652" s="16" t="str">
        <x:f>IF(AND(ISNUMBER(B652),ISNUMBER(B651),B652&gt;0,B651&gt;0),LN(B652/B651),"")</x:f>
      </x:c>
      <x:c r="D652" s="16" t="str">
        <x:f>IF(ISNUMBER(C652),ABS(C652),"")</x:f>
      </x:c>
      <x:c r="E652" s="16" t="str">
        <x:f>IF(ISNUMBER(C652),C652^2,"")</x:f>
      </x:c>
      <x:c r="F652" s="16" t="str">
        <x:f>IF(AND(ISNUMBER(C652),ISNUMBER($J$6),$J$6&gt;0),(C652-$J$5)/$J$6,"")</x:f>
      </x:c>
      <x:c r="G652" s="1" t="str">
        <x:f>IF(ISNUMBER(F652),IF(ABS(F652)&gt;3,1,0),"")</x:f>
      </x:c>
      <x:c r="H652" s="1" t="str">
        <x:f>IF(ISNUMBER(F652),F652^4,"")</x:f>
      </x:c>
      <x:c r="I652" s="1"/>
      <x:c r="J652" s="1"/>
      <x:c r="K652" s="1"/>
      <x:c r="L652" s="1"/>
      <x:c r="M652" s="1"/>
      <x:c r="N652" s="1"/>
    </x:row>
    <x:row r="653" ht="22" customHeight="1">
      <x:c r="A653" s="14"/>
      <x:c r="B653" s="15"/>
      <x:c r="C653" s="16" t="str">
        <x:f>IF(AND(ISNUMBER(B653),ISNUMBER(B652),B653&gt;0,B652&gt;0),LN(B653/B652),"")</x:f>
      </x:c>
      <x:c r="D653" s="16" t="str">
        <x:f>IF(ISNUMBER(C653),ABS(C653),"")</x:f>
      </x:c>
      <x:c r="E653" s="16" t="str">
        <x:f>IF(ISNUMBER(C653),C653^2,"")</x:f>
      </x:c>
      <x:c r="F653" s="16" t="str">
        <x:f>IF(AND(ISNUMBER(C653),ISNUMBER($J$6),$J$6&gt;0),(C653-$J$5)/$J$6,"")</x:f>
      </x:c>
      <x:c r="G653" s="1" t="str">
        <x:f>IF(ISNUMBER(F653),IF(ABS(F653)&gt;3,1,0),"")</x:f>
      </x:c>
      <x:c r="H653" s="1" t="str">
        <x:f>IF(ISNUMBER(F653),F653^4,"")</x:f>
      </x:c>
      <x:c r="I653" s="1"/>
      <x:c r="J653" s="1"/>
      <x:c r="K653" s="1"/>
      <x:c r="L653" s="1"/>
      <x:c r="M653" s="1"/>
      <x:c r="N653" s="1"/>
    </x:row>
    <x:row r="654" ht="22" customHeight="1">
      <x:c r="A654" s="14"/>
      <x:c r="B654" s="15"/>
      <x:c r="C654" s="16" t="str">
        <x:f>IF(AND(ISNUMBER(B654),ISNUMBER(B653),B654&gt;0,B653&gt;0),LN(B654/B653),"")</x:f>
      </x:c>
      <x:c r="D654" s="16" t="str">
        <x:f>IF(ISNUMBER(C654),ABS(C654),"")</x:f>
      </x:c>
      <x:c r="E654" s="16" t="str">
        <x:f>IF(ISNUMBER(C654),C654^2,"")</x:f>
      </x:c>
      <x:c r="F654" s="16" t="str">
        <x:f>IF(AND(ISNUMBER(C654),ISNUMBER($J$6),$J$6&gt;0),(C654-$J$5)/$J$6,"")</x:f>
      </x:c>
      <x:c r="G654" s="1" t="str">
        <x:f>IF(ISNUMBER(F654),IF(ABS(F654)&gt;3,1,0),"")</x:f>
      </x:c>
      <x:c r="H654" s="1" t="str">
        <x:f>IF(ISNUMBER(F654),F654^4,"")</x:f>
      </x:c>
      <x:c r="I654" s="1"/>
      <x:c r="J654" s="1"/>
      <x:c r="K654" s="1"/>
      <x:c r="L654" s="1"/>
      <x:c r="M654" s="1"/>
      <x:c r="N654" s="1"/>
    </x:row>
    <x:row r="655" ht="22" customHeight="1">
      <x:c r="A655" s="14"/>
      <x:c r="B655" s="15"/>
      <x:c r="C655" s="16" t="str">
        <x:f>IF(AND(ISNUMBER(B655),ISNUMBER(B654),B655&gt;0,B654&gt;0),LN(B655/B654),"")</x:f>
      </x:c>
      <x:c r="D655" s="16" t="str">
        <x:f>IF(ISNUMBER(C655),ABS(C655),"")</x:f>
      </x:c>
      <x:c r="E655" s="16" t="str">
        <x:f>IF(ISNUMBER(C655),C655^2,"")</x:f>
      </x:c>
      <x:c r="F655" s="16" t="str">
        <x:f>IF(AND(ISNUMBER(C655),ISNUMBER($J$6),$J$6&gt;0),(C655-$J$5)/$J$6,"")</x:f>
      </x:c>
      <x:c r="G655" s="1" t="str">
        <x:f>IF(ISNUMBER(F655),IF(ABS(F655)&gt;3,1,0),"")</x:f>
      </x:c>
      <x:c r="H655" s="1" t="str">
        <x:f>IF(ISNUMBER(F655),F655^4,"")</x:f>
      </x:c>
      <x:c r="I655" s="1"/>
      <x:c r="J655" s="1"/>
      <x:c r="K655" s="1"/>
      <x:c r="L655" s="1"/>
      <x:c r="M655" s="1"/>
      <x:c r="N655" s="1"/>
    </x:row>
    <x:row r="656" ht="22" customHeight="1">
      <x:c r="A656" s="14"/>
      <x:c r="B656" s="15"/>
      <x:c r="C656" s="16" t="str">
        <x:f>IF(AND(ISNUMBER(B656),ISNUMBER(B655),B656&gt;0,B655&gt;0),LN(B656/B655),"")</x:f>
      </x:c>
      <x:c r="D656" s="16" t="str">
        <x:f>IF(ISNUMBER(C656),ABS(C656),"")</x:f>
      </x:c>
      <x:c r="E656" s="16" t="str">
        <x:f>IF(ISNUMBER(C656),C656^2,"")</x:f>
      </x:c>
      <x:c r="F656" s="16" t="str">
        <x:f>IF(AND(ISNUMBER(C656),ISNUMBER($J$6),$J$6&gt;0),(C656-$J$5)/$J$6,"")</x:f>
      </x:c>
      <x:c r="G656" s="1" t="str">
        <x:f>IF(ISNUMBER(F656),IF(ABS(F656)&gt;3,1,0),"")</x:f>
      </x:c>
      <x:c r="H656" s="1" t="str">
        <x:f>IF(ISNUMBER(F656),F656^4,"")</x:f>
      </x:c>
      <x:c r="I656" s="1"/>
      <x:c r="J656" s="1"/>
      <x:c r="K656" s="1"/>
      <x:c r="L656" s="1"/>
      <x:c r="M656" s="1"/>
      <x:c r="N656" s="1"/>
    </x:row>
    <x:row r="657" ht="22" customHeight="1">
      <x:c r="A657" s="14"/>
      <x:c r="B657" s="15"/>
      <x:c r="C657" s="16" t="str">
        <x:f>IF(AND(ISNUMBER(B657),ISNUMBER(B656),B657&gt;0,B656&gt;0),LN(B657/B656),"")</x:f>
      </x:c>
      <x:c r="D657" s="16" t="str">
        <x:f>IF(ISNUMBER(C657),ABS(C657),"")</x:f>
      </x:c>
      <x:c r="E657" s="16" t="str">
        <x:f>IF(ISNUMBER(C657),C657^2,"")</x:f>
      </x:c>
      <x:c r="F657" s="16" t="str">
        <x:f>IF(AND(ISNUMBER(C657),ISNUMBER($J$6),$J$6&gt;0),(C657-$J$5)/$J$6,"")</x:f>
      </x:c>
      <x:c r="G657" s="1" t="str">
        <x:f>IF(ISNUMBER(F657),IF(ABS(F657)&gt;3,1,0),"")</x:f>
      </x:c>
      <x:c r="H657" s="1" t="str">
        <x:f>IF(ISNUMBER(F657),F657^4,"")</x:f>
      </x:c>
      <x:c r="I657" s="1"/>
      <x:c r="J657" s="1"/>
      <x:c r="K657" s="1"/>
      <x:c r="L657" s="1"/>
      <x:c r="M657" s="1"/>
      <x:c r="N657" s="1"/>
    </x:row>
    <x:row r="658" ht="22" customHeight="1">
      <x:c r="A658" s="14"/>
      <x:c r="B658" s="15"/>
      <x:c r="C658" s="16" t="str">
        <x:f>IF(AND(ISNUMBER(B658),ISNUMBER(B657),B658&gt;0,B657&gt;0),LN(B658/B657),"")</x:f>
      </x:c>
      <x:c r="D658" s="16" t="str">
        <x:f>IF(ISNUMBER(C658),ABS(C658),"")</x:f>
      </x:c>
      <x:c r="E658" s="16" t="str">
        <x:f>IF(ISNUMBER(C658),C658^2,"")</x:f>
      </x:c>
      <x:c r="F658" s="16" t="str">
        <x:f>IF(AND(ISNUMBER(C658),ISNUMBER($J$6),$J$6&gt;0),(C658-$J$5)/$J$6,"")</x:f>
      </x:c>
      <x:c r="G658" s="1" t="str">
        <x:f>IF(ISNUMBER(F658),IF(ABS(F658)&gt;3,1,0),"")</x:f>
      </x:c>
      <x:c r="H658" s="1" t="str">
        <x:f>IF(ISNUMBER(F658),F658^4,"")</x:f>
      </x:c>
      <x:c r="I658" s="1"/>
      <x:c r="J658" s="1"/>
      <x:c r="K658" s="1"/>
      <x:c r="L658" s="1"/>
      <x:c r="M658" s="1"/>
      <x:c r="N658" s="1"/>
    </x:row>
    <x:row r="659" ht="22" customHeight="1">
      <x:c r="A659" s="14"/>
      <x:c r="B659" s="15"/>
      <x:c r="C659" s="16" t="str">
        <x:f>IF(AND(ISNUMBER(B659),ISNUMBER(B658),B659&gt;0,B658&gt;0),LN(B659/B658),"")</x:f>
      </x:c>
      <x:c r="D659" s="16" t="str">
        <x:f>IF(ISNUMBER(C659),ABS(C659),"")</x:f>
      </x:c>
      <x:c r="E659" s="16" t="str">
        <x:f>IF(ISNUMBER(C659),C659^2,"")</x:f>
      </x:c>
      <x:c r="F659" s="16" t="str">
        <x:f>IF(AND(ISNUMBER(C659),ISNUMBER($J$6),$J$6&gt;0),(C659-$J$5)/$J$6,"")</x:f>
      </x:c>
      <x:c r="G659" s="1" t="str">
        <x:f>IF(ISNUMBER(F659),IF(ABS(F659)&gt;3,1,0),"")</x:f>
      </x:c>
      <x:c r="H659" s="1" t="str">
        <x:f>IF(ISNUMBER(F659),F659^4,"")</x:f>
      </x:c>
      <x:c r="I659" s="1"/>
      <x:c r="J659" s="1"/>
      <x:c r="K659" s="1"/>
      <x:c r="L659" s="1"/>
      <x:c r="M659" s="1"/>
      <x:c r="N659" s="1"/>
    </x:row>
    <x:row r="660" ht="22" customHeight="1">
      <x:c r="A660" s="14"/>
      <x:c r="B660" s="15"/>
      <x:c r="C660" s="16" t="str">
        <x:f>IF(AND(ISNUMBER(B660),ISNUMBER(B659),B660&gt;0,B659&gt;0),LN(B660/B659),"")</x:f>
      </x:c>
      <x:c r="D660" s="16" t="str">
        <x:f>IF(ISNUMBER(C660),ABS(C660),"")</x:f>
      </x:c>
      <x:c r="E660" s="16" t="str">
        <x:f>IF(ISNUMBER(C660),C660^2,"")</x:f>
      </x:c>
      <x:c r="F660" s="16" t="str">
        <x:f>IF(AND(ISNUMBER(C660),ISNUMBER($J$6),$J$6&gt;0),(C660-$J$5)/$J$6,"")</x:f>
      </x:c>
      <x:c r="G660" s="1" t="str">
        <x:f>IF(ISNUMBER(F660),IF(ABS(F660)&gt;3,1,0),"")</x:f>
      </x:c>
      <x:c r="H660" s="1" t="str">
        <x:f>IF(ISNUMBER(F660),F660^4,"")</x:f>
      </x:c>
      <x:c r="I660" s="1"/>
      <x:c r="J660" s="1"/>
      <x:c r="K660" s="1"/>
      <x:c r="L660" s="1"/>
      <x:c r="M660" s="1"/>
      <x:c r="N660" s="1"/>
    </x:row>
    <x:row r="661" ht="22" customHeight="1">
      <x:c r="A661" s="14"/>
      <x:c r="B661" s="15"/>
      <x:c r="C661" s="16" t="str">
        <x:f>IF(AND(ISNUMBER(B661),ISNUMBER(B660),B661&gt;0,B660&gt;0),LN(B661/B660),"")</x:f>
      </x:c>
      <x:c r="D661" s="16" t="str">
        <x:f>IF(ISNUMBER(C661),ABS(C661),"")</x:f>
      </x:c>
      <x:c r="E661" s="16" t="str">
        <x:f>IF(ISNUMBER(C661),C661^2,"")</x:f>
      </x:c>
      <x:c r="F661" s="16" t="str">
        <x:f>IF(AND(ISNUMBER(C661),ISNUMBER($J$6),$J$6&gt;0),(C661-$J$5)/$J$6,"")</x:f>
      </x:c>
      <x:c r="G661" s="1" t="str">
        <x:f>IF(ISNUMBER(F661),IF(ABS(F661)&gt;3,1,0),"")</x:f>
      </x:c>
      <x:c r="H661" s="1" t="str">
        <x:f>IF(ISNUMBER(F661),F661^4,"")</x:f>
      </x:c>
      <x:c r="I661" s="1"/>
      <x:c r="J661" s="1"/>
      <x:c r="K661" s="1"/>
      <x:c r="L661" s="1"/>
      <x:c r="M661" s="1"/>
      <x:c r="N661" s="1"/>
    </x:row>
    <x:row r="662" ht="22" customHeight="1">
      <x:c r="A662" s="14"/>
      <x:c r="B662" s="15"/>
      <x:c r="C662" s="16" t="str">
        <x:f>IF(AND(ISNUMBER(B662),ISNUMBER(B661),B662&gt;0,B661&gt;0),LN(B662/B661),"")</x:f>
      </x:c>
      <x:c r="D662" s="16" t="str">
        <x:f>IF(ISNUMBER(C662),ABS(C662),"")</x:f>
      </x:c>
      <x:c r="E662" s="16" t="str">
        <x:f>IF(ISNUMBER(C662),C662^2,"")</x:f>
      </x:c>
      <x:c r="F662" s="16" t="str">
        <x:f>IF(AND(ISNUMBER(C662),ISNUMBER($J$6),$J$6&gt;0),(C662-$J$5)/$J$6,"")</x:f>
      </x:c>
      <x:c r="G662" s="1" t="str">
        <x:f>IF(ISNUMBER(F662),IF(ABS(F662)&gt;3,1,0),"")</x:f>
      </x:c>
      <x:c r="H662" s="1" t="str">
        <x:f>IF(ISNUMBER(F662),F662^4,"")</x:f>
      </x:c>
      <x:c r="I662" s="1"/>
      <x:c r="J662" s="1"/>
      <x:c r="K662" s="1"/>
      <x:c r="L662" s="1"/>
      <x:c r="M662" s="1"/>
      <x:c r="N662" s="1"/>
    </x:row>
    <x:row r="663" ht="22" customHeight="1">
      <x:c r="A663" s="14"/>
      <x:c r="B663" s="15"/>
      <x:c r="C663" s="16" t="str">
        <x:f>IF(AND(ISNUMBER(B663),ISNUMBER(B662),B663&gt;0,B662&gt;0),LN(B663/B662),"")</x:f>
      </x:c>
      <x:c r="D663" s="16" t="str">
        <x:f>IF(ISNUMBER(C663),ABS(C663),"")</x:f>
      </x:c>
      <x:c r="E663" s="16" t="str">
        <x:f>IF(ISNUMBER(C663),C663^2,"")</x:f>
      </x:c>
      <x:c r="F663" s="16" t="str">
        <x:f>IF(AND(ISNUMBER(C663),ISNUMBER($J$6),$J$6&gt;0),(C663-$J$5)/$J$6,"")</x:f>
      </x:c>
      <x:c r="G663" s="1" t="str">
        <x:f>IF(ISNUMBER(F663),IF(ABS(F663)&gt;3,1,0),"")</x:f>
      </x:c>
      <x:c r="H663" s="1" t="str">
        <x:f>IF(ISNUMBER(F663),F663^4,"")</x:f>
      </x:c>
      <x:c r="I663" s="1"/>
      <x:c r="J663" s="1"/>
      <x:c r="K663" s="1"/>
      <x:c r="L663" s="1"/>
      <x:c r="M663" s="1"/>
      <x:c r="N663" s="1"/>
    </x:row>
    <x:row r="664" ht="22" customHeight="1">
      <x:c r="A664" s="14"/>
      <x:c r="B664" s="15"/>
      <x:c r="C664" s="16" t="str">
        <x:f>IF(AND(ISNUMBER(B664),ISNUMBER(B663),B664&gt;0,B663&gt;0),LN(B664/B663),"")</x:f>
      </x:c>
      <x:c r="D664" s="16" t="str">
        <x:f>IF(ISNUMBER(C664),ABS(C664),"")</x:f>
      </x:c>
      <x:c r="E664" s="16" t="str">
        <x:f>IF(ISNUMBER(C664),C664^2,"")</x:f>
      </x:c>
      <x:c r="F664" s="16" t="str">
        <x:f>IF(AND(ISNUMBER(C664),ISNUMBER($J$6),$J$6&gt;0),(C664-$J$5)/$J$6,"")</x:f>
      </x:c>
      <x:c r="G664" s="1" t="str">
        <x:f>IF(ISNUMBER(F664),IF(ABS(F664)&gt;3,1,0),"")</x:f>
      </x:c>
      <x:c r="H664" s="1" t="str">
        <x:f>IF(ISNUMBER(F664),F664^4,"")</x:f>
      </x:c>
      <x:c r="I664" s="1"/>
      <x:c r="J664" s="1"/>
      <x:c r="K664" s="1"/>
      <x:c r="L664" s="1"/>
      <x:c r="M664" s="1"/>
      <x:c r="N664" s="1"/>
    </x:row>
    <x:row r="665" ht="22" customHeight="1">
      <x:c r="A665" s="14"/>
      <x:c r="B665" s="15"/>
      <x:c r="C665" s="16" t="str">
        <x:f>IF(AND(ISNUMBER(B665),ISNUMBER(B664),B665&gt;0,B664&gt;0),LN(B665/B664),"")</x:f>
      </x:c>
      <x:c r="D665" s="16" t="str">
        <x:f>IF(ISNUMBER(C665),ABS(C665),"")</x:f>
      </x:c>
      <x:c r="E665" s="16" t="str">
        <x:f>IF(ISNUMBER(C665),C665^2,"")</x:f>
      </x:c>
      <x:c r="F665" s="16" t="str">
        <x:f>IF(AND(ISNUMBER(C665),ISNUMBER($J$6),$J$6&gt;0),(C665-$J$5)/$J$6,"")</x:f>
      </x:c>
      <x:c r="G665" s="1" t="str">
        <x:f>IF(ISNUMBER(F665),IF(ABS(F665)&gt;3,1,0),"")</x:f>
      </x:c>
      <x:c r="H665" s="1" t="str">
        <x:f>IF(ISNUMBER(F665),F665^4,"")</x:f>
      </x:c>
      <x:c r="I665" s="1"/>
      <x:c r="J665" s="1"/>
      <x:c r="K665" s="1"/>
      <x:c r="L665" s="1"/>
      <x:c r="M665" s="1"/>
      <x:c r="N665" s="1"/>
    </x:row>
    <x:row r="666" ht="22" customHeight="1">
      <x:c r="A666" s="14"/>
      <x:c r="B666" s="15"/>
      <x:c r="C666" s="16" t="str">
        <x:f>IF(AND(ISNUMBER(B666),ISNUMBER(B665),B666&gt;0,B665&gt;0),LN(B666/B665),"")</x:f>
      </x:c>
      <x:c r="D666" s="16" t="str">
        <x:f>IF(ISNUMBER(C666),ABS(C666),"")</x:f>
      </x:c>
      <x:c r="E666" s="16" t="str">
        <x:f>IF(ISNUMBER(C666),C666^2,"")</x:f>
      </x:c>
      <x:c r="F666" s="16" t="str">
        <x:f>IF(AND(ISNUMBER(C666),ISNUMBER($J$6),$J$6&gt;0),(C666-$J$5)/$J$6,"")</x:f>
      </x:c>
      <x:c r="G666" s="1" t="str">
        <x:f>IF(ISNUMBER(F666),IF(ABS(F666)&gt;3,1,0),"")</x:f>
      </x:c>
      <x:c r="H666" s="1" t="str">
        <x:f>IF(ISNUMBER(F666),F666^4,"")</x:f>
      </x:c>
      <x:c r="I666" s="1"/>
      <x:c r="J666" s="1"/>
      <x:c r="K666" s="1"/>
      <x:c r="L666" s="1"/>
      <x:c r="M666" s="1"/>
      <x:c r="N666" s="1"/>
    </x:row>
    <x:row r="667" ht="22" customHeight="1">
      <x:c r="A667" s="14"/>
      <x:c r="B667" s="15"/>
      <x:c r="C667" s="16" t="str">
        <x:f>IF(AND(ISNUMBER(B667),ISNUMBER(B666),B667&gt;0,B666&gt;0),LN(B667/B666),"")</x:f>
      </x:c>
      <x:c r="D667" s="16" t="str">
        <x:f>IF(ISNUMBER(C667),ABS(C667),"")</x:f>
      </x:c>
      <x:c r="E667" s="16" t="str">
        <x:f>IF(ISNUMBER(C667),C667^2,"")</x:f>
      </x:c>
      <x:c r="F667" s="16" t="str">
        <x:f>IF(AND(ISNUMBER(C667),ISNUMBER($J$6),$J$6&gt;0),(C667-$J$5)/$J$6,"")</x:f>
      </x:c>
      <x:c r="G667" s="1" t="str">
        <x:f>IF(ISNUMBER(F667),IF(ABS(F667)&gt;3,1,0),"")</x:f>
      </x:c>
      <x:c r="H667" s="1" t="str">
        <x:f>IF(ISNUMBER(F667),F667^4,"")</x:f>
      </x:c>
      <x:c r="I667" s="1"/>
      <x:c r="J667" s="1"/>
      <x:c r="K667" s="1"/>
      <x:c r="L667" s="1"/>
      <x:c r="M667" s="1"/>
      <x:c r="N667" s="1"/>
    </x:row>
    <x:row r="668" ht="22" customHeight="1">
      <x:c r="A668" s="14"/>
      <x:c r="B668" s="15"/>
      <x:c r="C668" s="16" t="str">
        <x:f>IF(AND(ISNUMBER(B668),ISNUMBER(B667),B668&gt;0,B667&gt;0),LN(B668/B667),"")</x:f>
      </x:c>
      <x:c r="D668" s="16" t="str">
        <x:f>IF(ISNUMBER(C668),ABS(C668),"")</x:f>
      </x:c>
      <x:c r="E668" s="16" t="str">
        <x:f>IF(ISNUMBER(C668),C668^2,"")</x:f>
      </x:c>
      <x:c r="F668" s="16" t="str">
        <x:f>IF(AND(ISNUMBER(C668),ISNUMBER($J$6),$J$6&gt;0),(C668-$J$5)/$J$6,"")</x:f>
      </x:c>
      <x:c r="G668" s="1" t="str">
        <x:f>IF(ISNUMBER(F668),IF(ABS(F668)&gt;3,1,0),"")</x:f>
      </x:c>
      <x:c r="H668" s="1" t="str">
        <x:f>IF(ISNUMBER(F668),F668^4,"")</x:f>
      </x:c>
      <x:c r="I668" s="1"/>
      <x:c r="J668" s="1"/>
      <x:c r="K668" s="1"/>
      <x:c r="L668" s="1"/>
      <x:c r="M668" s="1"/>
      <x:c r="N668" s="1"/>
    </x:row>
    <x:row r="669" ht="22" customHeight="1">
      <x:c r="A669" s="14"/>
      <x:c r="B669" s="15"/>
      <x:c r="C669" s="16" t="str">
        <x:f>IF(AND(ISNUMBER(B669),ISNUMBER(B668),B669&gt;0,B668&gt;0),LN(B669/B668),"")</x:f>
      </x:c>
      <x:c r="D669" s="16" t="str">
        <x:f>IF(ISNUMBER(C669),ABS(C669),"")</x:f>
      </x:c>
      <x:c r="E669" s="16" t="str">
        <x:f>IF(ISNUMBER(C669),C669^2,"")</x:f>
      </x:c>
      <x:c r="F669" s="16" t="str">
        <x:f>IF(AND(ISNUMBER(C669),ISNUMBER($J$6),$J$6&gt;0),(C669-$J$5)/$J$6,"")</x:f>
      </x:c>
      <x:c r="G669" s="1" t="str">
        <x:f>IF(ISNUMBER(F669),IF(ABS(F669)&gt;3,1,0),"")</x:f>
      </x:c>
      <x:c r="H669" s="1" t="str">
        <x:f>IF(ISNUMBER(F669),F669^4,"")</x:f>
      </x:c>
      <x:c r="I669" s="1"/>
      <x:c r="J669" s="1"/>
      <x:c r="K669" s="1"/>
      <x:c r="L669" s="1"/>
      <x:c r="M669" s="1"/>
      <x:c r="N669" s="1"/>
    </x:row>
    <x:row r="670" ht="22" customHeight="1">
      <x:c r="A670" s="14"/>
      <x:c r="B670" s="15"/>
      <x:c r="C670" s="16" t="str">
        <x:f>IF(AND(ISNUMBER(B670),ISNUMBER(B669),B670&gt;0,B669&gt;0),LN(B670/B669),"")</x:f>
      </x:c>
      <x:c r="D670" s="16" t="str">
        <x:f>IF(ISNUMBER(C670),ABS(C670),"")</x:f>
      </x:c>
      <x:c r="E670" s="16" t="str">
        <x:f>IF(ISNUMBER(C670),C670^2,"")</x:f>
      </x:c>
      <x:c r="F670" s="16" t="str">
        <x:f>IF(AND(ISNUMBER(C670),ISNUMBER($J$6),$J$6&gt;0),(C670-$J$5)/$J$6,"")</x:f>
      </x:c>
      <x:c r="G670" s="1" t="str">
        <x:f>IF(ISNUMBER(F670),IF(ABS(F670)&gt;3,1,0),"")</x:f>
      </x:c>
      <x:c r="H670" s="1" t="str">
        <x:f>IF(ISNUMBER(F670),F670^4,"")</x:f>
      </x:c>
      <x:c r="I670" s="1"/>
      <x:c r="J670" s="1"/>
      <x:c r="K670" s="1"/>
      <x:c r="L670" s="1"/>
      <x:c r="M670" s="1"/>
      <x:c r="N670" s="1"/>
    </x:row>
    <x:row r="671" ht="22" customHeight="1">
      <x:c r="A671" s="14"/>
      <x:c r="B671" s="15"/>
      <x:c r="C671" s="16" t="str">
        <x:f>IF(AND(ISNUMBER(B671),ISNUMBER(B670),B671&gt;0,B670&gt;0),LN(B671/B670),"")</x:f>
      </x:c>
      <x:c r="D671" s="16" t="str">
        <x:f>IF(ISNUMBER(C671),ABS(C671),"")</x:f>
      </x:c>
      <x:c r="E671" s="16" t="str">
        <x:f>IF(ISNUMBER(C671),C671^2,"")</x:f>
      </x:c>
      <x:c r="F671" s="16" t="str">
        <x:f>IF(AND(ISNUMBER(C671),ISNUMBER($J$6),$J$6&gt;0),(C671-$J$5)/$J$6,"")</x:f>
      </x:c>
      <x:c r="G671" s="1" t="str">
        <x:f>IF(ISNUMBER(F671),IF(ABS(F671)&gt;3,1,0),"")</x:f>
      </x:c>
      <x:c r="H671" s="1" t="str">
        <x:f>IF(ISNUMBER(F671),F671^4,"")</x:f>
      </x:c>
      <x:c r="I671" s="1"/>
      <x:c r="J671" s="1"/>
      <x:c r="K671" s="1"/>
      <x:c r="L671" s="1"/>
      <x:c r="M671" s="1"/>
      <x:c r="N671" s="1"/>
    </x:row>
    <x:row r="672" ht="22" customHeight="1">
      <x:c r="A672" s="14"/>
      <x:c r="B672" s="15"/>
      <x:c r="C672" s="16" t="str">
        <x:f>IF(AND(ISNUMBER(B672),ISNUMBER(B671),B672&gt;0,B671&gt;0),LN(B672/B671),"")</x:f>
      </x:c>
      <x:c r="D672" s="16" t="str">
        <x:f>IF(ISNUMBER(C672),ABS(C672),"")</x:f>
      </x:c>
      <x:c r="E672" s="16" t="str">
        <x:f>IF(ISNUMBER(C672),C672^2,"")</x:f>
      </x:c>
      <x:c r="F672" s="16" t="str">
        <x:f>IF(AND(ISNUMBER(C672),ISNUMBER($J$6),$J$6&gt;0),(C672-$J$5)/$J$6,"")</x:f>
      </x:c>
      <x:c r="G672" s="1" t="str">
        <x:f>IF(ISNUMBER(F672),IF(ABS(F672)&gt;3,1,0),"")</x:f>
      </x:c>
      <x:c r="H672" s="1" t="str">
        <x:f>IF(ISNUMBER(F672),F672^4,"")</x:f>
      </x:c>
      <x:c r="I672" s="1"/>
      <x:c r="J672" s="1"/>
      <x:c r="K672" s="1"/>
      <x:c r="L672" s="1"/>
      <x:c r="M672" s="1"/>
      <x:c r="N672" s="1"/>
    </x:row>
    <x:row r="673" ht="22" customHeight="1">
      <x:c r="A673" s="14"/>
      <x:c r="B673" s="15"/>
      <x:c r="C673" s="16" t="str">
        <x:f>IF(AND(ISNUMBER(B673),ISNUMBER(B672),B673&gt;0,B672&gt;0),LN(B673/B672),"")</x:f>
      </x:c>
      <x:c r="D673" s="16" t="str">
        <x:f>IF(ISNUMBER(C673),ABS(C673),"")</x:f>
      </x:c>
      <x:c r="E673" s="16" t="str">
        <x:f>IF(ISNUMBER(C673),C673^2,"")</x:f>
      </x:c>
      <x:c r="F673" s="16" t="str">
        <x:f>IF(AND(ISNUMBER(C673),ISNUMBER($J$6),$J$6&gt;0),(C673-$J$5)/$J$6,"")</x:f>
      </x:c>
      <x:c r="G673" s="1" t="str">
        <x:f>IF(ISNUMBER(F673),IF(ABS(F673)&gt;3,1,0),"")</x:f>
      </x:c>
      <x:c r="H673" s="1" t="str">
        <x:f>IF(ISNUMBER(F673),F673^4,"")</x:f>
      </x:c>
      <x:c r="I673" s="1"/>
      <x:c r="J673" s="1"/>
      <x:c r="K673" s="1"/>
      <x:c r="L673" s="1"/>
      <x:c r="M673" s="1"/>
      <x:c r="N673" s="1"/>
    </x:row>
    <x:row r="674" ht="22" customHeight="1">
      <x:c r="A674" s="14"/>
      <x:c r="B674" s="15"/>
      <x:c r="C674" s="16" t="str">
        <x:f>IF(AND(ISNUMBER(B674),ISNUMBER(B673),B674&gt;0,B673&gt;0),LN(B674/B673),"")</x:f>
      </x:c>
      <x:c r="D674" s="16" t="str">
        <x:f>IF(ISNUMBER(C674),ABS(C674),"")</x:f>
      </x:c>
      <x:c r="E674" s="16" t="str">
        <x:f>IF(ISNUMBER(C674),C674^2,"")</x:f>
      </x:c>
      <x:c r="F674" s="16" t="str">
        <x:f>IF(AND(ISNUMBER(C674),ISNUMBER($J$6),$J$6&gt;0),(C674-$J$5)/$J$6,"")</x:f>
      </x:c>
      <x:c r="G674" s="1" t="str">
        <x:f>IF(ISNUMBER(F674),IF(ABS(F674)&gt;3,1,0),"")</x:f>
      </x:c>
      <x:c r="H674" s="1" t="str">
        <x:f>IF(ISNUMBER(F674),F674^4,"")</x:f>
      </x:c>
      <x:c r="I674" s="1"/>
      <x:c r="J674" s="1"/>
      <x:c r="K674" s="1"/>
      <x:c r="L674" s="1"/>
      <x:c r="M674" s="1"/>
      <x:c r="N674" s="1"/>
    </x:row>
    <x:row r="675" ht="22" customHeight="1">
      <x:c r="A675" s="14"/>
      <x:c r="B675" s="15"/>
      <x:c r="C675" s="16" t="str">
        <x:f>IF(AND(ISNUMBER(B675),ISNUMBER(B674),B675&gt;0,B674&gt;0),LN(B675/B674),"")</x:f>
      </x:c>
      <x:c r="D675" s="16" t="str">
        <x:f>IF(ISNUMBER(C675),ABS(C675),"")</x:f>
      </x:c>
      <x:c r="E675" s="16" t="str">
        <x:f>IF(ISNUMBER(C675),C675^2,"")</x:f>
      </x:c>
      <x:c r="F675" s="16" t="str">
        <x:f>IF(AND(ISNUMBER(C675),ISNUMBER($J$6),$J$6&gt;0),(C675-$J$5)/$J$6,"")</x:f>
      </x:c>
      <x:c r="G675" s="1" t="str">
        <x:f>IF(ISNUMBER(F675),IF(ABS(F675)&gt;3,1,0),"")</x:f>
      </x:c>
      <x:c r="H675" s="1" t="str">
        <x:f>IF(ISNUMBER(F675),F675^4,"")</x:f>
      </x:c>
      <x:c r="I675" s="1"/>
      <x:c r="J675" s="1"/>
      <x:c r="K675" s="1"/>
      <x:c r="L675" s="1"/>
      <x:c r="M675" s="1"/>
      <x:c r="N675" s="1"/>
    </x:row>
    <x:row r="676" ht="22" customHeight="1">
      <x:c r="A676" s="14"/>
      <x:c r="B676" s="15"/>
      <x:c r="C676" s="16" t="str">
        <x:f>IF(AND(ISNUMBER(B676),ISNUMBER(B675),B676&gt;0,B675&gt;0),LN(B676/B675),"")</x:f>
      </x:c>
      <x:c r="D676" s="16" t="str">
        <x:f>IF(ISNUMBER(C676),ABS(C676),"")</x:f>
      </x:c>
      <x:c r="E676" s="16" t="str">
        <x:f>IF(ISNUMBER(C676),C676^2,"")</x:f>
      </x:c>
      <x:c r="F676" s="16" t="str">
        <x:f>IF(AND(ISNUMBER(C676),ISNUMBER($J$6),$J$6&gt;0),(C676-$J$5)/$J$6,"")</x:f>
      </x:c>
      <x:c r="G676" s="1" t="str">
        <x:f>IF(ISNUMBER(F676),IF(ABS(F676)&gt;3,1,0),"")</x:f>
      </x:c>
      <x:c r="H676" s="1" t="str">
        <x:f>IF(ISNUMBER(F676),F676^4,"")</x:f>
      </x:c>
      <x:c r="I676" s="1"/>
      <x:c r="J676" s="1"/>
      <x:c r="K676" s="1"/>
      <x:c r="L676" s="1"/>
      <x:c r="M676" s="1"/>
      <x:c r="N676" s="1"/>
    </x:row>
    <x:row r="677" ht="22" customHeight="1">
      <x:c r="A677" s="14"/>
      <x:c r="B677" s="15"/>
      <x:c r="C677" s="16" t="str">
        <x:f>IF(AND(ISNUMBER(B677),ISNUMBER(B676),B677&gt;0,B676&gt;0),LN(B677/B676),"")</x:f>
      </x:c>
      <x:c r="D677" s="16" t="str">
        <x:f>IF(ISNUMBER(C677),ABS(C677),"")</x:f>
      </x:c>
      <x:c r="E677" s="16" t="str">
        <x:f>IF(ISNUMBER(C677),C677^2,"")</x:f>
      </x:c>
      <x:c r="F677" s="16" t="str">
        <x:f>IF(AND(ISNUMBER(C677),ISNUMBER($J$6),$J$6&gt;0),(C677-$J$5)/$J$6,"")</x:f>
      </x:c>
      <x:c r="G677" s="1" t="str">
        <x:f>IF(ISNUMBER(F677),IF(ABS(F677)&gt;3,1,0),"")</x:f>
      </x:c>
      <x:c r="H677" s="1" t="str">
        <x:f>IF(ISNUMBER(F677),F677^4,"")</x:f>
      </x:c>
      <x:c r="I677" s="1"/>
      <x:c r="J677" s="1"/>
      <x:c r="K677" s="1"/>
      <x:c r="L677" s="1"/>
      <x:c r="M677" s="1"/>
      <x:c r="N677" s="1"/>
    </x:row>
    <x:row r="678" ht="22" customHeight="1">
      <x:c r="A678" s="14"/>
      <x:c r="B678" s="15"/>
      <x:c r="C678" s="16" t="str">
        <x:f>IF(AND(ISNUMBER(B678),ISNUMBER(B677),B678&gt;0,B677&gt;0),LN(B678/B677),"")</x:f>
      </x:c>
      <x:c r="D678" s="16" t="str">
        <x:f>IF(ISNUMBER(C678),ABS(C678),"")</x:f>
      </x:c>
      <x:c r="E678" s="16" t="str">
        <x:f>IF(ISNUMBER(C678),C678^2,"")</x:f>
      </x:c>
      <x:c r="F678" s="16" t="str">
        <x:f>IF(AND(ISNUMBER(C678),ISNUMBER($J$6),$J$6&gt;0),(C678-$J$5)/$J$6,"")</x:f>
      </x:c>
      <x:c r="G678" s="1" t="str">
        <x:f>IF(ISNUMBER(F678),IF(ABS(F678)&gt;3,1,0),"")</x:f>
      </x:c>
      <x:c r="H678" s="1" t="str">
        <x:f>IF(ISNUMBER(F678),F678^4,"")</x:f>
      </x:c>
      <x:c r="I678" s="1"/>
      <x:c r="J678" s="1"/>
      <x:c r="K678" s="1"/>
      <x:c r="L678" s="1"/>
      <x:c r="M678" s="1"/>
      <x:c r="N678" s="1"/>
    </x:row>
    <x:row r="679" ht="22" customHeight="1">
      <x:c r="A679" s="14"/>
      <x:c r="B679" s="15"/>
      <x:c r="C679" s="16" t="str">
        <x:f>IF(AND(ISNUMBER(B679),ISNUMBER(B678),B679&gt;0,B678&gt;0),LN(B679/B678),"")</x:f>
      </x:c>
      <x:c r="D679" s="16" t="str">
        <x:f>IF(ISNUMBER(C679),ABS(C679),"")</x:f>
      </x:c>
      <x:c r="E679" s="16" t="str">
        <x:f>IF(ISNUMBER(C679),C679^2,"")</x:f>
      </x:c>
      <x:c r="F679" s="16" t="str">
        <x:f>IF(AND(ISNUMBER(C679),ISNUMBER($J$6),$J$6&gt;0),(C679-$J$5)/$J$6,"")</x:f>
      </x:c>
      <x:c r="G679" s="1" t="str">
        <x:f>IF(ISNUMBER(F679),IF(ABS(F679)&gt;3,1,0),"")</x:f>
      </x:c>
      <x:c r="H679" s="1" t="str">
        <x:f>IF(ISNUMBER(F679),F679^4,"")</x:f>
      </x:c>
      <x:c r="I679" s="1"/>
      <x:c r="J679" s="1"/>
      <x:c r="K679" s="1"/>
      <x:c r="L679" s="1"/>
      <x:c r="M679" s="1"/>
      <x:c r="N679" s="1"/>
    </x:row>
    <x:row r="680" ht="22" customHeight="1">
      <x:c r="A680" s="14"/>
      <x:c r="B680" s="15"/>
      <x:c r="C680" s="16" t="str">
        <x:f>IF(AND(ISNUMBER(B680),ISNUMBER(B679),B680&gt;0,B679&gt;0),LN(B680/B679),"")</x:f>
      </x:c>
      <x:c r="D680" s="16" t="str">
        <x:f>IF(ISNUMBER(C680),ABS(C680),"")</x:f>
      </x:c>
      <x:c r="E680" s="16" t="str">
        <x:f>IF(ISNUMBER(C680),C680^2,"")</x:f>
      </x:c>
      <x:c r="F680" s="16" t="str">
        <x:f>IF(AND(ISNUMBER(C680),ISNUMBER($J$6),$J$6&gt;0),(C680-$J$5)/$J$6,"")</x:f>
      </x:c>
      <x:c r="G680" s="1" t="str">
        <x:f>IF(ISNUMBER(F680),IF(ABS(F680)&gt;3,1,0),"")</x:f>
      </x:c>
      <x:c r="H680" s="1" t="str">
        <x:f>IF(ISNUMBER(F680),F680^4,"")</x:f>
      </x:c>
      <x:c r="I680" s="1"/>
      <x:c r="J680" s="1"/>
      <x:c r="K680" s="1"/>
      <x:c r="L680" s="1"/>
      <x:c r="M680" s="1"/>
      <x:c r="N680" s="1"/>
    </x:row>
    <x:row r="681" ht="22" customHeight="1">
      <x:c r="A681" s="14"/>
      <x:c r="B681" s="15"/>
      <x:c r="C681" s="16" t="str">
        <x:f>IF(AND(ISNUMBER(B681),ISNUMBER(B680),B681&gt;0,B680&gt;0),LN(B681/B680),"")</x:f>
      </x:c>
      <x:c r="D681" s="16" t="str">
        <x:f>IF(ISNUMBER(C681),ABS(C681),"")</x:f>
      </x:c>
      <x:c r="E681" s="16" t="str">
        <x:f>IF(ISNUMBER(C681),C681^2,"")</x:f>
      </x:c>
      <x:c r="F681" s="16" t="str">
        <x:f>IF(AND(ISNUMBER(C681),ISNUMBER($J$6),$J$6&gt;0),(C681-$J$5)/$J$6,"")</x:f>
      </x:c>
      <x:c r="G681" s="1" t="str">
        <x:f>IF(ISNUMBER(F681),IF(ABS(F681)&gt;3,1,0),"")</x:f>
      </x:c>
      <x:c r="H681" s="1" t="str">
        <x:f>IF(ISNUMBER(F681),F681^4,"")</x:f>
      </x:c>
      <x:c r="I681" s="1"/>
      <x:c r="J681" s="1"/>
      <x:c r="K681" s="1"/>
      <x:c r="L681" s="1"/>
      <x:c r="M681" s="1"/>
      <x:c r="N681" s="1"/>
    </x:row>
    <x:row r="682" ht="22" customHeight="1">
      <x:c r="A682" s="14"/>
      <x:c r="B682" s="15"/>
      <x:c r="C682" s="16" t="str">
        <x:f>IF(AND(ISNUMBER(B682),ISNUMBER(B681),B682&gt;0,B681&gt;0),LN(B682/B681),"")</x:f>
      </x:c>
      <x:c r="D682" s="16" t="str">
        <x:f>IF(ISNUMBER(C682),ABS(C682),"")</x:f>
      </x:c>
      <x:c r="E682" s="16" t="str">
        <x:f>IF(ISNUMBER(C682),C682^2,"")</x:f>
      </x:c>
      <x:c r="F682" s="16" t="str">
        <x:f>IF(AND(ISNUMBER(C682),ISNUMBER($J$6),$J$6&gt;0),(C682-$J$5)/$J$6,"")</x:f>
      </x:c>
      <x:c r="G682" s="1" t="str">
        <x:f>IF(ISNUMBER(F682),IF(ABS(F682)&gt;3,1,0),"")</x:f>
      </x:c>
      <x:c r="H682" s="1" t="str">
        <x:f>IF(ISNUMBER(F682),F682^4,"")</x:f>
      </x:c>
      <x:c r="I682" s="1"/>
      <x:c r="J682" s="1"/>
      <x:c r="K682" s="1"/>
      <x:c r="L682" s="1"/>
      <x:c r="M682" s="1"/>
      <x:c r="N682" s="1"/>
    </x:row>
    <x:row r="683" ht="22" customHeight="1">
      <x:c r="A683" s="14"/>
      <x:c r="B683" s="15"/>
      <x:c r="C683" s="16" t="str">
        <x:f>IF(AND(ISNUMBER(B683),ISNUMBER(B682),B683&gt;0,B682&gt;0),LN(B683/B682),"")</x:f>
      </x:c>
      <x:c r="D683" s="16" t="str">
        <x:f>IF(ISNUMBER(C683),ABS(C683),"")</x:f>
      </x:c>
      <x:c r="E683" s="16" t="str">
        <x:f>IF(ISNUMBER(C683),C683^2,"")</x:f>
      </x:c>
      <x:c r="F683" s="16" t="str">
        <x:f>IF(AND(ISNUMBER(C683),ISNUMBER($J$6),$J$6&gt;0),(C683-$J$5)/$J$6,"")</x:f>
      </x:c>
      <x:c r="G683" s="1" t="str">
        <x:f>IF(ISNUMBER(F683),IF(ABS(F683)&gt;3,1,0),"")</x:f>
      </x:c>
      <x:c r="H683" s="1" t="str">
        <x:f>IF(ISNUMBER(F683),F683^4,"")</x:f>
      </x:c>
      <x:c r="I683" s="1"/>
      <x:c r="J683" s="1"/>
      <x:c r="K683" s="1"/>
      <x:c r="L683" s="1"/>
      <x:c r="M683" s="1"/>
      <x:c r="N683" s="1"/>
    </x:row>
    <x:row r="684" ht="22" customHeight="1">
      <x:c r="A684" s="14"/>
      <x:c r="B684" s="15"/>
      <x:c r="C684" s="16" t="str">
        <x:f>IF(AND(ISNUMBER(B684),ISNUMBER(B683),B684&gt;0,B683&gt;0),LN(B684/B683),"")</x:f>
      </x:c>
      <x:c r="D684" s="16" t="str">
        <x:f>IF(ISNUMBER(C684),ABS(C684),"")</x:f>
      </x:c>
      <x:c r="E684" s="16" t="str">
        <x:f>IF(ISNUMBER(C684),C684^2,"")</x:f>
      </x:c>
      <x:c r="F684" s="16" t="str">
        <x:f>IF(AND(ISNUMBER(C684),ISNUMBER($J$6),$J$6&gt;0),(C684-$J$5)/$J$6,"")</x:f>
      </x:c>
      <x:c r="G684" s="1" t="str">
        <x:f>IF(ISNUMBER(F684),IF(ABS(F684)&gt;3,1,0),"")</x:f>
      </x:c>
      <x:c r="H684" s="1" t="str">
        <x:f>IF(ISNUMBER(F684),F684^4,"")</x:f>
      </x:c>
      <x:c r="I684" s="1"/>
      <x:c r="J684" s="1"/>
      <x:c r="K684" s="1"/>
      <x:c r="L684" s="1"/>
      <x:c r="M684" s="1"/>
      <x:c r="N684" s="1"/>
    </x:row>
    <x:row r="685" ht="22" customHeight="1">
      <x:c r="A685" s="14"/>
      <x:c r="B685" s="15"/>
      <x:c r="C685" s="16" t="str">
        <x:f>IF(AND(ISNUMBER(B685),ISNUMBER(B684),B685&gt;0,B684&gt;0),LN(B685/B684),"")</x:f>
      </x:c>
      <x:c r="D685" s="16" t="str">
        <x:f>IF(ISNUMBER(C685),ABS(C685),"")</x:f>
      </x:c>
      <x:c r="E685" s="16" t="str">
        <x:f>IF(ISNUMBER(C685),C685^2,"")</x:f>
      </x:c>
      <x:c r="F685" s="16" t="str">
        <x:f>IF(AND(ISNUMBER(C685),ISNUMBER($J$6),$J$6&gt;0),(C685-$J$5)/$J$6,"")</x:f>
      </x:c>
      <x:c r="G685" s="1" t="str">
        <x:f>IF(ISNUMBER(F685),IF(ABS(F685)&gt;3,1,0),"")</x:f>
      </x:c>
      <x:c r="H685" s="1" t="str">
        <x:f>IF(ISNUMBER(F685),F685^4,"")</x:f>
      </x:c>
      <x:c r="I685" s="1"/>
      <x:c r="J685" s="1"/>
      <x:c r="K685" s="1"/>
      <x:c r="L685" s="1"/>
      <x:c r="M685" s="1"/>
      <x:c r="N685" s="1"/>
    </x:row>
    <x:row r="686" ht="22" customHeight="1">
      <x:c r="A686" s="14"/>
      <x:c r="B686" s="15"/>
      <x:c r="C686" s="16" t="str">
        <x:f>IF(AND(ISNUMBER(B686),ISNUMBER(B685),B686&gt;0,B685&gt;0),LN(B686/B685),"")</x:f>
      </x:c>
      <x:c r="D686" s="16" t="str">
        <x:f>IF(ISNUMBER(C686),ABS(C686),"")</x:f>
      </x:c>
      <x:c r="E686" s="16" t="str">
        <x:f>IF(ISNUMBER(C686),C686^2,"")</x:f>
      </x:c>
      <x:c r="F686" s="16" t="str">
        <x:f>IF(AND(ISNUMBER(C686),ISNUMBER($J$6),$J$6&gt;0),(C686-$J$5)/$J$6,"")</x:f>
      </x:c>
      <x:c r="G686" s="1" t="str">
        <x:f>IF(ISNUMBER(F686),IF(ABS(F686)&gt;3,1,0),"")</x:f>
      </x:c>
      <x:c r="H686" s="1" t="str">
        <x:f>IF(ISNUMBER(F686),F686^4,"")</x:f>
      </x:c>
      <x:c r="I686" s="1"/>
      <x:c r="J686" s="1"/>
      <x:c r="K686" s="1"/>
      <x:c r="L686" s="1"/>
      <x:c r="M686" s="1"/>
      <x:c r="N686" s="1"/>
    </x:row>
    <x:row r="687" ht="22" customHeight="1">
      <x:c r="A687" s="14"/>
      <x:c r="B687" s="15"/>
      <x:c r="C687" s="16" t="str">
        <x:f>IF(AND(ISNUMBER(B687),ISNUMBER(B686),B687&gt;0,B686&gt;0),LN(B687/B686),"")</x:f>
      </x:c>
      <x:c r="D687" s="16" t="str">
        <x:f>IF(ISNUMBER(C687),ABS(C687),"")</x:f>
      </x:c>
      <x:c r="E687" s="16" t="str">
        <x:f>IF(ISNUMBER(C687),C687^2,"")</x:f>
      </x:c>
      <x:c r="F687" s="16" t="str">
        <x:f>IF(AND(ISNUMBER(C687),ISNUMBER($J$6),$J$6&gt;0),(C687-$J$5)/$J$6,"")</x:f>
      </x:c>
      <x:c r="G687" s="1" t="str">
        <x:f>IF(ISNUMBER(F687),IF(ABS(F687)&gt;3,1,0),"")</x:f>
      </x:c>
      <x:c r="H687" s="1" t="str">
        <x:f>IF(ISNUMBER(F687),F687^4,"")</x:f>
      </x:c>
      <x:c r="I687" s="1"/>
      <x:c r="J687" s="1"/>
      <x:c r="K687" s="1"/>
      <x:c r="L687" s="1"/>
      <x:c r="M687" s="1"/>
      <x:c r="N687" s="1"/>
    </x:row>
    <x:row r="688" ht="22" customHeight="1">
      <x:c r="A688" s="14"/>
      <x:c r="B688" s="15"/>
      <x:c r="C688" s="16" t="str">
        <x:f>IF(AND(ISNUMBER(B688),ISNUMBER(B687),B688&gt;0,B687&gt;0),LN(B688/B687),"")</x:f>
      </x:c>
      <x:c r="D688" s="16" t="str">
        <x:f>IF(ISNUMBER(C688),ABS(C688),"")</x:f>
      </x:c>
      <x:c r="E688" s="16" t="str">
        <x:f>IF(ISNUMBER(C688),C688^2,"")</x:f>
      </x:c>
      <x:c r="F688" s="16" t="str">
        <x:f>IF(AND(ISNUMBER(C688),ISNUMBER($J$6),$J$6&gt;0),(C688-$J$5)/$J$6,"")</x:f>
      </x:c>
      <x:c r="G688" s="1" t="str">
        <x:f>IF(ISNUMBER(F688),IF(ABS(F688)&gt;3,1,0),"")</x:f>
      </x:c>
      <x:c r="H688" s="1" t="str">
        <x:f>IF(ISNUMBER(F688),F688^4,"")</x:f>
      </x:c>
      <x:c r="I688" s="1"/>
      <x:c r="J688" s="1"/>
      <x:c r="K688" s="1"/>
      <x:c r="L688" s="1"/>
      <x:c r="M688" s="1"/>
      <x:c r="N688" s="1"/>
    </x:row>
    <x:row r="689" ht="22" customHeight="1">
      <x:c r="A689" s="14"/>
      <x:c r="B689" s="15"/>
      <x:c r="C689" s="16" t="str">
        <x:f>IF(AND(ISNUMBER(B689),ISNUMBER(B688),B689&gt;0,B688&gt;0),LN(B689/B688),"")</x:f>
      </x:c>
      <x:c r="D689" s="16" t="str">
        <x:f>IF(ISNUMBER(C689),ABS(C689),"")</x:f>
      </x:c>
      <x:c r="E689" s="16" t="str">
        <x:f>IF(ISNUMBER(C689),C689^2,"")</x:f>
      </x:c>
      <x:c r="F689" s="16" t="str">
        <x:f>IF(AND(ISNUMBER(C689),ISNUMBER($J$6),$J$6&gt;0),(C689-$J$5)/$J$6,"")</x:f>
      </x:c>
      <x:c r="G689" s="1" t="str">
        <x:f>IF(ISNUMBER(F689),IF(ABS(F689)&gt;3,1,0),"")</x:f>
      </x:c>
      <x:c r="H689" s="1" t="str">
        <x:f>IF(ISNUMBER(F689),F689^4,"")</x:f>
      </x:c>
      <x:c r="I689" s="1"/>
      <x:c r="J689" s="1"/>
      <x:c r="K689" s="1"/>
      <x:c r="L689" s="1"/>
      <x:c r="M689" s="1"/>
      <x:c r="N689" s="1"/>
    </x:row>
    <x:row r="690" ht="22" customHeight="1">
      <x:c r="A690" s="14"/>
      <x:c r="B690" s="15"/>
      <x:c r="C690" s="16" t="str">
        <x:f>IF(AND(ISNUMBER(B690),ISNUMBER(B689),B690&gt;0,B689&gt;0),LN(B690/B689),"")</x:f>
      </x:c>
      <x:c r="D690" s="16" t="str">
        <x:f>IF(ISNUMBER(C690),ABS(C690),"")</x:f>
      </x:c>
      <x:c r="E690" s="16" t="str">
        <x:f>IF(ISNUMBER(C690),C690^2,"")</x:f>
      </x:c>
      <x:c r="F690" s="16" t="str">
        <x:f>IF(AND(ISNUMBER(C690),ISNUMBER($J$6),$J$6&gt;0),(C690-$J$5)/$J$6,"")</x:f>
      </x:c>
      <x:c r="G690" s="1" t="str">
        <x:f>IF(ISNUMBER(F690),IF(ABS(F690)&gt;3,1,0),"")</x:f>
      </x:c>
      <x:c r="H690" s="1" t="str">
        <x:f>IF(ISNUMBER(F690),F690^4,"")</x:f>
      </x:c>
      <x:c r="I690" s="1"/>
      <x:c r="J690" s="1"/>
      <x:c r="K690" s="1"/>
      <x:c r="L690" s="1"/>
      <x:c r="M690" s="1"/>
      <x:c r="N690" s="1"/>
    </x:row>
    <x:row r="691" ht="22" customHeight="1">
      <x:c r="A691" s="14"/>
      <x:c r="B691" s="15"/>
      <x:c r="C691" s="16" t="str">
        <x:f>IF(AND(ISNUMBER(B691),ISNUMBER(B690),B691&gt;0,B690&gt;0),LN(B691/B690),"")</x:f>
      </x:c>
      <x:c r="D691" s="16" t="str">
        <x:f>IF(ISNUMBER(C691),ABS(C691),"")</x:f>
      </x:c>
      <x:c r="E691" s="16" t="str">
        <x:f>IF(ISNUMBER(C691),C691^2,"")</x:f>
      </x:c>
      <x:c r="F691" s="16" t="str">
        <x:f>IF(AND(ISNUMBER(C691),ISNUMBER($J$6),$J$6&gt;0),(C691-$J$5)/$J$6,"")</x:f>
      </x:c>
      <x:c r="G691" s="1" t="str">
        <x:f>IF(ISNUMBER(F691),IF(ABS(F691)&gt;3,1,0),"")</x:f>
      </x:c>
      <x:c r="H691" s="1" t="str">
        <x:f>IF(ISNUMBER(F691),F691^4,"")</x:f>
      </x:c>
      <x:c r="I691" s="1"/>
      <x:c r="J691" s="1"/>
      <x:c r="K691" s="1"/>
      <x:c r="L691" s="1"/>
      <x:c r="M691" s="1"/>
      <x:c r="N691" s="1"/>
    </x:row>
    <x:row r="692" ht="22" customHeight="1">
      <x:c r="A692" s="14"/>
      <x:c r="B692" s="15"/>
      <x:c r="C692" s="16" t="str">
        <x:f>IF(AND(ISNUMBER(B692),ISNUMBER(B691),B692&gt;0,B691&gt;0),LN(B692/B691),"")</x:f>
      </x:c>
      <x:c r="D692" s="16" t="str">
        <x:f>IF(ISNUMBER(C692),ABS(C692),"")</x:f>
      </x:c>
      <x:c r="E692" s="16" t="str">
        <x:f>IF(ISNUMBER(C692),C692^2,"")</x:f>
      </x:c>
      <x:c r="F692" s="16" t="str">
        <x:f>IF(AND(ISNUMBER(C692),ISNUMBER($J$6),$J$6&gt;0),(C692-$J$5)/$J$6,"")</x:f>
      </x:c>
      <x:c r="G692" s="1" t="str">
        <x:f>IF(ISNUMBER(F692),IF(ABS(F692)&gt;3,1,0),"")</x:f>
      </x:c>
      <x:c r="H692" s="1" t="str">
        <x:f>IF(ISNUMBER(F692),F692^4,"")</x:f>
      </x:c>
      <x:c r="I692" s="1"/>
      <x:c r="J692" s="1"/>
      <x:c r="K692" s="1"/>
      <x:c r="L692" s="1"/>
      <x:c r="M692" s="1"/>
      <x:c r="N692" s="1"/>
    </x:row>
    <x:row r="693" ht="22" customHeight="1">
      <x:c r="A693" s="14"/>
      <x:c r="B693" s="15"/>
      <x:c r="C693" s="16" t="str">
        <x:f>IF(AND(ISNUMBER(B693),ISNUMBER(B692),B693&gt;0,B692&gt;0),LN(B693/B692),"")</x:f>
      </x:c>
      <x:c r="D693" s="16" t="str">
        <x:f>IF(ISNUMBER(C693),ABS(C693),"")</x:f>
      </x:c>
      <x:c r="E693" s="16" t="str">
        <x:f>IF(ISNUMBER(C693),C693^2,"")</x:f>
      </x:c>
      <x:c r="F693" s="16" t="str">
        <x:f>IF(AND(ISNUMBER(C693),ISNUMBER($J$6),$J$6&gt;0),(C693-$J$5)/$J$6,"")</x:f>
      </x:c>
      <x:c r="G693" s="1" t="str">
        <x:f>IF(ISNUMBER(F693),IF(ABS(F693)&gt;3,1,0),"")</x:f>
      </x:c>
      <x:c r="H693" s="1" t="str">
        <x:f>IF(ISNUMBER(F693),F693^4,"")</x:f>
      </x:c>
      <x:c r="I693" s="1"/>
      <x:c r="J693" s="1"/>
      <x:c r="K693" s="1"/>
      <x:c r="L693" s="1"/>
      <x:c r="M693" s="1"/>
      <x:c r="N693" s="1"/>
    </x:row>
    <x:row r="694" ht="22" customHeight="1">
      <x:c r="A694" s="14"/>
      <x:c r="B694" s="15"/>
      <x:c r="C694" s="16" t="str">
        <x:f>IF(AND(ISNUMBER(B694),ISNUMBER(B693),B694&gt;0,B693&gt;0),LN(B694/B693),"")</x:f>
      </x:c>
      <x:c r="D694" s="16" t="str">
        <x:f>IF(ISNUMBER(C694),ABS(C694),"")</x:f>
      </x:c>
      <x:c r="E694" s="16" t="str">
        <x:f>IF(ISNUMBER(C694),C694^2,"")</x:f>
      </x:c>
      <x:c r="F694" s="16" t="str">
        <x:f>IF(AND(ISNUMBER(C694),ISNUMBER($J$6),$J$6&gt;0),(C694-$J$5)/$J$6,"")</x:f>
      </x:c>
      <x:c r="G694" s="1" t="str">
        <x:f>IF(ISNUMBER(F694),IF(ABS(F694)&gt;3,1,0),"")</x:f>
      </x:c>
      <x:c r="H694" s="1" t="str">
        <x:f>IF(ISNUMBER(F694),F694^4,"")</x:f>
      </x:c>
      <x:c r="I694" s="1"/>
      <x:c r="J694" s="1"/>
      <x:c r="K694" s="1"/>
      <x:c r="L694" s="1"/>
      <x:c r="M694" s="1"/>
      <x:c r="N694" s="1"/>
    </x:row>
    <x:row r="695" ht="22" customHeight="1">
      <x:c r="A695" s="14"/>
      <x:c r="B695" s="15"/>
      <x:c r="C695" s="16" t="str">
        <x:f>IF(AND(ISNUMBER(B695),ISNUMBER(B694),B695&gt;0,B694&gt;0),LN(B695/B694),"")</x:f>
      </x:c>
      <x:c r="D695" s="16" t="str">
        <x:f>IF(ISNUMBER(C695),ABS(C695),"")</x:f>
      </x:c>
      <x:c r="E695" s="16" t="str">
        <x:f>IF(ISNUMBER(C695),C695^2,"")</x:f>
      </x:c>
      <x:c r="F695" s="16" t="str">
        <x:f>IF(AND(ISNUMBER(C695),ISNUMBER($J$6),$J$6&gt;0),(C695-$J$5)/$J$6,"")</x:f>
      </x:c>
      <x:c r="G695" s="1" t="str">
        <x:f>IF(ISNUMBER(F695),IF(ABS(F695)&gt;3,1,0),"")</x:f>
      </x:c>
      <x:c r="H695" s="1" t="str">
        <x:f>IF(ISNUMBER(F695),F695^4,"")</x:f>
      </x:c>
      <x:c r="I695" s="1"/>
      <x:c r="J695" s="1"/>
      <x:c r="K695" s="1"/>
      <x:c r="L695" s="1"/>
      <x:c r="M695" s="1"/>
      <x:c r="N695" s="1"/>
    </x:row>
    <x:row r="696" ht="22" customHeight="1">
      <x:c r="A696" s="14"/>
      <x:c r="B696" s="15"/>
      <x:c r="C696" s="16" t="str">
        <x:f>IF(AND(ISNUMBER(B696),ISNUMBER(B695),B696&gt;0,B695&gt;0),LN(B696/B695),"")</x:f>
      </x:c>
      <x:c r="D696" s="16" t="str">
        <x:f>IF(ISNUMBER(C696),ABS(C696),"")</x:f>
      </x:c>
      <x:c r="E696" s="16" t="str">
        <x:f>IF(ISNUMBER(C696),C696^2,"")</x:f>
      </x:c>
      <x:c r="F696" s="16" t="str">
        <x:f>IF(AND(ISNUMBER(C696),ISNUMBER($J$6),$J$6&gt;0),(C696-$J$5)/$J$6,"")</x:f>
      </x:c>
      <x:c r="G696" s="1" t="str">
        <x:f>IF(ISNUMBER(F696),IF(ABS(F696)&gt;3,1,0),"")</x:f>
      </x:c>
      <x:c r="H696" s="1" t="str">
        <x:f>IF(ISNUMBER(F696),F696^4,"")</x:f>
      </x:c>
      <x:c r="I696" s="1"/>
      <x:c r="J696" s="1"/>
      <x:c r="K696" s="1"/>
      <x:c r="L696" s="1"/>
      <x:c r="M696" s="1"/>
      <x:c r="N696" s="1"/>
    </x:row>
    <x:row r="697" ht="22" customHeight="1">
      <x:c r="A697" s="14"/>
      <x:c r="B697" s="15"/>
      <x:c r="C697" s="16" t="str">
        <x:f>IF(AND(ISNUMBER(B697),ISNUMBER(B696),B697&gt;0,B696&gt;0),LN(B697/B696),"")</x:f>
      </x:c>
      <x:c r="D697" s="16" t="str">
        <x:f>IF(ISNUMBER(C697),ABS(C697),"")</x:f>
      </x:c>
      <x:c r="E697" s="16" t="str">
        <x:f>IF(ISNUMBER(C697),C697^2,"")</x:f>
      </x:c>
      <x:c r="F697" s="16" t="str">
        <x:f>IF(AND(ISNUMBER(C697),ISNUMBER($J$6),$J$6&gt;0),(C697-$J$5)/$J$6,"")</x:f>
      </x:c>
      <x:c r="G697" s="1" t="str">
        <x:f>IF(ISNUMBER(F697),IF(ABS(F697)&gt;3,1,0),"")</x:f>
      </x:c>
      <x:c r="H697" s="1" t="str">
        <x:f>IF(ISNUMBER(F697),F697^4,"")</x:f>
      </x:c>
      <x:c r="I697" s="1"/>
      <x:c r="J697" s="1"/>
      <x:c r="K697" s="1"/>
      <x:c r="L697" s="1"/>
      <x:c r="M697" s="1"/>
      <x:c r="N697" s="1"/>
    </x:row>
    <x:row r="698" ht="22" customHeight="1">
      <x:c r="A698" s="14"/>
      <x:c r="B698" s="15"/>
      <x:c r="C698" s="16" t="str">
        <x:f>IF(AND(ISNUMBER(B698),ISNUMBER(B697),B698&gt;0,B697&gt;0),LN(B698/B697),"")</x:f>
      </x:c>
      <x:c r="D698" s="16" t="str">
        <x:f>IF(ISNUMBER(C698),ABS(C698),"")</x:f>
      </x:c>
      <x:c r="E698" s="16" t="str">
        <x:f>IF(ISNUMBER(C698),C698^2,"")</x:f>
      </x:c>
      <x:c r="F698" s="16" t="str">
        <x:f>IF(AND(ISNUMBER(C698),ISNUMBER($J$6),$J$6&gt;0),(C698-$J$5)/$J$6,"")</x:f>
      </x:c>
      <x:c r="G698" s="1" t="str">
        <x:f>IF(ISNUMBER(F698),IF(ABS(F698)&gt;3,1,0),"")</x:f>
      </x:c>
      <x:c r="H698" s="1" t="str">
        <x:f>IF(ISNUMBER(F698),F698^4,"")</x:f>
      </x:c>
      <x:c r="I698" s="1"/>
      <x:c r="J698" s="1"/>
      <x:c r="K698" s="1"/>
      <x:c r="L698" s="1"/>
      <x:c r="M698" s="1"/>
      <x:c r="N698" s="1"/>
    </x:row>
    <x:row r="699" ht="22" customHeight="1">
      <x:c r="A699" s="14"/>
      <x:c r="B699" s="15"/>
      <x:c r="C699" s="16" t="str">
        <x:f>IF(AND(ISNUMBER(B699),ISNUMBER(B698),B699&gt;0,B698&gt;0),LN(B699/B698),"")</x:f>
      </x:c>
      <x:c r="D699" s="16" t="str">
        <x:f>IF(ISNUMBER(C699),ABS(C699),"")</x:f>
      </x:c>
      <x:c r="E699" s="16" t="str">
        <x:f>IF(ISNUMBER(C699),C699^2,"")</x:f>
      </x:c>
      <x:c r="F699" s="16" t="str">
        <x:f>IF(AND(ISNUMBER(C699),ISNUMBER($J$6),$J$6&gt;0),(C699-$J$5)/$J$6,"")</x:f>
      </x:c>
      <x:c r="G699" s="1" t="str">
        <x:f>IF(ISNUMBER(F699),IF(ABS(F699)&gt;3,1,0),"")</x:f>
      </x:c>
      <x:c r="H699" s="1" t="str">
        <x:f>IF(ISNUMBER(F699),F699^4,"")</x:f>
      </x:c>
      <x:c r="I699" s="1"/>
      <x:c r="J699" s="1"/>
      <x:c r="K699" s="1"/>
      <x:c r="L699" s="1"/>
      <x:c r="M699" s="1"/>
      <x:c r="N699" s="1"/>
    </x:row>
    <x:row r="700" ht="22" customHeight="1">
      <x:c r="A700" s="14"/>
      <x:c r="B700" s="15"/>
      <x:c r="C700" s="16" t="str">
        <x:f>IF(AND(ISNUMBER(B700),ISNUMBER(B699),B700&gt;0,B699&gt;0),LN(B700/B699),"")</x:f>
      </x:c>
      <x:c r="D700" s="16" t="str">
        <x:f>IF(ISNUMBER(C700),ABS(C700),"")</x:f>
      </x:c>
      <x:c r="E700" s="16" t="str">
        <x:f>IF(ISNUMBER(C700),C700^2,"")</x:f>
      </x:c>
      <x:c r="F700" s="16" t="str">
        <x:f>IF(AND(ISNUMBER(C700),ISNUMBER($J$6),$J$6&gt;0),(C700-$J$5)/$J$6,"")</x:f>
      </x:c>
      <x:c r="G700" s="1" t="str">
        <x:f>IF(ISNUMBER(F700),IF(ABS(F700)&gt;3,1,0),"")</x:f>
      </x:c>
      <x:c r="H700" s="1" t="str">
        <x:f>IF(ISNUMBER(F700),F700^4,"")</x:f>
      </x:c>
      <x:c r="I700" s="1"/>
      <x:c r="J700" s="1"/>
      <x:c r="K700" s="1"/>
      <x:c r="L700" s="1"/>
      <x:c r="M700" s="1"/>
      <x:c r="N700" s="1"/>
    </x:row>
    <x:row r="701" ht="22" customHeight="1">
      <x:c r="A701" s="14"/>
      <x:c r="B701" s="15"/>
      <x:c r="C701" s="16" t="str">
        <x:f>IF(AND(ISNUMBER(B701),ISNUMBER(B700),B701&gt;0,B700&gt;0),LN(B701/B700),"")</x:f>
      </x:c>
      <x:c r="D701" s="16" t="str">
        <x:f>IF(ISNUMBER(C701),ABS(C701),"")</x:f>
      </x:c>
      <x:c r="E701" s="16" t="str">
        <x:f>IF(ISNUMBER(C701),C701^2,"")</x:f>
      </x:c>
      <x:c r="F701" s="16" t="str">
        <x:f>IF(AND(ISNUMBER(C701),ISNUMBER($J$6),$J$6&gt;0),(C701-$J$5)/$J$6,"")</x:f>
      </x:c>
      <x:c r="G701" s="1" t="str">
        <x:f>IF(ISNUMBER(F701),IF(ABS(F701)&gt;3,1,0),"")</x:f>
      </x:c>
      <x:c r="H701" s="1" t="str">
        <x:f>IF(ISNUMBER(F701),F701^4,"")</x:f>
      </x:c>
      <x:c r="I701" s="1"/>
      <x:c r="J701" s="1"/>
      <x:c r="K701" s="1"/>
      <x:c r="L701" s="1"/>
      <x:c r="M701" s="1"/>
      <x:c r="N701" s="1"/>
    </x:row>
    <x:row r="702" ht="22" customHeight="1">
      <x:c r="A702" s="14"/>
      <x:c r="B702" s="15"/>
      <x:c r="C702" s="16" t="str">
        <x:f>IF(AND(ISNUMBER(B702),ISNUMBER(B701),B702&gt;0,B701&gt;0),LN(B702/B701),"")</x:f>
      </x:c>
      <x:c r="D702" s="16" t="str">
        <x:f>IF(ISNUMBER(C702),ABS(C702),"")</x:f>
      </x:c>
      <x:c r="E702" s="16" t="str">
        <x:f>IF(ISNUMBER(C702),C702^2,"")</x:f>
      </x:c>
      <x:c r="F702" s="16" t="str">
        <x:f>IF(AND(ISNUMBER(C702),ISNUMBER($J$6),$J$6&gt;0),(C702-$J$5)/$J$6,"")</x:f>
      </x:c>
      <x:c r="G702" s="1" t="str">
        <x:f>IF(ISNUMBER(F702),IF(ABS(F702)&gt;3,1,0),"")</x:f>
      </x:c>
      <x:c r="H702" s="1" t="str">
        <x:f>IF(ISNUMBER(F702),F702^4,"")</x:f>
      </x:c>
      <x:c r="I702" s="1"/>
      <x:c r="J702" s="1"/>
      <x:c r="K702" s="1"/>
      <x:c r="L702" s="1"/>
      <x:c r="M702" s="1"/>
      <x:c r="N702" s="1"/>
    </x:row>
    <x:row r="703" ht="22" customHeight="1">
      <x:c r="A703" s="14"/>
      <x:c r="B703" s="15"/>
      <x:c r="C703" s="16" t="str">
        <x:f>IF(AND(ISNUMBER(B703),ISNUMBER(B702),B703&gt;0,B702&gt;0),LN(B703/B702),"")</x:f>
      </x:c>
      <x:c r="D703" s="16" t="str">
        <x:f>IF(ISNUMBER(C703),ABS(C703),"")</x:f>
      </x:c>
      <x:c r="E703" s="16" t="str">
        <x:f>IF(ISNUMBER(C703),C703^2,"")</x:f>
      </x:c>
      <x:c r="F703" s="16" t="str">
        <x:f>IF(AND(ISNUMBER(C703),ISNUMBER($J$6),$J$6&gt;0),(C703-$J$5)/$J$6,"")</x:f>
      </x:c>
      <x:c r="G703" s="1" t="str">
        <x:f>IF(ISNUMBER(F703),IF(ABS(F703)&gt;3,1,0),"")</x:f>
      </x:c>
      <x:c r="H703" s="1" t="str">
        <x:f>IF(ISNUMBER(F703),F703^4,"")</x:f>
      </x:c>
      <x:c r="I703" s="1"/>
      <x:c r="J703" s="1"/>
      <x:c r="K703" s="1"/>
      <x:c r="L703" s="1"/>
      <x:c r="M703" s="1"/>
      <x:c r="N703" s="1"/>
    </x:row>
    <x:row r="704" ht="22" customHeight="1">
      <x:c r="A704" s="14"/>
      <x:c r="B704" s="15"/>
      <x:c r="C704" s="16" t="str">
        <x:f>IF(AND(ISNUMBER(B704),ISNUMBER(B703),B704&gt;0,B703&gt;0),LN(B704/B703),"")</x:f>
      </x:c>
      <x:c r="D704" s="16" t="str">
        <x:f>IF(ISNUMBER(C704),ABS(C704),"")</x:f>
      </x:c>
      <x:c r="E704" s="16" t="str">
        <x:f>IF(ISNUMBER(C704),C704^2,"")</x:f>
      </x:c>
      <x:c r="F704" s="16" t="str">
        <x:f>IF(AND(ISNUMBER(C704),ISNUMBER($J$6),$J$6&gt;0),(C704-$J$5)/$J$6,"")</x:f>
      </x:c>
      <x:c r="G704" s="1" t="str">
        <x:f>IF(ISNUMBER(F704),IF(ABS(F704)&gt;3,1,0),"")</x:f>
      </x:c>
      <x:c r="H704" s="1" t="str">
        <x:f>IF(ISNUMBER(F704),F704^4,"")</x:f>
      </x:c>
      <x:c r="I704" s="1"/>
      <x:c r="J704" s="1"/>
      <x:c r="K704" s="1"/>
      <x:c r="L704" s="1"/>
      <x:c r="M704" s="1"/>
      <x:c r="N704" s="1"/>
    </x:row>
    <x:row r="705" ht="22" customHeight="1">
      <x:c r="A705" s="14"/>
      <x:c r="B705" s="15"/>
      <x:c r="C705" s="16" t="str">
        <x:f>IF(AND(ISNUMBER(B705),ISNUMBER(B704),B705&gt;0,B704&gt;0),LN(B705/B704),"")</x:f>
      </x:c>
      <x:c r="D705" s="16" t="str">
        <x:f>IF(ISNUMBER(C705),ABS(C705),"")</x:f>
      </x:c>
      <x:c r="E705" s="16" t="str">
        <x:f>IF(ISNUMBER(C705),C705^2,"")</x:f>
      </x:c>
      <x:c r="F705" s="16" t="str">
        <x:f>IF(AND(ISNUMBER(C705),ISNUMBER($J$6),$J$6&gt;0),(C705-$J$5)/$J$6,"")</x:f>
      </x:c>
      <x:c r="G705" s="1" t="str">
        <x:f>IF(ISNUMBER(F705),IF(ABS(F705)&gt;3,1,0),"")</x:f>
      </x:c>
      <x:c r="H705" s="1" t="str">
        <x:f>IF(ISNUMBER(F705),F705^4,"")</x:f>
      </x:c>
      <x:c r="I705" s="1"/>
      <x:c r="J705" s="1"/>
      <x:c r="K705" s="1"/>
      <x:c r="L705" s="1"/>
      <x:c r="M705" s="1"/>
      <x:c r="N705" s="1"/>
    </x:row>
    <x:row r="706" ht="22" customHeight="1">
      <x:c r="A706" s="14"/>
      <x:c r="B706" s="15"/>
      <x:c r="C706" s="16" t="str">
        <x:f>IF(AND(ISNUMBER(B706),ISNUMBER(B705),B706&gt;0,B705&gt;0),LN(B706/B705),"")</x:f>
      </x:c>
      <x:c r="D706" s="16" t="str">
        <x:f>IF(ISNUMBER(C706),ABS(C706),"")</x:f>
      </x:c>
      <x:c r="E706" s="16" t="str">
        <x:f>IF(ISNUMBER(C706),C706^2,"")</x:f>
      </x:c>
      <x:c r="F706" s="16" t="str">
        <x:f>IF(AND(ISNUMBER(C706),ISNUMBER($J$6),$J$6&gt;0),(C706-$J$5)/$J$6,"")</x:f>
      </x:c>
      <x:c r="G706" s="1" t="str">
        <x:f>IF(ISNUMBER(F706),IF(ABS(F706)&gt;3,1,0),"")</x:f>
      </x:c>
      <x:c r="H706" s="1" t="str">
        <x:f>IF(ISNUMBER(F706),F706^4,"")</x:f>
      </x:c>
      <x:c r="I706" s="1"/>
      <x:c r="J706" s="1"/>
      <x:c r="K706" s="1"/>
      <x:c r="L706" s="1"/>
      <x:c r="M706" s="1"/>
      <x:c r="N706" s="1"/>
    </x:row>
    <x:row r="707" ht="22" customHeight="1">
      <x:c r="A707" s="14"/>
      <x:c r="B707" s="15"/>
      <x:c r="C707" s="16" t="str">
        <x:f>IF(AND(ISNUMBER(B707),ISNUMBER(B706),B707&gt;0,B706&gt;0),LN(B707/B706),"")</x:f>
      </x:c>
      <x:c r="D707" s="16" t="str">
        <x:f>IF(ISNUMBER(C707),ABS(C707),"")</x:f>
      </x:c>
      <x:c r="E707" s="16" t="str">
        <x:f>IF(ISNUMBER(C707),C707^2,"")</x:f>
      </x:c>
      <x:c r="F707" s="16" t="str">
        <x:f>IF(AND(ISNUMBER(C707),ISNUMBER($J$6),$J$6&gt;0),(C707-$J$5)/$J$6,"")</x:f>
      </x:c>
      <x:c r="G707" s="1" t="str">
        <x:f>IF(ISNUMBER(F707),IF(ABS(F707)&gt;3,1,0),"")</x:f>
      </x:c>
      <x:c r="H707" s="1" t="str">
        <x:f>IF(ISNUMBER(F707),F707^4,"")</x:f>
      </x:c>
      <x:c r="I707" s="1"/>
      <x:c r="J707" s="1"/>
      <x:c r="K707" s="1"/>
      <x:c r="L707" s="1"/>
      <x:c r="M707" s="1"/>
      <x:c r="N707" s="1"/>
    </x:row>
    <x:row r="708" ht="22" customHeight="1">
      <x:c r="A708" s="14"/>
      <x:c r="B708" s="15"/>
      <x:c r="C708" s="16" t="str">
        <x:f>IF(AND(ISNUMBER(B708),ISNUMBER(B707),B708&gt;0,B707&gt;0),LN(B708/B707),"")</x:f>
      </x:c>
      <x:c r="D708" s="16" t="str">
        <x:f>IF(ISNUMBER(C708),ABS(C708),"")</x:f>
      </x:c>
      <x:c r="E708" s="16" t="str">
        <x:f>IF(ISNUMBER(C708),C708^2,"")</x:f>
      </x:c>
      <x:c r="F708" s="16" t="str">
        <x:f>IF(AND(ISNUMBER(C708),ISNUMBER($J$6),$J$6&gt;0),(C708-$J$5)/$J$6,"")</x:f>
      </x:c>
      <x:c r="G708" s="1" t="str">
        <x:f>IF(ISNUMBER(F708),IF(ABS(F708)&gt;3,1,0),"")</x:f>
      </x:c>
      <x:c r="H708" s="1" t="str">
        <x:f>IF(ISNUMBER(F708),F708^4,"")</x:f>
      </x:c>
      <x:c r="I708" s="1"/>
      <x:c r="J708" s="1"/>
      <x:c r="K708" s="1"/>
      <x:c r="L708" s="1"/>
      <x:c r="M708" s="1"/>
      <x:c r="N708" s="1"/>
    </x:row>
    <x:row r="709" ht="22" customHeight="1">
      <x:c r="A709" s="14"/>
      <x:c r="B709" s="15"/>
      <x:c r="C709" s="16" t="str">
        <x:f>IF(AND(ISNUMBER(B709),ISNUMBER(B708),B709&gt;0,B708&gt;0),LN(B709/B708),"")</x:f>
      </x:c>
      <x:c r="D709" s="16" t="str">
        <x:f>IF(ISNUMBER(C709),ABS(C709),"")</x:f>
      </x:c>
      <x:c r="E709" s="16" t="str">
        <x:f>IF(ISNUMBER(C709),C709^2,"")</x:f>
      </x:c>
      <x:c r="F709" s="16" t="str">
        <x:f>IF(AND(ISNUMBER(C709),ISNUMBER($J$6),$J$6&gt;0),(C709-$J$5)/$J$6,"")</x:f>
      </x:c>
      <x:c r="G709" s="1" t="str">
        <x:f>IF(ISNUMBER(F709),IF(ABS(F709)&gt;3,1,0),"")</x:f>
      </x:c>
      <x:c r="H709" s="1" t="str">
        <x:f>IF(ISNUMBER(F709),F709^4,"")</x:f>
      </x:c>
      <x:c r="I709" s="1"/>
      <x:c r="J709" s="1"/>
      <x:c r="K709" s="1"/>
      <x:c r="L709" s="1"/>
      <x:c r="M709" s="1"/>
      <x:c r="N709" s="1"/>
    </x:row>
    <x:row r="710" ht="22" customHeight="1">
      <x:c r="A710" s="14"/>
      <x:c r="B710" s="15"/>
      <x:c r="C710" s="16" t="str">
        <x:f>IF(AND(ISNUMBER(B710),ISNUMBER(B709),B710&gt;0,B709&gt;0),LN(B710/B709),"")</x:f>
      </x:c>
      <x:c r="D710" s="16" t="str">
        <x:f>IF(ISNUMBER(C710),ABS(C710),"")</x:f>
      </x:c>
      <x:c r="E710" s="16" t="str">
        <x:f>IF(ISNUMBER(C710),C710^2,"")</x:f>
      </x:c>
      <x:c r="F710" s="16" t="str">
        <x:f>IF(AND(ISNUMBER(C710),ISNUMBER($J$6),$J$6&gt;0),(C710-$J$5)/$J$6,"")</x:f>
      </x:c>
      <x:c r="G710" s="1" t="str">
        <x:f>IF(ISNUMBER(F710),IF(ABS(F710)&gt;3,1,0),"")</x:f>
      </x:c>
      <x:c r="H710" s="1" t="str">
        <x:f>IF(ISNUMBER(F710),F710^4,"")</x:f>
      </x:c>
      <x:c r="I710" s="1"/>
      <x:c r="J710" s="1"/>
      <x:c r="K710" s="1"/>
      <x:c r="L710" s="1"/>
      <x:c r="M710" s="1"/>
      <x:c r="N710" s="1"/>
    </x:row>
    <x:row r="711" ht="22" customHeight="1">
      <x:c r="A711" s="14"/>
      <x:c r="B711" s="15"/>
      <x:c r="C711" s="16" t="str">
        <x:f>IF(AND(ISNUMBER(B711),ISNUMBER(B710),B711&gt;0,B710&gt;0),LN(B711/B710),"")</x:f>
      </x:c>
      <x:c r="D711" s="16" t="str">
        <x:f>IF(ISNUMBER(C711),ABS(C711),"")</x:f>
      </x:c>
      <x:c r="E711" s="16" t="str">
        <x:f>IF(ISNUMBER(C711),C711^2,"")</x:f>
      </x:c>
      <x:c r="F711" s="16" t="str">
        <x:f>IF(AND(ISNUMBER(C711),ISNUMBER($J$6),$J$6&gt;0),(C711-$J$5)/$J$6,"")</x:f>
      </x:c>
      <x:c r="G711" s="1" t="str">
        <x:f>IF(ISNUMBER(F711),IF(ABS(F711)&gt;3,1,0),"")</x:f>
      </x:c>
      <x:c r="H711" s="1" t="str">
        <x:f>IF(ISNUMBER(F711),F711^4,"")</x:f>
      </x:c>
      <x:c r="I711" s="1"/>
      <x:c r="J711" s="1"/>
      <x:c r="K711" s="1"/>
      <x:c r="L711" s="1"/>
      <x:c r="M711" s="1"/>
      <x:c r="N711" s="1"/>
    </x:row>
    <x:row r="712" ht="22" customHeight="1">
      <x:c r="A712" s="14"/>
      <x:c r="B712" s="15"/>
      <x:c r="C712" s="16" t="str">
        <x:f>IF(AND(ISNUMBER(B712),ISNUMBER(B711),B712&gt;0,B711&gt;0),LN(B712/B711),"")</x:f>
      </x:c>
      <x:c r="D712" s="16" t="str">
        <x:f>IF(ISNUMBER(C712),ABS(C712),"")</x:f>
      </x:c>
      <x:c r="E712" s="16" t="str">
        <x:f>IF(ISNUMBER(C712),C712^2,"")</x:f>
      </x:c>
      <x:c r="F712" s="16" t="str">
        <x:f>IF(AND(ISNUMBER(C712),ISNUMBER($J$6),$J$6&gt;0),(C712-$J$5)/$J$6,"")</x:f>
      </x:c>
      <x:c r="G712" s="1" t="str">
        <x:f>IF(ISNUMBER(F712),IF(ABS(F712)&gt;3,1,0),"")</x:f>
      </x:c>
      <x:c r="H712" s="1" t="str">
        <x:f>IF(ISNUMBER(F712),F712^4,"")</x:f>
      </x:c>
      <x:c r="I712" s="1"/>
      <x:c r="J712" s="1"/>
      <x:c r="K712" s="1"/>
      <x:c r="L712" s="1"/>
      <x:c r="M712" s="1"/>
      <x:c r="N712" s="1"/>
    </x:row>
    <x:row r="713" ht="22" customHeight="1">
      <x:c r="A713" s="14"/>
      <x:c r="B713" s="15"/>
      <x:c r="C713" s="16" t="str">
        <x:f>IF(AND(ISNUMBER(B713),ISNUMBER(B712),B713&gt;0,B712&gt;0),LN(B713/B712),"")</x:f>
      </x:c>
      <x:c r="D713" s="16" t="str">
        <x:f>IF(ISNUMBER(C713),ABS(C713),"")</x:f>
      </x:c>
      <x:c r="E713" s="16" t="str">
        <x:f>IF(ISNUMBER(C713),C713^2,"")</x:f>
      </x:c>
      <x:c r="F713" s="16" t="str">
        <x:f>IF(AND(ISNUMBER(C713),ISNUMBER($J$6),$J$6&gt;0),(C713-$J$5)/$J$6,"")</x:f>
      </x:c>
      <x:c r="G713" s="1" t="str">
        <x:f>IF(ISNUMBER(F713),IF(ABS(F713)&gt;3,1,0),"")</x:f>
      </x:c>
      <x:c r="H713" s="1" t="str">
        <x:f>IF(ISNUMBER(F713),F713^4,"")</x:f>
      </x:c>
      <x:c r="I713" s="1"/>
      <x:c r="J713" s="1"/>
      <x:c r="K713" s="1"/>
      <x:c r="L713" s="1"/>
      <x:c r="M713" s="1"/>
      <x:c r="N713" s="1"/>
    </x:row>
    <x:row r="714" ht="22" customHeight="1">
      <x:c r="A714" s="14"/>
      <x:c r="B714" s="15"/>
      <x:c r="C714" s="16" t="str">
        <x:f>IF(AND(ISNUMBER(B714),ISNUMBER(B713),B714&gt;0,B713&gt;0),LN(B714/B713),"")</x:f>
      </x:c>
      <x:c r="D714" s="16" t="str">
        <x:f>IF(ISNUMBER(C714),ABS(C714),"")</x:f>
      </x:c>
      <x:c r="E714" s="16" t="str">
        <x:f>IF(ISNUMBER(C714),C714^2,"")</x:f>
      </x:c>
      <x:c r="F714" s="16" t="str">
        <x:f>IF(AND(ISNUMBER(C714),ISNUMBER($J$6),$J$6&gt;0),(C714-$J$5)/$J$6,"")</x:f>
      </x:c>
      <x:c r="G714" s="1" t="str">
        <x:f>IF(ISNUMBER(F714),IF(ABS(F714)&gt;3,1,0),"")</x:f>
      </x:c>
      <x:c r="H714" s="1" t="str">
        <x:f>IF(ISNUMBER(F714),F714^4,"")</x:f>
      </x:c>
      <x:c r="I714" s="1"/>
      <x:c r="J714" s="1"/>
      <x:c r="K714" s="1"/>
      <x:c r="L714" s="1"/>
      <x:c r="M714" s="1"/>
      <x:c r="N714" s="1"/>
    </x:row>
    <x:row r="715" ht="22" customHeight="1">
      <x:c r="A715" s="14"/>
      <x:c r="B715" s="15"/>
      <x:c r="C715" s="16" t="str">
        <x:f>IF(AND(ISNUMBER(B715),ISNUMBER(B714),B715&gt;0,B714&gt;0),LN(B715/B714),"")</x:f>
      </x:c>
      <x:c r="D715" s="16" t="str">
        <x:f>IF(ISNUMBER(C715),ABS(C715),"")</x:f>
      </x:c>
      <x:c r="E715" s="16" t="str">
        <x:f>IF(ISNUMBER(C715),C715^2,"")</x:f>
      </x:c>
      <x:c r="F715" s="16" t="str">
        <x:f>IF(AND(ISNUMBER(C715),ISNUMBER($J$6),$J$6&gt;0),(C715-$J$5)/$J$6,"")</x:f>
      </x:c>
      <x:c r="G715" s="1" t="str">
        <x:f>IF(ISNUMBER(F715),IF(ABS(F715)&gt;3,1,0),"")</x:f>
      </x:c>
      <x:c r="H715" s="1" t="str">
        <x:f>IF(ISNUMBER(F715),F715^4,"")</x:f>
      </x:c>
      <x:c r="I715" s="1"/>
      <x:c r="J715" s="1"/>
      <x:c r="K715" s="1"/>
      <x:c r="L715" s="1"/>
      <x:c r="M715" s="1"/>
      <x:c r="N715" s="1"/>
    </x:row>
    <x:row r="716" ht="22" customHeight="1">
      <x:c r="A716" s="14"/>
      <x:c r="B716" s="15"/>
      <x:c r="C716" s="16" t="str">
        <x:f>IF(AND(ISNUMBER(B716),ISNUMBER(B715),B716&gt;0,B715&gt;0),LN(B716/B715),"")</x:f>
      </x:c>
      <x:c r="D716" s="16" t="str">
        <x:f>IF(ISNUMBER(C716),ABS(C716),"")</x:f>
      </x:c>
      <x:c r="E716" s="16" t="str">
        <x:f>IF(ISNUMBER(C716),C716^2,"")</x:f>
      </x:c>
      <x:c r="F716" s="16" t="str">
        <x:f>IF(AND(ISNUMBER(C716),ISNUMBER($J$6),$J$6&gt;0),(C716-$J$5)/$J$6,"")</x:f>
      </x:c>
      <x:c r="G716" s="1" t="str">
        <x:f>IF(ISNUMBER(F716),IF(ABS(F716)&gt;3,1,0),"")</x:f>
      </x:c>
      <x:c r="H716" s="1" t="str">
        <x:f>IF(ISNUMBER(F716),F716^4,"")</x:f>
      </x:c>
      <x:c r="I716" s="1"/>
      <x:c r="J716" s="1"/>
      <x:c r="K716" s="1"/>
      <x:c r="L716" s="1"/>
      <x:c r="M716" s="1"/>
      <x:c r="N716" s="1"/>
    </x:row>
    <x:row r="717" ht="22" customHeight="1">
      <x:c r="A717" s="14"/>
      <x:c r="B717" s="15"/>
      <x:c r="C717" s="16" t="str">
        <x:f>IF(AND(ISNUMBER(B717),ISNUMBER(B716),B717&gt;0,B716&gt;0),LN(B717/B716),"")</x:f>
      </x:c>
      <x:c r="D717" s="16" t="str">
        <x:f>IF(ISNUMBER(C717),ABS(C717),"")</x:f>
      </x:c>
      <x:c r="E717" s="16" t="str">
        <x:f>IF(ISNUMBER(C717),C717^2,"")</x:f>
      </x:c>
      <x:c r="F717" s="16" t="str">
        <x:f>IF(AND(ISNUMBER(C717),ISNUMBER($J$6),$J$6&gt;0),(C717-$J$5)/$J$6,"")</x:f>
      </x:c>
      <x:c r="G717" s="1" t="str">
        <x:f>IF(ISNUMBER(F717),IF(ABS(F717)&gt;3,1,0),"")</x:f>
      </x:c>
      <x:c r="H717" s="1" t="str">
        <x:f>IF(ISNUMBER(F717),F717^4,"")</x:f>
      </x:c>
      <x:c r="I717" s="1"/>
      <x:c r="J717" s="1"/>
      <x:c r="K717" s="1"/>
      <x:c r="L717" s="1"/>
      <x:c r="M717" s="1"/>
      <x:c r="N717" s="1"/>
    </x:row>
    <x:row r="718" ht="22" customHeight="1">
      <x:c r="A718" s="14"/>
      <x:c r="B718" s="15"/>
      <x:c r="C718" s="16" t="str">
        <x:f>IF(AND(ISNUMBER(B718),ISNUMBER(B717),B718&gt;0,B717&gt;0),LN(B718/B717),"")</x:f>
      </x:c>
      <x:c r="D718" s="16" t="str">
        <x:f>IF(ISNUMBER(C718),ABS(C718),"")</x:f>
      </x:c>
      <x:c r="E718" s="16" t="str">
        <x:f>IF(ISNUMBER(C718),C718^2,"")</x:f>
      </x:c>
      <x:c r="F718" s="16" t="str">
        <x:f>IF(AND(ISNUMBER(C718),ISNUMBER($J$6),$J$6&gt;0),(C718-$J$5)/$J$6,"")</x:f>
      </x:c>
      <x:c r="G718" s="1" t="str">
        <x:f>IF(ISNUMBER(F718),IF(ABS(F718)&gt;3,1,0),"")</x:f>
      </x:c>
      <x:c r="H718" s="1" t="str">
        <x:f>IF(ISNUMBER(F718),F718^4,"")</x:f>
      </x:c>
      <x:c r="I718" s="1"/>
      <x:c r="J718" s="1"/>
      <x:c r="K718" s="1"/>
      <x:c r="L718" s="1"/>
      <x:c r="M718" s="1"/>
      <x:c r="N718" s="1"/>
    </x:row>
    <x:row r="719" ht="22" customHeight="1">
      <x:c r="A719" s="14"/>
      <x:c r="B719" s="15"/>
      <x:c r="C719" s="16" t="str">
        <x:f>IF(AND(ISNUMBER(B719),ISNUMBER(B718),B719&gt;0,B718&gt;0),LN(B719/B718),"")</x:f>
      </x:c>
      <x:c r="D719" s="16" t="str">
        <x:f>IF(ISNUMBER(C719),ABS(C719),"")</x:f>
      </x:c>
      <x:c r="E719" s="16" t="str">
        <x:f>IF(ISNUMBER(C719),C719^2,"")</x:f>
      </x:c>
      <x:c r="F719" s="16" t="str">
        <x:f>IF(AND(ISNUMBER(C719),ISNUMBER($J$6),$J$6&gt;0),(C719-$J$5)/$J$6,"")</x:f>
      </x:c>
      <x:c r="G719" s="1" t="str">
        <x:f>IF(ISNUMBER(F719),IF(ABS(F719)&gt;3,1,0),"")</x:f>
      </x:c>
      <x:c r="H719" s="1" t="str">
        <x:f>IF(ISNUMBER(F719),F719^4,"")</x:f>
      </x:c>
      <x:c r="I719" s="1"/>
      <x:c r="J719" s="1"/>
      <x:c r="K719" s="1"/>
      <x:c r="L719" s="1"/>
      <x:c r="M719" s="1"/>
      <x:c r="N719" s="1"/>
    </x:row>
    <x:row r="720" ht="22" customHeight="1">
      <x:c r="A720" s="14"/>
      <x:c r="B720" s="15"/>
      <x:c r="C720" s="16" t="str">
        <x:f>IF(AND(ISNUMBER(B720),ISNUMBER(B719),B720&gt;0,B719&gt;0),LN(B720/B719),"")</x:f>
      </x:c>
      <x:c r="D720" s="16" t="str">
        <x:f>IF(ISNUMBER(C720),ABS(C720),"")</x:f>
      </x:c>
      <x:c r="E720" s="16" t="str">
        <x:f>IF(ISNUMBER(C720),C720^2,"")</x:f>
      </x:c>
      <x:c r="F720" s="16" t="str">
        <x:f>IF(AND(ISNUMBER(C720),ISNUMBER($J$6),$J$6&gt;0),(C720-$J$5)/$J$6,"")</x:f>
      </x:c>
      <x:c r="G720" s="1" t="str">
        <x:f>IF(ISNUMBER(F720),IF(ABS(F720)&gt;3,1,0),"")</x:f>
      </x:c>
      <x:c r="H720" s="1" t="str">
        <x:f>IF(ISNUMBER(F720),F720^4,"")</x:f>
      </x:c>
      <x:c r="I720" s="1"/>
      <x:c r="J720" s="1"/>
      <x:c r="K720" s="1"/>
      <x:c r="L720" s="1"/>
      <x:c r="M720" s="1"/>
      <x:c r="N720" s="1"/>
    </x:row>
    <x:row r="721" ht="22" customHeight="1">
      <x:c r="A721" s="14"/>
      <x:c r="B721" s="15"/>
      <x:c r="C721" s="16" t="str">
        <x:f>IF(AND(ISNUMBER(B721),ISNUMBER(B720),B721&gt;0,B720&gt;0),LN(B721/B720),"")</x:f>
      </x:c>
      <x:c r="D721" s="16" t="str">
        <x:f>IF(ISNUMBER(C721),ABS(C721),"")</x:f>
      </x:c>
      <x:c r="E721" s="16" t="str">
        <x:f>IF(ISNUMBER(C721),C721^2,"")</x:f>
      </x:c>
      <x:c r="F721" s="16" t="str">
        <x:f>IF(AND(ISNUMBER(C721),ISNUMBER($J$6),$J$6&gt;0),(C721-$J$5)/$J$6,"")</x:f>
      </x:c>
      <x:c r="G721" s="1" t="str">
        <x:f>IF(ISNUMBER(F721),IF(ABS(F721)&gt;3,1,0),"")</x:f>
      </x:c>
      <x:c r="H721" s="1" t="str">
        <x:f>IF(ISNUMBER(F721),F721^4,"")</x:f>
      </x:c>
      <x:c r="I721" s="1"/>
      <x:c r="J721" s="1"/>
      <x:c r="K721" s="1"/>
      <x:c r="L721" s="1"/>
      <x:c r="M721" s="1"/>
      <x:c r="N721" s="1"/>
    </x:row>
    <x:row r="722" ht="22" customHeight="1">
      <x:c r="A722" s="14"/>
      <x:c r="B722" s="15"/>
      <x:c r="C722" s="16" t="str">
        <x:f>IF(AND(ISNUMBER(B722),ISNUMBER(B721),B722&gt;0,B721&gt;0),LN(B722/B721),"")</x:f>
      </x:c>
      <x:c r="D722" s="16" t="str">
        <x:f>IF(ISNUMBER(C722),ABS(C722),"")</x:f>
      </x:c>
      <x:c r="E722" s="16" t="str">
        <x:f>IF(ISNUMBER(C722),C722^2,"")</x:f>
      </x:c>
      <x:c r="F722" s="16" t="str">
        <x:f>IF(AND(ISNUMBER(C722),ISNUMBER($J$6),$J$6&gt;0),(C722-$J$5)/$J$6,"")</x:f>
      </x:c>
      <x:c r="G722" s="1" t="str">
        <x:f>IF(ISNUMBER(F722),IF(ABS(F722)&gt;3,1,0),"")</x:f>
      </x:c>
      <x:c r="H722" s="1" t="str">
        <x:f>IF(ISNUMBER(F722),F722^4,"")</x:f>
      </x:c>
      <x:c r="I722" s="1"/>
      <x:c r="J722" s="1"/>
      <x:c r="K722" s="1"/>
      <x:c r="L722" s="1"/>
      <x:c r="M722" s="1"/>
      <x:c r="N722" s="1"/>
    </x:row>
    <x:row r="723" ht="22" customHeight="1">
      <x:c r="A723" s="14"/>
      <x:c r="B723" s="15"/>
      <x:c r="C723" s="16" t="str">
        <x:f>IF(AND(ISNUMBER(B723),ISNUMBER(B722),B723&gt;0,B722&gt;0),LN(B723/B722),"")</x:f>
      </x:c>
      <x:c r="D723" s="16" t="str">
        <x:f>IF(ISNUMBER(C723),ABS(C723),"")</x:f>
      </x:c>
      <x:c r="E723" s="16" t="str">
        <x:f>IF(ISNUMBER(C723),C723^2,"")</x:f>
      </x:c>
      <x:c r="F723" s="16" t="str">
        <x:f>IF(AND(ISNUMBER(C723),ISNUMBER($J$6),$J$6&gt;0),(C723-$J$5)/$J$6,"")</x:f>
      </x:c>
      <x:c r="G723" s="1" t="str">
        <x:f>IF(ISNUMBER(F723),IF(ABS(F723)&gt;3,1,0),"")</x:f>
      </x:c>
      <x:c r="H723" s="1" t="str">
        <x:f>IF(ISNUMBER(F723),F723^4,"")</x:f>
      </x:c>
      <x:c r="I723" s="1"/>
      <x:c r="J723" s="1"/>
      <x:c r="K723" s="1"/>
      <x:c r="L723" s="1"/>
      <x:c r="M723" s="1"/>
      <x:c r="N723" s="1"/>
    </x:row>
    <x:row r="724" ht="22" customHeight="1">
      <x:c r="A724" s="14"/>
      <x:c r="B724" s="15"/>
      <x:c r="C724" s="16" t="str">
        <x:f>IF(AND(ISNUMBER(B724),ISNUMBER(B723),B724&gt;0,B723&gt;0),LN(B724/B723),"")</x:f>
      </x:c>
      <x:c r="D724" s="16" t="str">
        <x:f>IF(ISNUMBER(C724),ABS(C724),"")</x:f>
      </x:c>
      <x:c r="E724" s="16" t="str">
        <x:f>IF(ISNUMBER(C724),C724^2,"")</x:f>
      </x:c>
      <x:c r="F724" s="16" t="str">
        <x:f>IF(AND(ISNUMBER(C724),ISNUMBER($J$6),$J$6&gt;0),(C724-$J$5)/$J$6,"")</x:f>
      </x:c>
      <x:c r="G724" s="1" t="str">
        <x:f>IF(ISNUMBER(F724),IF(ABS(F724)&gt;3,1,0),"")</x:f>
      </x:c>
      <x:c r="H724" s="1" t="str">
        <x:f>IF(ISNUMBER(F724),F724^4,"")</x:f>
      </x:c>
      <x:c r="I724" s="1"/>
      <x:c r="J724" s="1"/>
      <x:c r="K724" s="1"/>
      <x:c r="L724" s="1"/>
      <x:c r="M724" s="1"/>
      <x:c r="N724" s="1"/>
    </x:row>
    <x:row r="725" ht="22" customHeight="1">
      <x:c r="A725" s="14"/>
      <x:c r="B725" s="15"/>
      <x:c r="C725" s="16" t="str">
        <x:f>IF(AND(ISNUMBER(B725),ISNUMBER(B724),B725&gt;0,B724&gt;0),LN(B725/B724),"")</x:f>
      </x:c>
      <x:c r="D725" s="16" t="str">
        <x:f>IF(ISNUMBER(C725),ABS(C725),"")</x:f>
      </x:c>
      <x:c r="E725" s="16" t="str">
        <x:f>IF(ISNUMBER(C725),C725^2,"")</x:f>
      </x:c>
      <x:c r="F725" s="16" t="str">
        <x:f>IF(AND(ISNUMBER(C725),ISNUMBER($J$6),$J$6&gt;0),(C725-$J$5)/$J$6,"")</x:f>
      </x:c>
      <x:c r="G725" s="1" t="str">
        <x:f>IF(ISNUMBER(F725),IF(ABS(F725)&gt;3,1,0),"")</x:f>
      </x:c>
      <x:c r="H725" s="1" t="str">
        <x:f>IF(ISNUMBER(F725),F725^4,"")</x:f>
      </x:c>
      <x:c r="I725" s="1"/>
      <x:c r="J725" s="1"/>
      <x:c r="K725" s="1"/>
      <x:c r="L725" s="1"/>
      <x:c r="M725" s="1"/>
      <x:c r="N725" s="1"/>
    </x:row>
    <x:row r="726" ht="22" customHeight="1">
      <x:c r="A726" s="14"/>
      <x:c r="B726" s="15"/>
      <x:c r="C726" s="16" t="str">
        <x:f>IF(AND(ISNUMBER(B726),ISNUMBER(B725),B726&gt;0,B725&gt;0),LN(B726/B725),"")</x:f>
      </x:c>
      <x:c r="D726" s="16" t="str">
        <x:f>IF(ISNUMBER(C726),ABS(C726),"")</x:f>
      </x:c>
      <x:c r="E726" s="16" t="str">
        <x:f>IF(ISNUMBER(C726),C726^2,"")</x:f>
      </x:c>
      <x:c r="F726" s="16" t="str">
        <x:f>IF(AND(ISNUMBER(C726),ISNUMBER($J$6),$J$6&gt;0),(C726-$J$5)/$J$6,"")</x:f>
      </x:c>
      <x:c r="G726" s="1" t="str">
        <x:f>IF(ISNUMBER(F726),IF(ABS(F726)&gt;3,1,0),"")</x:f>
      </x:c>
      <x:c r="H726" s="1" t="str">
        <x:f>IF(ISNUMBER(F726),F726^4,"")</x:f>
      </x:c>
      <x:c r="I726" s="1"/>
      <x:c r="J726" s="1"/>
      <x:c r="K726" s="1"/>
      <x:c r="L726" s="1"/>
      <x:c r="M726" s="1"/>
      <x:c r="N726" s="1"/>
    </x:row>
    <x:row r="727" ht="22" customHeight="1">
      <x:c r="A727" s="14"/>
      <x:c r="B727" s="15"/>
      <x:c r="C727" s="16" t="str">
        <x:f>IF(AND(ISNUMBER(B727),ISNUMBER(B726),B727&gt;0,B726&gt;0),LN(B727/B726),"")</x:f>
      </x:c>
      <x:c r="D727" s="16" t="str">
        <x:f>IF(ISNUMBER(C727),ABS(C727),"")</x:f>
      </x:c>
      <x:c r="E727" s="16" t="str">
        <x:f>IF(ISNUMBER(C727),C727^2,"")</x:f>
      </x:c>
      <x:c r="F727" s="16" t="str">
        <x:f>IF(AND(ISNUMBER(C727),ISNUMBER($J$6),$J$6&gt;0),(C727-$J$5)/$J$6,"")</x:f>
      </x:c>
      <x:c r="G727" s="1" t="str">
        <x:f>IF(ISNUMBER(F727),IF(ABS(F727)&gt;3,1,0),"")</x:f>
      </x:c>
      <x:c r="H727" s="1" t="str">
        <x:f>IF(ISNUMBER(F727),F727^4,"")</x:f>
      </x:c>
      <x:c r="I727" s="1"/>
      <x:c r="J727" s="1"/>
      <x:c r="K727" s="1"/>
      <x:c r="L727" s="1"/>
      <x:c r="M727" s="1"/>
      <x:c r="N727" s="1"/>
    </x:row>
    <x:row r="728" ht="22" customHeight="1">
      <x:c r="A728" s="14"/>
      <x:c r="B728" s="15"/>
      <x:c r="C728" s="16" t="str">
        <x:f>IF(AND(ISNUMBER(B728),ISNUMBER(B727),B728&gt;0,B727&gt;0),LN(B728/B727),"")</x:f>
      </x:c>
      <x:c r="D728" s="16" t="str">
        <x:f>IF(ISNUMBER(C728),ABS(C728),"")</x:f>
      </x:c>
      <x:c r="E728" s="16" t="str">
        <x:f>IF(ISNUMBER(C728),C728^2,"")</x:f>
      </x:c>
      <x:c r="F728" s="16" t="str">
        <x:f>IF(AND(ISNUMBER(C728),ISNUMBER($J$6),$J$6&gt;0),(C728-$J$5)/$J$6,"")</x:f>
      </x:c>
      <x:c r="G728" s="1" t="str">
        <x:f>IF(ISNUMBER(F728),IF(ABS(F728)&gt;3,1,0),"")</x:f>
      </x:c>
      <x:c r="H728" s="1" t="str">
        <x:f>IF(ISNUMBER(F728),F728^4,"")</x:f>
      </x:c>
      <x:c r="I728" s="1"/>
      <x:c r="J728" s="1"/>
      <x:c r="K728" s="1"/>
      <x:c r="L728" s="1"/>
      <x:c r="M728" s="1"/>
      <x:c r="N728" s="1"/>
    </x:row>
    <x:row r="729" ht="22" customHeight="1">
      <x:c r="A729" s="14"/>
      <x:c r="B729" s="15"/>
      <x:c r="C729" s="16" t="str">
        <x:f>IF(AND(ISNUMBER(B729),ISNUMBER(B728),B729&gt;0,B728&gt;0),LN(B729/B728),"")</x:f>
      </x:c>
      <x:c r="D729" s="16" t="str">
        <x:f>IF(ISNUMBER(C729),ABS(C729),"")</x:f>
      </x:c>
      <x:c r="E729" s="16" t="str">
        <x:f>IF(ISNUMBER(C729),C729^2,"")</x:f>
      </x:c>
      <x:c r="F729" s="16" t="str">
        <x:f>IF(AND(ISNUMBER(C729),ISNUMBER($J$6),$J$6&gt;0),(C729-$J$5)/$J$6,"")</x:f>
      </x:c>
      <x:c r="G729" s="1" t="str">
        <x:f>IF(ISNUMBER(F729),IF(ABS(F729)&gt;3,1,0),"")</x:f>
      </x:c>
      <x:c r="H729" s="1" t="str">
        <x:f>IF(ISNUMBER(F729),F729^4,"")</x:f>
      </x:c>
      <x:c r="I729" s="1"/>
      <x:c r="J729" s="1"/>
      <x:c r="K729" s="1"/>
      <x:c r="L729" s="1"/>
      <x:c r="M729" s="1"/>
      <x:c r="N729" s="1"/>
    </x:row>
    <x:row r="730" ht="22" customHeight="1">
      <x:c r="A730" s="14"/>
      <x:c r="B730" s="15"/>
      <x:c r="C730" s="16" t="str">
        <x:f>IF(AND(ISNUMBER(B730),ISNUMBER(B729),B730&gt;0,B729&gt;0),LN(B730/B729),"")</x:f>
      </x:c>
      <x:c r="D730" s="16" t="str">
        <x:f>IF(ISNUMBER(C730),ABS(C730),"")</x:f>
      </x:c>
      <x:c r="E730" s="16" t="str">
        <x:f>IF(ISNUMBER(C730),C730^2,"")</x:f>
      </x:c>
      <x:c r="F730" s="16" t="str">
        <x:f>IF(AND(ISNUMBER(C730),ISNUMBER($J$6),$J$6&gt;0),(C730-$J$5)/$J$6,"")</x:f>
      </x:c>
      <x:c r="G730" s="1" t="str">
        <x:f>IF(ISNUMBER(F730),IF(ABS(F730)&gt;3,1,0),"")</x:f>
      </x:c>
      <x:c r="H730" s="1" t="str">
        <x:f>IF(ISNUMBER(F730),F730^4,"")</x:f>
      </x:c>
      <x:c r="I730" s="1"/>
      <x:c r="J730" s="1"/>
      <x:c r="K730" s="1"/>
      <x:c r="L730" s="1"/>
      <x:c r="M730" s="1"/>
      <x:c r="N730" s="1"/>
    </x:row>
    <x:row r="731" ht="22" customHeight="1">
      <x:c r="A731" s="14"/>
      <x:c r="B731" s="15"/>
      <x:c r="C731" s="16" t="str">
        <x:f>IF(AND(ISNUMBER(B731),ISNUMBER(B730),B731&gt;0,B730&gt;0),LN(B731/B730),"")</x:f>
      </x:c>
      <x:c r="D731" s="16" t="str">
        <x:f>IF(ISNUMBER(C731),ABS(C731),"")</x:f>
      </x:c>
      <x:c r="E731" s="16" t="str">
        <x:f>IF(ISNUMBER(C731),C731^2,"")</x:f>
      </x:c>
      <x:c r="F731" s="16" t="str">
        <x:f>IF(AND(ISNUMBER(C731),ISNUMBER($J$6),$J$6&gt;0),(C731-$J$5)/$J$6,"")</x:f>
      </x:c>
      <x:c r="G731" s="1" t="str">
        <x:f>IF(ISNUMBER(F731),IF(ABS(F731)&gt;3,1,0),"")</x:f>
      </x:c>
      <x:c r="H731" s="1" t="str">
        <x:f>IF(ISNUMBER(F731),F731^4,"")</x:f>
      </x:c>
      <x:c r="I731" s="1"/>
      <x:c r="J731" s="1"/>
      <x:c r="K731" s="1"/>
      <x:c r="L731" s="1"/>
      <x:c r="M731" s="1"/>
      <x:c r="N731" s="1"/>
    </x:row>
    <x:row r="732" ht="22" customHeight="1">
      <x:c r="A732" s="14"/>
      <x:c r="B732" s="15"/>
      <x:c r="C732" s="16" t="str">
        <x:f>IF(AND(ISNUMBER(B732),ISNUMBER(B731),B732&gt;0,B731&gt;0),LN(B732/B731),"")</x:f>
      </x:c>
      <x:c r="D732" s="16" t="str">
        <x:f>IF(ISNUMBER(C732),ABS(C732),"")</x:f>
      </x:c>
      <x:c r="E732" s="16" t="str">
        <x:f>IF(ISNUMBER(C732),C732^2,"")</x:f>
      </x:c>
      <x:c r="F732" s="16" t="str">
        <x:f>IF(AND(ISNUMBER(C732),ISNUMBER($J$6),$J$6&gt;0),(C732-$J$5)/$J$6,"")</x:f>
      </x:c>
      <x:c r="G732" s="1" t="str">
        <x:f>IF(ISNUMBER(F732),IF(ABS(F732)&gt;3,1,0),"")</x:f>
      </x:c>
      <x:c r="H732" s="1" t="str">
        <x:f>IF(ISNUMBER(F732),F732^4,"")</x:f>
      </x:c>
      <x:c r="I732" s="1"/>
      <x:c r="J732" s="1"/>
      <x:c r="K732" s="1"/>
      <x:c r="L732" s="1"/>
      <x:c r="M732" s="1"/>
      <x:c r="N732" s="1"/>
    </x:row>
    <x:row r="733" ht="22" customHeight="1">
      <x:c r="A733" s="14"/>
      <x:c r="B733" s="15"/>
      <x:c r="C733" s="16" t="str">
        <x:f>IF(AND(ISNUMBER(B733),ISNUMBER(B732),B733&gt;0,B732&gt;0),LN(B733/B732),"")</x:f>
      </x:c>
      <x:c r="D733" s="16" t="str">
        <x:f>IF(ISNUMBER(C733),ABS(C733),"")</x:f>
      </x:c>
      <x:c r="E733" s="16" t="str">
        <x:f>IF(ISNUMBER(C733),C733^2,"")</x:f>
      </x:c>
      <x:c r="F733" s="16" t="str">
        <x:f>IF(AND(ISNUMBER(C733),ISNUMBER($J$6),$J$6&gt;0),(C733-$J$5)/$J$6,"")</x:f>
      </x:c>
      <x:c r="G733" s="1" t="str">
        <x:f>IF(ISNUMBER(F733),IF(ABS(F733)&gt;3,1,0),"")</x:f>
      </x:c>
      <x:c r="H733" s="1" t="str">
        <x:f>IF(ISNUMBER(F733),F733^4,"")</x:f>
      </x:c>
      <x:c r="I733" s="1"/>
      <x:c r="J733" s="1"/>
      <x:c r="K733" s="1"/>
      <x:c r="L733" s="1"/>
      <x:c r="M733" s="1"/>
      <x:c r="N733" s="1"/>
    </x:row>
    <x:row r="734" ht="22" customHeight="1">
      <x:c r="A734" s="14"/>
      <x:c r="B734" s="15"/>
      <x:c r="C734" s="16" t="str">
        <x:f>IF(AND(ISNUMBER(B734),ISNUMBER(B733),B734&gt;0,B733&gt;0),LN(B734/B733),"")</x:f>
      </x:c>
      <x:c r="D734" s="16" t="str">
        <x:f>IF(ISNUMBER(C734),ABS(C734),"")</x:f>
      </x:c>
      <x:c r="E734" s="16" t="str">
        <x:f>IF(ISNUMBER(C734),C734^2,"")</x:f>
      </x:c>
      <x:c r="F734" s="16" t="str">
        <x:f>IF(AND(ISNUMBER(C734),ISNUMBER($J$6),$J$6&gt;0),(C734-$J$5)/$J$6,"")</x:f>
      </x:c>
      <x:c r="G734" s="1" t="str">
        <x:f>IF(ISNUMBER(F734),IF(ABS(F734)&gt;3,1,0),"")</x:f>
      </x:c>
      <x:c r="H734" s="1" t="str">
        <x:f>IF(ISNUMBER(F734),F734^4,"")</x:f>
      </x:c>
      <x:c r="I734" s="1"/>
      <x:c r="J734" s="1"/>
      <x:c r="K734" s="1"/>
      <x:c r="L734" s="1"/>
      <x:c r="M734" s="1"/>
      <x:c r="N734" s="1"/>
    </x:row>
    <x:row r="735" ht="22" customHeight="1">
      <x:c r="A735" s="14"/>
      <x:c r="B735" s="15"/>
      <x:c r="C735" s="16" t="str">
        <x:f>IF(AND(ISNUMBER(B735),ISNUMBER(B734),B735&gt;0,B734&gt;0),LN(B735/B734),"")</x:f>
      </x:c>
      <x:c r="D735" s="16" t="str">
        <x:f>IF(ISNUMBER(C735),ABS(C735),"")</x:f>
      </x:c>
      <x:c r="E735" s="16" t="str">
        <x:f>IF(ISNUMBER(C735),C735^2,"")</x:f>
      </x:c>
      <x:c r="F735" s="16" t="str">
        <x:f>IF(AND(ISNUMBER(C735),ISNUMBER($J$6),$J$6&gt;0),(C735-$J$5)/$J$6,"")</x:f>
      </x:c>
      <x:c r="G735" s="1" t="str">
        <x:f>IF(ISNUMBER(F735),IF(ABS(F735)&gt;3,1,0),"")</x:f>
      </x:c>
      <x:c r="H735" s="1" t="str">
        <x:f>IF(ISNUMBER(F735),F735^4,"")</x:f>
      </x:c>
      <x:c r="I735" s="1"/>
      <x:c r="J735" s="1"/>
      <x:c r="K735" s="1"/>
      <x:c r="L735" s="1"/>
      <x:c r="M735" s="1"/>
      <x:c r="N735" s="1"/>
    </x:row>
    <x:row r="736" ht="22" customHeight="1">
      <x:c r="A736" s="14"/>
      <x:c r="B736" s="15"/>
      <x:c r="C736" s="16" t="str">
        <x:f>IF(AND(ISNUMBER(B736),ISNUMBER(B735),B736&gt;0,B735&gt;0),LN(B736/B735),"")</x:f>
      </x:c>
      <x:c r="D736" s="16" t="str">
        <x:f>IF(ISNUMBER(C736),ABS(C736),"")</x:f>
      </x:c>
      <x:c r="E736" s="16" t="str">
        <x:f>IF(ISNUMBER(C736),C736^2,"")</x:f>
      </x:c>
      <x:c r="F736" s="16" t="str">
        <x:f>IF(AND(ISNUMBER(C736),ISNUMBER($J$6),$J$6&gt;0),(C736-$J$5)/$J$6,"")</x:f>
      </x:c>
      <x:c r="G736" s="1" t="str">
        <x:f>IF(ISNUMBER(F736),IF(ABS(F736)&gt;3,1,0),"")</x:f>
      </x:c>
      <x:c r="H736" s="1" t="str">
        <x:f>IF(ISNUMBER(F736),F736^4,"")</x:f>
      </x:c>
      <x:c r="I736" s="1"/>
      <x:c r="J736" s="1"/>
      <x:c r="K736" s="1"/>
      <x:c r="L736" s="1"/>
      <x:c r="M736" s="1"/>
      <x:c r="N736" s="1"/>
    </x:row>
    <x:row r="737" ht="22" customHeight="1">
      <x:c r="A737" s="14"/>
      <x:c r="B737" s="15"/>
      <x:c r="C737" s="16" t="str">
        <x:f>IF(AND(ISNUMBER(B737),ISNUMBER(B736),B737&gt;0,B736&gt;0),LN(B737/B736),"")</x:f>
      </x:c>
      <x:c r="D737" s="16" t="str">
        <x:f>IF(ISNUMBER(C737),ABS(C737),"")</x:f>
      </x:c>
      <x:c r="E737" s="16" t="str">
        <x:f>IF(ISNUMBER(C737),C737^2,"")</x:f>
      </x:c>
      <x:c r="F737" s="16" t="str">
        <x:f>IF(AND(ISNUMBER(C737),ISNUMBER($J$6),$J$6&gt;0),(C737-$J$5)/$J$6,"")</x:f>
      </x:c>
      <x:c r="G737" s="1" t="str">
        <x:f>IF(ISNUMBER(F737),IF(ABS(F737)&gt;3,1,0),"")</x:f>
      </x:c>
      <x:c r="H737" s="1" t="str">
        <x:f>IF(ISNUMBER(F737),F737^4,"")</x:f>
      </x:c>
      <x:c r="I737" s="1"/>
      <x:c r="J737" s="1"/>
      <x:c r="K737" s="1"/>
      <x:c r="L737" s="1"/>
      <x:c r="M737" s="1"/>
      <x:c r="N737" s="1"/>
    </x:row>
    <x:row r="738" ht="22" customHeight="1">
      <x:c r="A738" s="14"/>
      <x:c r="B738" s="15"/>
      <x:c r="C738" s="16" t="str">
        <x:f>IF(AND(ISNUMBER(B738),ISNUMBER(B737),B738&gt;0,B737&gt;0),LN(B738/B737),"")</x:f>
      </x:c>
      <x:c r="D738" s="16" t="str">
        <x:f>IF(ISNUMBER(C738),ABS(C738),"")</x:f>
      </x:c>
      <x:c r="E738" s="16" t="str">
        <x:f>IF(ISNUMBER(C738),C738^2,"")</x:f>
      </x:c>
      <x:c r="F738" s="16" t="str">
        <x:f>IF(AND(ISNUMBER(C738),ISNUMBER($J$6),$J$6&gt;0),(C738-$J$5)/$J$6,"")</x:f>
      </x:c>
      <x:c r="G738" s="1" t="str">
        <x:f>IF(ISNUMBER(F738),IF(ABS(F738)&gt;3,1,0),"")</x:f>
      </x:c>
      <x:c r="H738" s="1" t="str">
        <x:f>IF(ISNUMBER(F738),F738^4,"")</x:f>
      </x:c>
      <x:c r="I738" s="1"/>
      <x:c r="J738" s="1"/>
      <x:c r="K738" s="1"/>
      <x:c r="L738" s="1"/>
      <x:c r="M738" s="1"/>
      <x:c r="N738" s="1"/>
    </x:row>
    <x:row r="739" ht="22" customHeight="1">
      <x:c r="A739" s="14"/>
      <x:c r="B739" s="15"/>
      <x:c r="C739" s="16" t="str">
        <x:f>IF(AND(ISNUMBER(B739),ISNUMBER(B738),B739&gt;0,B738&gt;0),LN(B739/B738),"")</x:f>
      </x:c>
      <x:c r="D739" s="16" t="str">
        <x:f>IF(ISNUMBER(C739),ABS(C739),"")</x:f>
      </x:c>
      <x:c r="E739" s="16" t="str">
        <x:f>IF(ISNUMBER(C739),C739^2,"")</x:f>
      </x:c>
      <x:c r="F739" s="16" t="str">
        <x:f>IF(AND(ISNUMBER(C739),ISNUMBER($J$6),$J$6&gt;0),(C739-$J$5)/$J$6,"")</x:f>
      </x:c>
      <x:c r="G739" s="1" t="str">
        <x:f>IF(ISNUMBER(F739),IF(ABS(F739)&gt;3,1,0),"")</x:f>
      </x:c>
      <x:c r="H739" s="1" t="str">
        <x:f>IF(ISNUMBER(F739),F739^4,"")</x:f>
      </x:c>
      <x:c r="I739" s="1"/>
      <x:c r="J739" s="1"/>
      <x:c r="K739" s="1"/>
      <x:c r="L739" s="1"/>
      <x:c r="M739" s="1"/>
      <x:c r="N739" s="1"/>
    </x:row>
    <x:row r="740" ht="22" customHeight="1">
      <x:c r="A740" s="14"/>
      <x:c r="B740" s="15"/>
      <x:c r="C740" s="16" t="str">
        <x:f>IF(AND(ISNUMBER(B740),ISNUMBER(B739),B740&gt;0,B739&gt;0),LN(B740/B739),"")</x:f>
      </x:c>
      <x:c r="D740" s="16" t="str">
        <x:f>IF(ISNUMBER(C740),ABS(C740),"")</x:f>
      </x:c>
      <x:c r="E740" s="16" t="str">
        <x:f>IF(ISNUMBER(C740),C740^2,"")</x:f>
      </x:c>
      <x:c r="F740" s="16" t="str">
        <x:f>IF(AND(ISNUMBER(C740),ISNUMBER($J$6),$J$6&gt;0),(C740-$J$5)/$J$6,"")</x:f>
      </x:c>
      <x:c r="G740" s="1" t="str">
        <x:f>IF(ISNUMBER(F740),IF(ABS(F740)&gt;3,1,0),"")</x:f>
      </x:c>
      <x:c r="H740" s="1" t="str">
        <x:f>IF(ISNUMBER(F740),F740^4,"")</x:f>
      </x:c>
      <x:c r="I740" s="1"/>
      <x:c r="J740" s="1"/>
      <x:c r="K740" s="1"/>
      <x:c r="L740" s="1"/>
      <x:c r="M740" s="1"/>
      <x:c r="N740" s="1"/>
    </x:row>
    <x:row r="741" ht="22" customHeight="1">
      <x:c r="A741" s="14"/>
      <x:c r="B741" s="15"/>
      <x:c r="C741" s="16" t="str">
        <x:f>IF(AND(ISNUMBER(B741),ISNUMBER(B740),B741&gt;0,B740&gt;0),LN(B741/B740),"")</x:f>
      </x:c>
      <x:c r="D741" s="16" t="str">
        <x:f>IF(ISNUMBER(C741),ABS(C741),"")</x:f>
      </x:c>
      <x:c r="E741" s="16" t="str">
        <x:f>IF(ISNUMBER(C741),C741^2,"")</x:f>
      </x:c>
      <x:c r="F741" s="16" t="str">
        <x:f>IF(AND(ISNUMBER(C741),ISNUMBER($J$6),$J$6&gt;0),(C741-$J$5)/$J$6,"")</x:f>
      </x:c>
      <x:c r="G741" s="1" t="str">
        <x:f>IF(ISNUMBER(F741),IF(ABS(F741)&gt;3,1,0),"")</x:f>
      </x:c>
      <x:c r="H741" s="1" t="str">
        <x:f>IF(ISNUMBER(F741),F741^4,"")</x:f>
      </x:c>
      <x:c r="I741" s="1"/>
      <x:c r="J741" s="1"/>
      <x:c r="K741" s="1"/>
      <x:c r="L741" s="1"/>
      <x:c r="M741" s="1"/>
      <x:c r="N741" s="1"/>
    </x:row>
    <x:row r="742" ht="22" customHeight="1">
      <x:c r="A742" s="14"/>
      <x:c r="B742" s="15"/>
      <x:c r="C742" s="16" t="str">
        <x:f>IF(AND(ISNUMBER(B742),ISNUMBER(B741),B742&gt;0,B741&gt;0),LN(B742/B741),"")</x:f>
      </x:c>
      <x:c r="D742" s="16" t="str">
        <x:f>IF(ISNUMBER(C742),ABS(C742),"")</x:f>
      </x:c>
      <x:c r="E742" s="16" t="str">
        <x:f>IF(ISNUMBER(C742),C742^2,"")</x:f>
      </x:c>
      <x:c r="F742" s="16" t="str">
        <x:f>IF(AND(ISNUMBER(C742),ISNUMBER($J$6),$J$6&gt;0),(C742-$J$5)/$J$6,"")</x:f>
      </x:c>
      <x:c r="G742" s="1" t="str">
        <x:f>IF(ISNUMBER(F742),IF(ABS(F742)&gt;3,1,0),"")</x:f>
      </x:c>
      <x:c r="H742" s="1" t="str">
        <x:f>IF(ISNUMBER(F742),F742^4,"")</x:f>
      </x:c>
      <x:c r="I742" s="1"/>
      <x:c r="J742" s="1"/>
      <x:c r="K742" s="1"/>
      <x:c r="L742" s="1"/>
      <x:c r="M742" s="1"/>
      <x:c r="N742" s="1"/>
    </x:row>
    <x:row r="743" ht="22" customHeight="1">
      <x:c r="A743" s="14"/>
      <x:c r="B743" s="15"/>
      <x:c r="C743" s="16" t="str">
        <x:f>IF(AND(ISNUMBER(B743),ISNUMBER(B742),B743&gt;0,B742&gt;0),LN(B743/B742),"")</x:f>
      </x:c>
      <x:c r="D743" s="16" t="str">
        <x:f>IF(ISNUMBER(C743),ABS(C743),"")</x:f>
      </x:c>
      <x:c r="E743" s="16" t="str">
        <x:f>IF(ISNUMBER(C743),C743^2,"")</x:f>
      </x:c>
      <x:c r="F743" s="16" t="str">
        <x:f>IF(AND(ISNUMBER(C743),ISNUMBER($J$6),$J$6&gt;0),(C743-$J$5)/$J$6,"")</x:f>
      </x:c>
      <x:c r="G743" s="1" t="str">
        <x:f>IF(ISNUMBER(F743),IF(ABS(F743)&gt;3,1,0),"")</x:f>
      </x:c>
      <x:c r="H743" s="1" t="str">
        <x:f>IF(ISNUMBER(F743),F743^4,"")</x:f>
      </x:c>
      <x:c r="I743" s="1"/>
      <x:c r="J743" s="1"/>
      <x:c r="K743" s="1"/>
      <x:c r="L743" s="1"/>
      <x:c r="M743" s="1"/>
      <x:c r="N743" s="1"/>
    </x:row>
    <x:row r="744" ht="22" customHeight="1">
      <x:c r="A744" s="14"/>
      <x:c r="B744" s="15"/>
      <x:c r="C744" s="16" t="str">
        <x:f>IF(AND(ISNUMBER(B744),ISNUMBER(B743),B744&gt;0,B743&gt;0),LN(B744/B743),"")</x:f>
      </x:c>
      <x:c r="D744" s="16" t="str">
        <x:f>IF(ISNUMBER(C744),ABS(C744),"")</x:f>
      </x:c>
      <x:c r="E744" s="16" t="str">
        <x:f>IF(ISNUMBER(C744),C744^2,"")</x:f>
      </x:c>
      <x:c r="F744" s="16" t="str">
        <x:f>IF(AND(ISNUMBER(C744),ISNUMBER($J$6),$J$6&gt;0),(C744-$J$5)/$J$6,"")</x:f>
      </x:c>
      <x:c r="G744" s="1" t="str">
        <x:f>IF(ISNUMBER(F744),IF(ABS(F744)&gt;3,1,0),"")</x:f>
      </x:c>
      <x:c r="H744" s="1" t="str">
        <x:f>IF(ISNUMBER(F744),F744^4,"")</x:f>
      </x:c>
      <x:c r="I744" s="1"/>
      <x:c r="J744" s="1"/>
      <x:c r="K744" s="1"/>
      <x:c r="L744" s="1"/>
      <x:c r="M744" s="1"/>
      <x:c r="N744" s="1"/>
    </x:row>
    <x:row r="745" ht="22" customHeight="1">
      <x:c r="A745" s="14"/>
      <x:c r="B745" s="15"/>
      <x:c r="C745" s="16" t="str">
        <x:f>IF(AND(ISNUMBER(B745),ISNUMBER(B744),B745&gt;0,B744&gt;0),LN(B745/B744),"")</x:f>
      </x:c>
      <x:c r="D745" s="16" t="str">
        <x:f>IF(ISNUMBER(C745),ABS(C745),"")</x:f>
      </x:c>
      <x:c r="E745" s="16" t="str">
        <x:f>IF(ISNUMBER(C745),C745^2,"")</x:f>
      </x:c>
      <x:c r="F745" s="16" t="str">
        <x:f>IF(AND(ISNUMBER(C745),ISNUMBER($J$6),$J$6&gt;0),(C745-$J$5)/$J$6,"")</x:f>
      </x:c>
      <x:c r="G745" s="1" t="str">
        <x:f>IF(ISNUMBER(F745),IF(ABS(F745)&gt;3,1,0),"")</x:f>
      </x:c>
      <x:c r="H745" s="1" t="str">
        <x:f>IF(ISNUMBER(F745),F745^4,"")</x:f>
      </x:c>
      <x:c r="I745" s="1"/>
      <x:c r="J745" s="1"/>
      <x:c r="K745" s="1"/>
      <x:c r="L745" s="1"/>
      <x:c r="M745" s="1"/>
      <x:c r="N745" s="1"/>
    </x:row>
    <x:row r="746" ht="22" customHeight="1">
      <x:c r="A746" s="14"/>
      <x:c r="B746" s="15"/>
      <x:c r="C746" s="16" t="str">
        <x:f>IF(AND(ISNUMBER(B746),ISNUMBER(B745),B746&gt;0,B745&gt;0),LN(B746/B745),"")</x:f>
      </x:c>
      <x:c r="D746" s="16" t="str">
        <x:f>IF(ISNUMBER(C746),ABS(C746),"")</x:f>
      </x:c>
      <x:c r="E746" s="16" t="str">
        <x:f>IF(ISNUMBER(C746),C746^2,"")</x:f>
      </x:c>
      <x:c r="F746" s="16" t="str">
        <x:f>IF(AND(ISNUMBER(C746),ISNUMBER($J$6),$J$6&gt;0),(C746-$J$5)/$J$6,"")</x:f>
      </x:c>
      <x:c r="G746" s="1" t="str">
        <x:f>IF(ISNUMBER(F746),IF(ABS(F746)&gt;3,1,0),"")</x:f>
      </x:c>
      <x:c r="H746" s="1" t="str">
        <x:f>IF(ISNUMBER(F746),F746^4,"")</x:f>
      </x:c>
      <x:c r="I746" s="1"/>
      <x:c r="J746" s="1"/>
      <x:c r="K746" s="1"/>
      <x:c r="L746" s="1"/>
      <x:c r="M746" s="1"/>
      <x:c r="N746" s="1"/>
    </x:row>
    <x:row r="747" ht="22" customHeight="1">
      <x:c r="A747" s="14"/>
      <x:c r="B747" s="15"/>
      <x:c r="C747" s="16" t="str">
        <x:f>IF(AND(ISNUMBER(B747),ISNUMBER(B746),B747&gt;0,B746&gt;0),LN(B747/B746),"")</x:f>
      </x:c>
      <x:c r="D747" s="16" t="str">
        <x:f>IF(ISNUMBER(C747),ABS(C747),"")</x:f>
      </x:c>
      <x:c r="E747" s="16" t="str">
        <x:f>IF(ISNUMBER(C747),C747^2,"")</x:f>
      </x:c>
      <x:c r="F747" s="16" t="str">
        <x:f>IF(AND(ISNUMBER(C747),ISNUMBER($J$6),$J$6&gt;0),(C747-$J$5)/$J$6,"")</x:f>
      </x:c>
      <x:c r="G747" s="1" t="str">
        <x:f>IF(ISNUMBER(F747),IF(ABS(F747)&gt;3,1,0),"")</x:f>
      </x:c>
      <x:c r="H747" s="1" t="str">
        <x:f>IF(ISNUMBER(F747),F747^4,"")</x:f>
      </x:c>
      <x:c r="I747" s="1"/>
      <x:c r="J747" s="1"/>
      <x:c r="K747" s="1"/>
      <x:c r="L747" s="1"/>
      <x:c r="M747" s="1"/>
      <x:c r="N747" s="1"/>
    </x:row>
    <x:row r="748" ht="22" customHeight="1">
      <x:c r="A748" s="14"/>
      <x:c r="B748" s="15"/>
      <x:c r="C748" s="16" t="str">
        <x:f>IF(AND(ISNUMBER(B748),ISNUMBER(B747),B748&gt;0,B747&gt;0),LN(B748/B747),"")</x:f>
      </x:c>
      <x:c r="D748" s="16" t="str">
        <x:f>IF(ISNUMBER(C748),ABS(C748),"")</x:f>
      </x:c>
      <x:c r="E748" s="16" t="str">
        <x:f>IF(ISNUMBER(C748),C748^2,"")</x:f>
      </x:c>
      <x:c r="F748" s="16" t="str">
        <x:f>IF(AND(ISNUMBER(C748),ISNUMBER($J$6),$J$6&gt;0),(C748-$J$5)/$J$6,"")</x:f>
      </x:c>
      <x:c r="G748" s="1" t="str">
        <x:f>IF(ISNUMBER(F748),IF(ABS(F748)&gt;3,1,0),"")</x:f>
      </x:c>
      <x:c r="H748" s="1" t="str">
        <x:f>IF(ISNUMBER(F748),F748^4,"")</x:f>
      </x:c>
      <x:c r="I748" s="1"/>
      <x:c r="J748" s="1"/>
      <x:c r="K748" s="1"/>
      <x:c r="L748" s="1"/>
      <x:c r="M748" s="1"/>
      <x:c r="N748" s="1"/>
    </x:row>
    <x:row r="749" ht="22" customHeight="1">
      <x:c r="A749" s="14"/>
      <x:c r="B749" s="15"/>
      <x:c r="C749" s="16" t="str">
        <x:f>IF(AND(ISNUMBER(B749),ISNUMBER(B748),B749&gt;0,B748&gt;0),LN(B749/B748),"")</x:f>
      </x:c>
      <x:c r="D749" s="16" t="str">
        <x:f>IF(ISNUMBER(C749),ABS(C749),"")</x:f>
      </x:c>
      <x:c r="E749" s="16" t="str">
        <x:f>IF(ISNUMBER(C749),C749^2,"")</x:f>
      </x:c>
      <x:c r="F749" s="16" t="str">
        <x:f>IF(AND(ISNUMBER(C749),ISNUMBER($J$6),$J$6&gt;0),(C749-$J$5)/$J$6,"")</x:f>
      </x:c>
      <x:c r="G749" s="1" t="str">
        <x:f>IF(ISNUMBER(F749),IF(ABS(F749)&gt;3,1,0),"")</x:f>
      </x:c>
      <x:c r="H749" s="1" t="str">
        <x:f>IF(ISNUMBER(F749),F749^4,"")</x:f>
      </x:c>
      <x:c r="I749" s="1"/>
      <x:c r="J749" s="1"/>
      <x:c r="K749" s="1"/>
      <x:c r="L749" s="1"/>
      <x:c r="M749" s="1"/>
      <x:c r="N749" s="1"/>
    </x:row>
    <x:row r="750" ht="22" customHeight="1">
      <x:c r="A750" s="14"/>
      <x:c r="B750" s="15"/>
      <x:c r="C750" s="16" t="str">
        <x:f>IF(AND(ISNUMBER(B750),ISNUMBER(B749),B750&gt;0,B749&gt;0),LN(B750/B749),"")</x:f>
      </x:c>
      <x:c r="D750" s="16" t="str">
        <x:f>IF(ISNUMBER(C750),ABS(C750),"")</x:f>
      </x:c>
      <x:c r="E750" s="16" t="str">
        <x:f>IF(ISNUMBER(C750),C750^2,"")</x:f>
      </x:c>
      <x:c r="F750" s="16" t="str">
        <x:f>IF(AND(ISNUMBER(C750),ISNUMBER($J$6),$J$6&gt;0),(C750-$J$5)/$J$6,"")</x:f>
      </x:c>
      <x:c r="G750" s="1" t="str">
        <x:f>IF(ISNUMBER(F750),IF(ABS(F750)&gt;3,1,0),"")</x:f>
      </x:c>
      <x:c r="H750" s="1" t="str">
        <x:f>IF(ISNUMBER(F750),F750^4,"")</x:f>
      </x:c>
      <x:c r="I750" s="1"/>
      <x:c r="J750" s="1"/>
      <x:c r="K750" s="1"/>
      <x:c r="L750" s="1"/>
      <x:c r="M750" s="1"/>
      <x:c r="N750" s="1"/>
    </x:row>
    <x:row r="751" ht="22" customHeight="1">
      <x:c r="A751" s="14"/>
      <x:c r="B751" s="15"/>
      <x:c r="C751" s="16" t="str">
        <x:f>IF(AND(ISNUMBER(B751),ISNUMBER(B750),B751&gt;0,B750&gt;0),LN(B751/B750),"")</x:f>
      </x:c>
      <x:c r="D751" s="16" t="str">
        <x:f>IF(ISNUMBER(C751),ABS(C751),"")</x:f>
      </x:c>
      <x:c r="E751" s="16" t="str">
        <x:f>IF(ISNUMBER(C751),C751^2,"")</x:f>
      </x:c>
      <x:c r="F751" s="16" t="str">
        <x:f>IF(AND(ISNUMBER(C751),ISNUMBER($J$6),$J$6&gt;0),(C751-$J$5)/$J$6,"")</x:f>
      </x:c>
      <x:c r="G751" s="1" t="str">
        <x:f>IF(ISNUMBER(F751),IF(ABS(F751)&gt;3,1,0),"")</x:f>
      </x:c>
      <x:c r="H751" s="1" t="str">
        <x:f>IF(ISNUMBER(F751),F751^4,"")</x:f>
      </x:c>
      <x:c r="I751" s="1"/>
      <x:c r="J751" s="1"/>
      <x:c r="K751" s="1"/>
      <x:c r="L751" s="1"/>
      <x:c r="M751" s="1"/>
      <x:c r="N751" s="1"/>
    </x:row>
    <x:row r="752" ht="22" customHeight="1">
      <x:c r="A752" s="14"/>
      <x:c r="B752" s="15"/>
      <x:c r="C752" s="16" t="str">
        <x:f>IF(AND(ISNUMBER(B752),ISNUMBER(B751),B752&gt;0,B751&gt;0),LN(B752/B751),"")</x:f>
      </x:c>
      <x:c r="D752" s="16" t="str">
        <x:f>IF(ISNUMBER(C752),ABS(C752),"")</x:f>
      </x:c>
      <x:c r="E752" s="16" t="str">
        <x:f>IF(ISNUMBER(C752),C752^2,"")</x:f>
      </x:c>
      <x:c r="F752" s="16" t="str">
        <x:f>IF(AND(ISNUMBER(C752),ISNUMBER($J$6),$J$6&gt;0),(C752-$J$5)/$J$6,"")</x:f>
      </x:c>
      <x:c r="G752" s="1" t="str">
        <x:f>IF(ISNUMBER(F752),IF(ABS(F752)&gt;3,1,0),"")</x:f>
      </x:c>
      <x:c r="H752" s="1" t="str">
        <x:f>IF(ISNUMBER(F752),F752^4,"")</x:f>
      </x:c>
      <x:c r="I752" s="1"/>
      <x:c r="J752" s="1"/>
      <x:c r="K752" s="1"/>
      <x:c r="L752" s="1"/>
      <x:c r="M752" s="1"/>
      <x:c r="N752" s="1"/>
    </x:row>
    <x:row r="753" ht="22" customHeight="1">
      <x:c r="A753" s="14"/>
      <x:c r="B753" s="15"/>
      <x:c r="C753" s="16" t="str">
        <x:f>IF(AND(ISNUMBER(B753),ISNUMBER(B752),B753&gt;0,B752&gt;0),LN(B753/B752),"")</x:f>
      </x:c>
      <x:c r="D753" s="16" t="str">
        <x:f>IF(ISNUMBER(C753),ABS(C753),"")</x:f>
      </x:c>
      <x:c r="E753" s="16" t="str">
        <x:f>IF(ISNUMBER(C753),C753^2,"")</x:f>
      </x:c>
      <x:c r="F753" s="16" t="str">
        <x:f>IF(AND(ISNUMBER(C753),ISNUMBER($J$6),$J$6&gt;0),(C753-$J$5)/$J$6,"")</x:f>
      </x:c>
      <x:c r="G753" s="1" t="str">
        <x:f>IF(ISNUMBER(F753),IF(ABS(F753)&gt;3,1,0),"")</x:f>
      </x:c>
      <x:c r="H753" s="1" t="str">
        <x:f>IF(ISNUMBER(F753),F753^4,"")</x:f>
      </x:c>
      <x:c r="I753" s="1"/>
      <x:c r="J753" s="1"/>
      <x:c r="K753" s="1"/>
      <x:c r="L753" s="1"/>
      <x:c r="M753" s="1"/>
      <x:c r="N753" s="1"/>
    </x:row>
    <x:row r="754" ht="22" customHeight="1">
      <x:c r="A754" s="14"/>
      <x:c r="B754" s="15"/>
      <x:c r="C754" s="16" t="str">
        <x:f>IF(AND(ISNUMBER(B754),ISNUMBER(B753),B754&gt;0,B753&gt;0),LN(B754/B753),"")</x:f>
      </x:c>
      <x:c r="D754" s="16" t="str">
        <x:f>IF(ISNUMBER(C754),ABS(C754),"")</x:f>
      </x:c>
      <x:c r="E754" s="16" t="str">
        <x:f>IF(ISNUMBER(C754),C754^2,"")</x:f>
      </x:c>
      <x:c r="F754" s="16" t="str">
        <x:f>IF(AND(ISNUMBER(C754),ISNUMBER($J$6),$J$6&gt;0),(C754-$J$5)/$J$6,"")</x:f>
      </x:c>
      <x:c r="G754" s="1" t="str">
        <x:f>IF(ISNUMBER(F754),IF(ABS(F754)&gt;3,1,0),"")</x:f>
      </x:c>
      <x:c r="H754" s="1" t="str">
        <x:f>IF(ISNUMBER(F754),F754^4,"")</x:f>
      </x:c>
      <x:c r="I754" s="1"/>
      <x:c r="J754" s="1"/>
      <x:c r="K754" s="1"/>
      <x:c r="L754" s="1"/>
      <x:c r="M754" s="1"/>
      <x:c r="N754" s="1"/>
    </x:row>
    <x:row r="755" ht="22" customHeight="1">
      <x:c r="A755" s="14"/>
      <x:c r="B755" s="15"/>
      <x:c r="C755" s="16" t="str">
        <x:f>IF(AND(ISNUMBER(B755),ISNUMBER(B754),B755&gt;0,B754&gt;0),LN(B755/B754),"")</x:f>
      </x:c>
      <x:c r="D755" s="16" t="str">
        <x:f>IF(ISNUMBER(C755),ABS(C755),"")</x:f>
      </x:c>
      <x:c r="E755" s="16" t="str">
        <x:f>IF(ISNUMBER(C755),C755^2,"")</x:f>
      </x:c>
      <x:c r="F755" s="16" t="str">
        <x:f>IF(AND(ISNUMBER(C755),ISNUMBER($J$6),$J$6&gt;0),(C755-$J$5)/$J$6,"")</x:f>
      </x:c>
      <x:c r="G755" s="1" t="str">
        <x:f>IF(ISNUMBER(F755),IF(ABS(F755)&gt;3,1,0),"")</x:f>
      </x:c>
      <x:c r="H755" s="1" t="str">
        <x:f>IF(ISNUMBER(F755),F755^4,"")</x:f>
      </x:c>
      <x:c r="I755" s="1"/>
      <x:c r="J755" s="1"/>
      <x:c r="K755" s="1"/>
      <x:c r="L755" s="1"/>
      <x:c r="M755" s="1"/>
      <x:c r="N755" s="1"/>
    </x:row>
    <x:row r="756" ht="22" customHeight="1">
      <x:c r="A756" s="14"/>
      <x:c r="B756" s="15"/>
      <x:c r="C756" s="16" t="str">
        <x:f>IF(AND(ISNUMBER(B756),ISNUMBER(B755),B756&gt;0,B755&gt;0),LN(B756/B755),"")</x:f>
      </x:c>
      <x:c r="D756" s="16" t="str">
        <x:f>IF(ISNUMBER(C756),ABS(C756),"")</x:f>
      </x:c>
      <x:c r="E756" s="16" t="str">
        <x:f>IF(ISNUMBER(C756),C756^2,"")</x:f>
      </x:c>
      <x:c r="F756" s="16" t="str">
        <x:f>IF(AND(ISNUMBER(C756),ISNUMBER($J$6),$J$6&gt;0),(C756-$J$5)/$J$6,"")</x:f>
      </x:c>
      <x:c r="G756" s="1" t="str">
        <x:f>IF(ISNUMBER(F756),IF(ABS(F756)&gt;3,1,0),"")</x:f>
      </x:c>
      <x:c r="H756" s="1" t="str">
        <x:f>IF(ISNUMBER(F756),F756^4,"")</x:f>
      </x:c>
      <x:c r="I756" s="1"/>
      <x:c r="J756" s="1"/>
      <x:c r="K756" s="1"/>
      <x:c r="L756" s="1"/>
      <x:c r="M756" s="1"/>
      <x:c r="N756" s="1"/>
    </x:row>
    <x:row r="757" ht="22" customHeight="1">
      <x:c r="A757" s="14"/>
      <x:c r="B757" s="15"/>
      <x:c r="C757" s="16" t="str">
        <x:f>IF(AND(ISNUMBER(B757),ISNUMBER(B756),B757&gt;0,B756&gt;0),LN(B757/B756),"")</x:f>
      </x:c>
      <x:c r="D757" s="16" t="str">
        <x:f>IF(ISNUMBER(C757),ABS(C757),"")</x:f>
      </x:c>
      <x:c r="E757" s="16" t="str">
        <x:f>IF(ISNUMBER(C757),C757^2,"")</x:f>
      </x:c>
      <x:c r="F757" s="16" t="str">
        <x:f>IF(AND(ISNUMBER(C757),ISNUMBER($J$6),$J$6&gt;0),(C757-$J$5)/$J$6,"")</x:f>
      </x:c>
      <x:c r="G757" s="1" t="str">
        <x:f>IF(ISNUMBER(F757),IF(ABS(F757)&gt;3,1,0),"")</x:f>
      </x:c>
      <x:c r="H757" s="1" t="str">
        <x:f>IF(ISNUMBER(F757),F757^4,"")</x:f>
      </x:c>
      <x:c r="I757" s="1"/>
      <x:c r="J757" s="1"/>
      <x:c r="K757" s="1"/>
      <x:c r="L757" s="1"/>
      <x:c r="M757" s="1"/>
      <x:c r="N757" s="1"/>
    </x:row>
    <x:row r="758" ht="22" customHeight="1">
      <x:c r="A758" s="14"/>
      <x:c r="B758" s="15"/>
      <x:c r="C758" s="16" t="str">
        <x:f>IF(AND(ISNUMBER(B758),ISNUMBER(B757),B758&gt;0,B757&gt;0),LN(B758/B757),"")</x:f>
      </x:c>
      <x:c r="D758" s="16" t="str">
        <x:f>IF(ISNUMBER(C758),ABS(C758),"")</x:f>
      </x:c>
      <x:c r="E758" s="16" t="str">
        <x:f>IF(ISNUMBER(C758),C758^2,"")</x:f>
      </x:c>
      <x:c r="F758" s="16" t="str">
        <x:f>IF(AND(ISNUMBER(C758),ISNUMBER($J$6),$J$6&gt;0),(C758-$J$5)/$J$6,"")</x:f>
      </x:c>
      <x:c r="G758" s="1" t="str">
        <x:f>IF(ISNUMBER(F758),IF(ABS(F758)&gt;3,1,0),"")</x:f>
      </x:c>
      <x:c r="H758" s="1" t="str">
        <x:f>IF(ISNUMBER(F758),F758^4,"")</x:f>
      </x:c>
      <x:c r="I758" s="1"/>
      <x:c r="J758" s="1"/>
      <x:c r="K758" s="1"/>
      <x:c r="L758" s="1"/>
      <x:c r="M758" s="1"/>
      <x:c r="N758" s="1"/>
    </x:row>
    <x:row r="759" ht="22" customHeight="1">
      <x:c r="A759" s="14"/>
      <x:c r="B759" s="15"/>
      <x:c r="C759" s="16" t="str">
        <x:f>IF(AND(ISNUMBER(B759),ISNUMBER(B758),B759&gt;0,B758&gt;0),LN(B759/B758),"")</x:f>
      </x:c>
      <x:c r="D759" s="16" t="str">
        <x:f>IF(ISNUMBER(C759),ABS(C759),"")</x:f>
      </x:c>
      <x:c r="E759" s="16" t="str">
        <x:f>IF(ISNUMBER(C759),C759^2,"")</x:f>
      </x:c>
      <x:c r="F759" s="16" t="str">
        <x:f>IF(AND(ISNUMBER(C759),ISNUMBER($J$6),$J$6&gt;0),(C759-$J$5)/$J$6,"")</x:f>
      </x:c>
      <x:c r="G759" s="1" t="str">
        <x:f>IF(ISNUMBER(F759),IF(ABS(F759)&gt;3,1,0),"")</x:f>
      </x:c>
      <x:c r="H759" s="1" t="str">
        <x:f>IF(ISNUMBER(F759),F759^4,"")</x:f>
      </x:c>
      <x:c r="I759" s="1"/>
      <x:c r="J759" s="1"/>
      <x:c r="K759" s="1"/>
      <x:c r="L759" s="1"/>
      <x:c r="M759" s="1"/>
      <x:c r="N759" s="1"/>
    </x:row>
    <x:row r="760" ht="22" customHeight="1">
      <x:c r="A760" s="14"/>
      <x:c r="B760" s="15"/>
      <x:c r="C760" s="16" t="str">
        <x:f>IF(AND(ISNUMBER(B760),ISNUMBER(B759),B760&gt;0,B759&gt;0),LN(B760/B759),"")</x:f>
      </x:c>
      <x:c r="D760" s="16" t="str">
        <x:f>IF(ISNUMBER(C760),ABS(C760),"")</x:f>
      </x:c>
      <x:c r="E760" s="16" t="str">
        <x:f>IF(ISNUMBER(C760),C760^2,"")</x:f>
      </x:c>
      <x:c r="F760" s="16" t="str">
        <x:f>IF(AND(ISNUMBER(C760),ISNUMBER($J$6),$J$6&gt;0),(C760-$J$5)/$J$6,"")</x:f>
      </x:c>
      <x:c r="G760" s="1" t="str">
        <x:f>IF(ISNUMBER(F760),IF(ABS(F760)&gt;3,1,0),"")</x:f>
      </x:c>
      <x:c r="H760" s="1" t="str">
        <x:f>IF(ISNUMBER(F760),F760^4,"")</x:f>
      </x:c>
      <x:c r="I760" s="1"/>
      <x:c r="J760" s="1"/>
      <x:c r="K760" s="1"/>
      <x:c r="L760" s="1"/>
      <x:c r="M760" s="1"/>
      <x:c r="N760" s="1"/>
    </x:row>
    <x:row r="761" ht="22" customHeight="1">
      <x:c r="A761" s="14"/>
      <x:c r="B761" s="15"/>
      <x:c r="C761" s="16" t="str">
        <x:f>IF(AND(ISNUMBER(B761),ISNUMBER(B760),B761&gt;0,B760&gt;0),LN(B761/B760),"")</x:f>
      </x:c>
      <x:c r="D761" s="16" t="str">
        <x:f>IF(ISNUMBER(C761),ABS(C761),"")</x:f>
      </x:c>
      <x:c r="E761" s="16" t="str">
        <x:f>IF(ISNUMBER(C761),C761^2,"")</x:f>
      </x:c>
      <x:c r="F761" s="16" t="str">
        <x:f>IF(AND(ISNUMBER(C761),ISNUMBER($J$6),$J$6&gt;0),(C761-$J$5)/$J$6,"")</x:f>
      </x:c>
      <x:c r="G761" s="1" t="str">
        <x:f>IF(ISNUMBER(F761),IF(ABS(F761)&gt;3,1,0),"")</x:f>
      </x:c>
      <x:c r="H761" s="1" t="str">
        <x:f>IF(ISNUMBER(F761),F761^4,"")</x:f>
      </x:c>
      <x:c r="I761" s="1"/>
      <x:c r="J761" s="1"/>
      <x:c r="K761" s="1"/>
      <x:c r="L761" s="1"/>
      <x:c r="M761" s="1"/>
      <x:c r="N761" s="1"/>
    </x:row>
    <x:row r="762" ht="22" customHeight="1">
      <x:c r="A762" s="14"/>
      <x:c r="B762" s="15"/>
      <x:c r="C762" s="16" t="str">
        <x:f>IF(AND(ISNUMBER(B762),ISNUMBER(B761),B762&gt;0,B761&gt;0),LN(B762/B761),"")</x:f>
      </x:c>
      <x:c r="D762" s="16" t="str">
        <x:f>IF(ISNUMBER(C762),ABS(C762),"")</x:f>
      </x:c>
      <x:c r="E762" s="16" t="str">
        <x:f>IF(ISNUMBER(C762),C762^2,"")</x:f>
      </x:c>
      <x:c r="F762" s="16" t="str">
        <x:f>IF(AND(ISNUMBER(C762),ISNUMBER($J$6),$J$6&gt;0),(C762-$J$5)/$J$6,"")</x:f>
      </x:c>
      <x:c r="G762" s="1" t="str">
        <x:f>IF(ISNUMBER(F762),IF(ABS(F762)&gt;3,1,0),"")</x:f>
      </x:c>
      <x:c r="H762" s="1" t="str">
        <x:f>IF(ISNUMBER(F762),F762^4,"")</x:f>
      </x:c>
      <x:c r="I762" s="1"/>
      <x:c r="J762" s="1"/>
      <x:c r="K762" s="1"/>
      <x:c r="L762" s="1"/>
      <x:c r="M762" s="1"/>
      <x:c r="N762" s="1"/>
    </x:row>
    <x:row r="763" ht="22" customHeight="1">
      <x:c r="A763" s="14"/>
      <x:c r="B763" s="15"/>
      <x:c r="C763" s="16" t="str">
        <x:f>IF(AND(ISNUMBER(B763),ISNUMBER(B762),B763&gt;0,B762&gt;0),LN(B763/B762),"")</x:f>
      </x:c>
      <x:c r="D763" s="16" t="str">
        <x:f>IF(ISNUMBER(C763),ABS(C763),"")</x:f>
      </x:c>
      <x:c r="E763" s="16" t="str">
        <x:f>IF(ISNUMBER(C763),C763^2,"")</x:f>
      </x:c>
      <x:c r="F763" s="16" t="str">
        <x:f>IF(AND(ISNUMBER(C763),ISNUMBER($J$6),$J$6&gt;0),(C763-$J$5)/$J$6,"")</x:f>
      </x:c>
      <x:c r="G763" s="1" t="str">
        <x:f>IF(ISNUMBER(F763),IF(ABS(F763)&gt;3,1,0),"")</x:f>
      </x:c>
      <x:c r="H763" s="1" t="str">
        <x:f>IF(ISNUMBER(F763),F763^4,"")</x:f>
      </x:c>
      <x:c r="I763" s="1"/>
      <x:c r="J763" s="1"/>
      <x:c r="K763" s="1"/>
      <x:c r="L763" s="1"/>
      <x:c r="M763" s="1"/>
      <x:c r="N763" s="1"/>
    </x:row>
    <x:row r="764" ht="22" customHeight="1">
      <x:c r="A764" s="14"/>
      <x:c r="B764" s="15"/>
      <x:c r="C764" s="16" t="str">
        <x:f>IF(AND(ISNUMBER(B764),ISNUMBER(B763),B764&gt;0,B763&gt;0),LN(B764/B763),"")</x:f>
      </x:c>
      <x:c r="D764" s="16" t="str">
        <x:f>IF(ISNUMBER(C764),ABS(C764),"")</x:f>
      </x:c>
      <x:c r="E764" s="16" t="str">
        <x:f>IF(ISNUMBER(C764),C764^2,"")</x:f>
      </x:c>
      <x:c r="F764" s="16" t="str">
        <x:f>IF(AND(ISNUMBER(C764),ISNUMBER($J$6),$J$6&gt;0),(C764-$J$5)/$J$6,"")</x:f>
      </x:c>
      <x:c r="G764" s="1" t="str">
        <x:f>IF(ISNUMBER(F764),IF(ABS(F764)&gt;3,1,0),"")</x:f>
      </x:c>
      <x:c r="H764" s="1" t="str">
        <x:f>IF(ISNUMBER(F764),F764^4,"")</x:f>
      </x:c>
      <x:c r="I764" s="1"/>
      <x:c r="J764" s="1"/>
      <x:c r="K764" s="1"/>
      <x:c r="L764" s="1"/>
      <x:c r="M764" s="1"/>
      <x:c r="N764" s="1"/>
    </x:row>
    <x:row r="765" ht="22" customHeight="1">
      <x:c r="A765" s="14"/>
      <x:c r="B765" s="15"/>
      <x:c r="C765" s="16" t="str">
        <x:f>IF(AND(ISNUMBER(B765),ISNUMBER(B764),B765&gt;0,B764&gt;0),LN(B765/B764),"")</x:f>
      </x:c>
      <x:c r="D765" s="16" t="str">
        <x:f>IF(ISNUMBER(C765),ABS(C765),"")</x:f>
      </x:c>
      <x:c r="E765" s="16" t="str">
        <x:f>IF(ISNUMBER(C765),C765^2,"")</x:f>
      </x:c>
      <x:c r="F765" s="16" t="str">
        <x:f>IF(AND(ISNUMBER(C765),ISNUMBER($J$6),$J$6&gt;0),(C765-$J$5)/$J$6,"")</x:f>
      </x:c>
      <x:c r="G765" s="1" t="str">
        <x:f>IF(ISNUMBER(F765),IF(ABS(F765)&gt;3,1,0),"")</x:f>
      </x:c>
      <x:c r="H765" s="1" t="str">
        <x:f>IF(ISNUMBER(F765),F765^4,"")</x:f>
      </x:c>
      <x:c r="I765" s="1"/>
      <x:c r="J765" s="1"/>
      <x:c r="K765" s="1"/>
      <x:c r="L765" s="1"/>
      <x:c r="M765" s="1"/>
      <x:c r="N765" s="1"/>
    </x:row>
    <x:row r="766" ht="22" customHeight="1">
      <x:c r="A766" s="14"/>
      <x:c r="B766" s="15"/>
      <x:c r="C766" s="16" t="str">
        <x:f>IF(AND(ISNUMBER(B766),ISNUMBER(B765),B766&gt;0,B765&gt;0),LN(B766/B765),"")</x:f>
      </x:c>
      <x:c r="D766" s="16" t="str">
        <x:f>IF(ISNUMBER(C766),ABS(C766),"")</x:f>
      </x:c>
      <x:c r="E766" s="16" t="str">
        <x:f>IF(ISNUMBER(C766),C766^2,"")</x:f>
      </x:c>
      <x:c r="F766" s="16" t="str">
        <x:f>IF(AND(ISNUMBER(C766),ISNUMBER($J$6),$J$6&gt;0),(C766-$J$5)/$J$6,"")</x:f>
      </x:c>
      <x:c r="G766" s="1" t="str">
        <x:f>IF(ISNUMBER(F766),IF(ABS(F766)&gt;3,1,0),"")</x:f>
      </x:c>
      <x:c r="H766" s="1" t="str">
        <x:f>IF(ISNUMBER(F766),F766^4,"")</x:f>
      </x:c>
      <x:c r="I766" s="1"/>
      <x:c r="J766" s="1"/>
      <x:c r="K766" s="1"/>
      <x:c r="L766" s="1"/>
      <x:c r="M766" s="1"/>
      <x:c r="N766" s="1"/>
    </x:row>
    <x:row r="767" ht="22" customHeight="1">
      <x:c r="A767" s="14"/>
      <x:c r="B767" s="15"/>
      <x:c r="C767" s="16" t="str">
        <x:f>IF(AND(ISNUMBER(B767),ISNUMBER(B766),B767&gt;0,B766&gt;0),LN(B767/B766),"")</x:f>
      </x:c>
      <x:c r="D767" s="16" t="str">
        <x:f>IF(ISNUMBER(C767),ABS(C767),"")</x:f>
      </x:c>
      <x:c r="E767" s="16" t="str">
        <x:f>IF(ISNUMBER(C767),C767^2,"")</x:f>
      </x:c>
      <x:c r="F767" s="16" t="str">
        <x:f>IF(AND(ISNUMBER(C767),ISNUMBER($J$6),$J$6&gt;0),(C767-$J$5)/$J$6,"")</x:f>
      </x:c>
      <x:c r="G767" s="1" t="str">
        <x:f>IF(ISNUMBER(F767),IF(ABS(F767)&gt;3,1,0),"")</x:f>
      </x:c>
      <x:c r="H767" s="1" t="str">
        <x:f>IF(ISNUMBER(F767),F767^4,"")</x:f>
      </x:c>
      <x:c r="I767" s="1"/>
      <x:c r="J767" s="1"/>
      <x:c r="K767" s="1"/>
      <x:c r="L767" s="1"/>
      <x:c r="M767" s="1"/>
      <x:c r="N767" s="1"/>
    </x:row>
    <x:row r="768" ht="22" customHeight="1">
      <x:c r="A768" s="14"/>
      <x:c r="B768" s="15"/>
      <x:c r="C768" s="16" t="str">
        <x:f>IF(AND(ISNUMBER(B768),ISNUMBER(B767),B768&gt;0,B767&gt;0),LN(B768/B767),"")</x:f>
      </x:c>
      <x:c r="D768" s="16" t="str">
        <x:f>IF(ISNUMBER(C768),ABS(C768),"")</x:f>
      </x:c>
      <x:c r="E768" s="16" t="str">
        <x:f>IF(ISNUMBER(C768),C768^2,"")</x:f>
      </x:c>
      <x:c r="F768" s="16" t="str">
        <x:f>IF(AND(ISNUMBER(C768),ISNUMBER($J$6),$J$6&gt;0),(C768-$J$5)/$J$6,"")</x:f>
      </x:c>
      <x:c r="G768" s="1" t="str">
        <x:f>IF(ISNUMBER(F768),IF(ABS(F768)&gt;3,1,0),"")</x:f>
      </x:c>
      <x:c r="H768" s="1" t="str">
        <x:f>IF(ISNUMBER(F768),F768^4,"")</x:f>
      </x:c>
      <x:c r="I768" s="1"/>
      <x:c r="J768" s="1"/>
      <x:c r="K768" s="1"/>
      <x:c r="L768" s="1"/>
      <x:c r="M768" s="1"/>
      <x:c r="N768" s="1"/>
    </x:row>
    <x:row r="769" ht="22" customHeight="1">
      <x:c r="A769" s="14"/>
      <x:c r="B769" s="15"/>
      <x:c r="C769" s="16" t="str">
        <x:f>IF(AND(ISNUMBER(B769),ISNUMBER(B768),B769&gt;0,B768&gt;0),LN(B769/B768),"")</x:f>
      </x:c>
      <x:c r="D769" s="16" t="str">
        <x:f>IF(ISNUMBER(C769),ABS(C769),"")</x:f>
      </x:c>
      <x:c r="E769" s="16" t="str">
        <x:f>IF(ISNUMBER(C769),C769^2,"")</x:f>
      </x:c>
      <x:c r="F769" s="16" t="str">
        <x:f>IF(AND(ISNUMBER(C769),ISNUMBER($J$6),$J$6&gt;0),(C769-$J$5)/$J$6,"")</x:f>
      </x:c>
      <x:c r="G769" s="1" t="str">
        <x:f>IF(ISNUMBER(F769),IF(ABS(F769)&gt;3,1,0),"")</x:f>
      </x:c>
      <x:c r="H769" s="1" t="str">
        <x:f>IF(ISNUMBER(F769),F769^4,"")</x:f>
      </x:c>
      <x:c r="I769" s="1"/>
      <x:c r="J769" s="1"/>
      <x:c r="K769" s="1"/>
      <x:c r="L769" s="1"/>
      <x:c r="M769" s="1"/>
      <x:c r="N769" s="1"/>
    </x:row>
    <x:row r="770" ht="22" customHeight="1">
      <x:c r="A770" s="14"/>
      <x:c r="B770" s="15"/>
      <x:c r="C770" s="16" t="str">
        <x:f>IF(AND(ISNUMBER(B770),ISNUMBER(B769),B770&gt;0,B769&gt;0),LN(B770/B769),"")</x:f>
      </x:c>
      <x:c r="D770" s="16" t="str">
        <x:f>IF(ISNUMBER(C770),ABS(C770),"")</x:f>
      </x:c>
      <x:c r="E770" s="16" t="str">
        <x:f>IF(ISNUMBER(C770),C770^2,"")</x:f>
      </x:c>
      <x:c r="F770" s="16" t="str">
        <x:f>IF(AND(ISNUMBER(C770),ISNUMBER($J$6),$J$6&gt;0),(C770-$J$5)/$J$6,"")</x:f>
      </x:c>
      <x:c r="G770" s="1" t="str">
        <x:f>IF(ISNUMBER(F770),IF(ABS(F770)&gt;3,1,0),"")</x:f>
      </x:c>
      <x:c r="H770" s="1" t="str">
        <x:f>IF(ISNUMBER(F770),F770^4,"")</x:f>
      </x:c>
      <x:c r="I770" s="1"/>
      <x:c r="J770" s="1"/>
      <x:c r="K770" s="1"/>
      <x:c r="L770" s="1"/>
      <x:c r="M770" s="1"/>
      <x:c r="N770" s="1"/>
    </x:row>
    <x:row r="771" ht="22" customHeight="1">
      <x:c r="A771" s="14"/>
      <x:c r="B771" s="15"/>
      <x:c r="C771" s="16" t="str">
        <x:f>IF(AND(ISNUMBER(B771),ISNUMBER(B770),B771&gt;0,B770&gt;0),LN(B771/B770),"")</x:f>
      </x:c>
      <x:c r="D771" s="16" t="str">
        <x:f>IF(ISNUMBER(C771),ABS(C771),"")</x:f>
      </x:c>
      <x:c r="E771" s="16" t="str">
        <x:f>IF(ISNUMBER(C771),C771^2,"")</x:f>
      </x:c>
      <x:c r="F771" s="16" t="str">
        <x:f>IF(AND(ISNUMBER(C771),ISNUMBER($J$6),$J$6&gt;0),(C771-$J$5)/$J$6,"")</x:f>
      </x:c>
      <x:c r="G771" s="1" t="str">
        <x:f>IF(ISNUMBER(F771),IF(ABS(F771)&gt;3,1,0),"")</x:f>
      </x:c>
      <x:c r="H771" s="1" t="str">
        <x:f>IF(ISNUMBER(F771),F771^4,"")</x:f>
      </x:c>
      <x:c r="I771" s="1"/>
      <x:c r="J771" s="1"/>
      <x:c r="K771" s="1"/>
      <x:c r="L771" s="1"/>
      <x:c r="M771" s="1"/>
      <x:c r="N771" s="1"/>
    </x:row>
    <x:row r="772" ht="22" customHeight="1">
      <x:c r="A772" s="14"/>
      <x:c r="B772" s="15"/>
      <x:c r="C772" s="16" t="str">
        <x:f>IF(AND(ISNUMBER(B772),ISNUMBER(B771),B772&gt;0,B771&gt;0),LN(B772/B771),"")</x:f>
      </x:c>
      <x:c r="D772" s="16" t="str">
        <x:f>IF(ISNUMBER(C772),ABS(C772),"")</x:f>
      </x:c>
      <x:c r="E772" s="16" t="str">
        <x:f>IF(ISNUMBER(C772),C772^2,"")</x:f>
      </x:c>
      <x:c r="F772" s="16" t="str">
        <x:f>IF(AND(ISNUMBER(C772),ISNUMBER($J$6),$J$6&gt;0),(C772-$J$5)/$J$6,"")</x:f>
      </x:c>
      <x:c r="G772" s="1" t="str">
        <x:f>IF(ISNUMBER(F772),IF(ABS(F772)&gt;3,1,0),"")</x:f>
      </x:c>
      <x:c r="H772" s="1" t="str">
        <x:f>IF(ISNUMBER(F772),F772^4,"")</x:f>
      </x:c>
      <x:c r="I772" s="1"/>
      <x:c r="J772" s="1"/>
      <x:c r="K772" s="1"/>
      <x:c r="L772" s="1"/>
      <x:c r="M772" s="1"/>
      <x:c r="N772" s="1"/>
    </x:row>
    <x:row r="773" ht="22" customHeight="1">
      <x:c r="A773" s="14"/>
      <x:c r="B773" s="15"/>
      <x:c r="C773" s="16" t="str">
        <x:f>IF(AND(ISNUMBER(B773),ISNUMBER(B772),B773&gt;0,B772&gt;0),LN(B773/B772),"")</x:f>
      </x:c>
      <x:c r="D773" s="16" t="str">
        <x:f>IF(ISNUMBER(C773),ABS(C773),"")</x:f>
      </x:c>
      <x:c r="E773" s="16" t="str">
        <x:f>IF(ISNUMBER(C773),C773^2,"")</x:f>
      </x:c>
      <x:c r="F773" s="16" t="str">
        <x:f>IF(AND(ISNUMBER(C773),ISNUMBER($J$6),$J$6&gt;0),(C773-$J$5)/$J$6,"")</x:f>
      </x:c>
      <x:c r="G773" s="1" t="str">
        <x:f>IF(ISNUMBER(F773),IF(ABS(F773)&gt;3,1,0),"")</x:f>
      </x:c>
      <x:c r="H773" s="1" t="str">
        <x:f>IF(ISNUMBER(F773),F773^4,"")</x:f>
      </x:c>
      <x:c r="I773" s="1"/>
      <x:c r="J773" s="1"/>
      <x:c r="K773" s="1"/>
      <x:c r="L773" s="1"/>
      <x:c r="M773" s="1"/>
      <x:c r="N773" s="1"/>
    </x:row>
    <x:row r="774" ht="22" customHeight="1">
      <x:c r="A774" s="14"/>
      <x:c r="B774" s="15"/>
      <x:c r="C774" s="16" t="str">
        <x:f>IF(AND(ISNUMBER(B774),ISNUMBER(B773),B774&gt;0,B773&gt;0),LN(B774/B773),"")</x:f>
      </x:c>
      <x:c r="D774" s="16" t="str">
        <x:f>IF(ISNUMBER(C774),ABS(C774),"")</x:f>
      </x:c>
      <x:c r="E774" s="16" t="str">
        <x:f>IF(ISNUMBER(C774),C774^2,"")</x:f>
      </x:c>
      <x:c r="F774" s="16" t="str">
        <x:f>IF(AND(ISNUMBER(C774),ISNUMBER($J$6),$J$6&gt;0),(C774-$J$5)/$J$6,"")</x:f>
      </x:c>
      <x:c r="G774" s="1" t="str">
        <x:f>IF(ISNUMBER(F774),IF(ABS(F774)&gt;3,1,0),"")</x:f>
      </x:c>
      <x:c r="H774" s="1" t="str">
        <x:f>IF(ISNUMBER(F774),F774^4,"")</x:f>
      </x:c>
      <x:c r="I774" s="1"/>
      <x:c r="J774" s="1"/>
      <x:c r="K774" s="1"/>
      <x:c r="L774" s="1"/>
      <x:c r="M774" s="1"/>
      <x:c r="N774" s="1"/>
    </x:row>
    <x:row r="775" ht="22" customHeight="1">
      <x:c r="A775" s="14"/>
      <x:c r="B775" s="15"/>
      <x:c r="C775" s="16" t="str">
        <x:f>IF(AND(ISNUMBER(B775),ISNUMBER(B774),B775&gt;0,B774&gt;0),LN(B775/B774),"")</x:f>
      </x:c>
      <x:c r="D775" s="16" t="str">
        <x:f>IF(ISNUMBER(C775),ABS(C775),"")</x:f>
      </x:c>
      <x:c r="E775" s="16" t="str">
        <x:f>IF(ISNUMBER(C775),C775^2,"")</x:f>
      </x:c>
      <x:c r="F775" s="16" t="str">
        <x:f>IF(AND(ISNUMBER(C775),ISNUMBER($J$6),$J$6&gt;0),(C775-$J$5)/$J$6,"")</x:f>
      </x:c>
      <x:c r="G775" s="1" t="str">
        <x:f>IF(ISNUMBER(F775),IF(ABS(F775)&gt;3,1,0),"")</x:f>
      </x:c>
      <x:c r="H775" s="1" t="str">
        <x:f>IF(ISNUMBER(F775),F775^4,"")</x:f>
      </x:c>
      <x:c r="I775" s="1"/>
      <x:c r="J775" s="1"/>
      <x:c r="K775" s="1"/>
      <x:c r="L775" s="1"/>
      <x:c r="M775" s="1"/>
      <x:c r="N775" s="1"/>
    </x:row>
    <x:row r="776" ht="22" customHeight="1">
      <x:c r="A776" s="14"/>
      <x:c r="B776" s="15"/>
      <x:c r="C776" s="16" t="str">
        <x:f>IF(AND(ISNUMBER(B776),ISNUMBER(B775),B776&gt;0,B775&gt;0),LN(B776/B775),"")</x:f>
      </x:c>
      <x:c r="D776" s="16" t="str">
        <x:f>IF(ISNUMBER(C776),ABS(C776),"")</x:f>
      </x:c>
      <x:c r="E776" s="16" t="str">
        <x:f>IF(ISNUMBER(C776),C776^2,"")</x:f>
      </x:c>
      <x:c r="F776" s="16" t="str">
        <x:f>IF(AND(ISNUMBER(C776),ISNUMBER($J$6),$J$6&gt;0),(C776-$J$5)/$J$6,"")</x:f>
      </x:c>
      <x:c r="G776" s="1" t="str">
        <x:f>IF(ISNUMBER(F776),IF(ABS(F776)&gt;3,1,0),"")</x:f>
      </x:c>
      <x:c r="H776" s="1" t="str">
        <x:f>IF(ISNUMBER(F776),F776^4,"")</x:f>
      </x:c>
      <x:c r="I776" s="1"/>
      <x:c r="J776" s="1"/>
      <x:c r="K776" s="1"/>
      <x:c r="L776" s="1"/>
      <x:c r="M776" s="1"/>
      <x:c r="N776" s="1"/>
    </x:row>
    <x:row r="777" ht="22" customHeight="1">
      <x:c r="A777" s="14"/>
      <x:c r="B777" s="15"/>
      <x:c r="C777" s="16" t="str">
        <x:f>IF(AND(ISNUMBER(B777),ISNUMBER(B776),B777&gt;0,B776&gt;0),LN(B777/B776),"")</x:f>
      </x:c>
      <x:c r="D777" s="16" t="str">
        <x:f>IF(ISNUMBER(C777),ABS(C777),"")</x:f>
      </x:c>
      <x:c r="E777" s="16" t="str">
        <x:f>IF(ISNUMBER(C777),C777^2,"")</x:f>
      </x:c>
      <x:c r="F777" s="16" t="str">
        <x:f>IF(AND(ISNUMBER(C777),ISNUMBER($J$6),$J$6&gt;0),(C777-$J$5)/$J$6,"")</x:f>
      </x:c>
      <x:c r="G777" s="1" t="str">
        <x:f>IF(ISNUMBER(F777),IF(ABS(F777)&gt;3,1,0),"")</x:f>
      </x:c>
      <x:c r="H777" s="1" t="str">
        <x:f>IF(ISNUMBER(F777),F777^4,"")</x:f>
      </x:c>
      <x:c r="I777" s="1"/>
      <x:c r="J777" s="1"/>
      <x:c r="K777" s="1"/>
      <x:c r="L777" s="1"/>
      <x:c r="M777" s="1"/>
      <x:c r="N777" s="1"/>
    </x:row>
    <x:row r="778" ht="22" customHeight="1">
      <x:c r="A778" s="14"/>
      <x:c r="B778" s="15"/>
      <x:c r="C778" s="16" t="str">
        <x:f>IF(AND(ISNUMBER(B778),ISNUMBER(B777),B778&gt;0,B777&gt;0),LN(B778/B777),"")</x:f>
      </x:c>
      <x:c r="D778" s="16" t="str">
        <x:f>IF(ISNUMBER(C778),ABS(C778),"")</x:f>
      </x:c>
      <x:c r="E778" s="16" t="str">
        <x:f>IF(ISNUMBER(C778),C778^2,"")</x:f>
      </x:c>
      <x:c r="F778" s="16" t="str">
        <x:f>IF(AND(ISNUMBER(C778),ISNUMBER($J$6),$J$6&gt;0),(C778-$J$5)/$J$6,"")</x:f>
      </x:c>
      <x:c r="G778" s="1" t="str">
        <x:f>IF(ISNUMBER(F778),IF(ABS(F778)&gt;3,1,0),"")</x:f>
      </x:c>
      <x:c r="H778" s="1" t="str">
        <x:f>IF(ISNUMBER(F778),F778^4,"")</x:f>
      </x:c>
      <x:c r="I778" s="1"/>
      <x:c r="J778" s="1"/>
      <x:c r="K778" s="1"/>
      <x:c r="L778" s="1"/>
      <x:c r="M778" s="1"/>
      <x:c r="N778" s="1"/>
    </x:row>
    <x:row r="779" ht="22" customHeight="1">
      <x:c r="A779" s="14"/>
      <x:c r="B779" s="15"/>
      <x:c r="C779" s="16" t="str">
        <x:f>IF(AND(ISNUMBER(B779),ISNUMBER(B778),B779&gt;0,B778&gt;0),LN(B779/B778),"")</x:f>
      </x:c>
      <x:c r="D779" s="16" t="str">
        <x:f>IF(ISNUMBER(C779),ABS(C779),"")</x:f>
      </x:c>
      <x:c r="E779" s="16" t="str">
        <x:f>IF(ISNUMBER(C779),C779^2,"")</x:f>
      </x:c>
      <x:c r="F779" s="16" t="str">
        <x:f>IF(AND(ISNUMBER(C779),ISNUMBER($J$6),$J$6&gt;0),(C779-$J$5)/$J$6,"")</x:f>
      </x:c>
      <x:c r="G779" s="1" t="str">
        <x:f>IF(ISNUMBER(F779),IF(ABS(F779)&gt;3,1,0),"")</x:f>
      </x:c>
      <x:c r="H779" s="1" t="str">
        <x:f>IF(ISNUMBER(F779),F779^4,"")</x:f>
      </x:c>
      <x:c r="I779" s="1"/>
      <x:c r="J779" s="1"/>
      <x:c r="K779" s="1"/>
      <x:c r="L779" s="1"/>
      <x:c r="M779" s="1"/>
      <x:c r="N779" s="1"/>
    </x:row>
    <x:row r="780" ht="22" customHeight="1">
      <x:c r="A780" s="14"/>
      <x:c r="B780" s="15"/>
      <x:c r="C780" s="16" t="str">
        <x:f>IF(AND(ISNUMBER(B780),ISNUMBER(B779),B780&gt;0,B779&gt;0),LN(B780/B779),"")</x:f>
      </x:c>
      <x:c r="D780" s="16" t="str">
        <x:f>IF(ISNUMBER(C780),ABS(C780),"")</x:f>
      </x:c>
      <x:c r="E780" s="16" t="str">
        <x:f>IF(ISNUMBER(C780),C780^2,"")</x:f>
      </x:c>
      <x:c r="F780" s="16" t="str">
        <x:f>IF(AND(ISNUMBER(C780),ISNUMBER($J$6),$J$6&gt;0),(C780-$J$5)/$J$6,"")</x:f>
      </x:c>
      <x:c r="G780" s="1" t="str">
        <x:f>IF(ISNUMBER(F780),IF(ABS(F780)&gt;3,1,0),"")</x:f>
      </x:c>
      <x:c r="H780" s="1" t="str">
        <x:f>IF(ISNUMBER(F780),F780^4,"")</x:f>
      </x:c>
      <x:c r="I780" s="1"/>
      <x:c r="J780" s="1"/>
      <x:c r="K780" s="1"/>
      <x:c r="L780" s="1"/>
      <x:c r="M780" s="1"/>
      <x:c r="N780" s="1"/>
    </x:row>
    <x:row r="781" ht="22" customHeight="1">
      <x:c r="A781" s="14"/>
      <x:c r="B781" s="15"/>
      <x:c r="C781" s="16" t="str">
        <x:f>IF(AND(ISNUMBER(B781),ISNUMBER(B780),B781&gt;0,B780&gt;0),LN(B781/B780),"")</x:f>
      </x:c>
      <x:c r="D781" s="16" t="str">
        <x:f>IF(ISNUMBER(C781),ABS(C781),"")</x:f>
      </x:c>
      <x:c r="E781" s="16" t="str">
        <x:f>IF(ISNUMBER(C781),C781^2,"")</x:f>
      </x:c>
      <x:c r="F781" s="16" t="str">
        <x:f>IF(AND(ISNUMBER(C781),ISNUMBER($J$6),$J$6&gt;0),(C781-$J$5)/$J$6,"")</x:f>
      </x:c>
      <x:c r="G781" s="1" t="str">
        <x:f>IF(ISNUMBER(F781),IF(ABS(F781)&gt;3,1,0),"")</x:f>
      </x:c>
      <x:c r="H781" s="1" t="str">
        <x:f>IF(ISNUMBER(F781),F781^4,"")</x:f>
      </x:c>
      <x:c r="I781" s="1"/>
      <x:c r="J781" s="1"/>
      <x:c r="K781" s="1"/>
      <x:c r="L781" s="1"/>
      <x:c r="M781" s="1"/>
      <x:c r="N781" s="1"/>
    </x:row>
    <x:row r="782" ht="22" customHeight="1">
      <x:c r="A782" s="14"/>
      <x:c r="B782" s="15"/>
      <x:c r="C782" s="16" t="str">
        <x:f>IF(AND(ISNUMBER(B782),ISNUMBER(B781),B782&gt;0,B781&gt;0),LN(B782/B781),"")</x:f>
      </x:c>
      <x:c r="D782" s="16" t="str">
        <x:f>IF(ISNUMBER(C782),ABS(C782),"")</x:f>
      </x:c>
      <x:c r="E782" s="16" t="str">
        <x:f>IF(ISNUMBER(C782),C782^2,"")</x:f>
      </x:c>
      <x:c r="F782" s="16" t="str">
        <x:f>IF(AND(ISNUMBER(C782),ISNUMBER($J$6),$J$6&gt;0),(C782-$J$5)/$J$6,"")</x:f>
      </x:c>
      <x:c r="G782" s="1" t="str">
        <x:f>IF(ISNUMBER(F782),IF(ABS(F782)&gt;3,1,0),"")</x:f>
      </x:c>
      <x:c r="H782" s="1" t="str">
        <x:f>IF(ISNUMBER(F782),F782^4,"")</x:f>
      </x:c>
      <x:c r="I782" s="1"/>
      <x:c r="J782" s="1"/>
      <x:c r="K782" s="1"/>
      <x:c r="L782" s="1"/>
      <x:c r="M782" s="1"/>
      <x:c r="N782" s="1"/>
    </x:row>
    <x:row r="783" ht="22" customHeight="1">
      <x:c r="A783" s="14"/>
      <x:c r="B783" s="15"/>
      <x:c r="C783" s="16" t="str">
        <x:f>IF(AND(ISNUMBER(B783),ISNUMBER(B782),B783&gt;0,B782&gt;0),LN(B783/B782),"")</x:f>
      </x:c>
      <x:c r="D783" s="16" t="str">
        <x:f>IF(ISNUMBER(C783),ABS(C783),"")</x:f>
      </x:c>
      <x:c r="E783" s="16" t="str">
        <x:f>IF(ISNUMBER(C783),C783^2,"")</x:f>
      </x:c>
      <x:c r="F783" s="16" t="str">
        <x:f>IF(AND(ISNUMBER(C783),ISNUMBER($J$6),$J$6&gt;0),(C783-$J$5)/$J$6,"")</x:f>
      </x:c>
      <x:c r="G783" s="1" t="str">
        <x:f>IF(ISNUMBER(F783),IF(ABS(F783)&gt;3,1,0),"")</x:f>
      </x:c>
      <x:c r="H783" s="1" t="str">
        <x:f>IF(ISNUMBER(F783),F783^4,"")</x:f>
      </x:c>
      <x:c r="I783" s="1"/>
      <x:c r="J783" s="1"/>
      <x:c r="K783" s="1"/>
      <x:c r="L783" s="1"/>
      <x:c r="M783" s="1"/>
      <x:c r="N783" s="1"/>
    </x:row>
    <x:row r="784" ht="22" customHeight="1">
      <x:c r="A784" s="14"/>
      <x:c r="B784" s="15"/>
      <x:c r="C784" s="16" t="str">
        <x:f>IF(AND(ISNUMBER(B784),ISNUMBER(B783),B784&gt;0,B783&gt;0),LN(B784/B783),"")</x:f>
      </x:c>
      <x:c r="D784" s="16" t="str">
        <x:f>IF(ISNUMBER(C784),ABS(C784),"")</x:f>
      </x:c>
      <x:c r="E784" s="16" t="str">
        <x:f>IF(ISNUMBER(C784),C784^2,"")</x:f>
      </x:c>
      <x:c r="F784" s="16" t="str">
        <x:f>IF(AND(ISNUMBER(C784),ISNUMBER($J$6),$J$6&gt;0),(C784-$J$5)/$J$6,"")</x:f>
      </x:c>
      <x:c r="G784" s="1" t="str">
        <x:f>IF(ISNUMBER(F784),IF(ABS(F784)&gt;3,1,0),"")</x:f>
      </x:c>
      <x:c r="H784" s="1" t="str">
        <x:f>IF(ISNUMBER(F784),F784^4,"")</x:f>
      </x:c>
      <x:c r="I784" s="1"/>
      <x:c r="J784" s="1"/>
      <x:c r="K784" s="1"/>
      <x:c r="L784" s="1"/>
      <x:c r="M784" s="1"/>
      <x:c r="N784" s="1"/>
    </x:row>
    <x:row r="785" ht="22" customHeight="1">
      <x:c r="A785" s="14"/>
      <x:c r="B785" s="15"/>
      <x:c r="C785" s="16" t="str">
        <x:f>IF(AND(ISNUMBER(B785),ISNUMBER(B784),B785&gt;0,B784&gt;0),LN(B785/B784),"")</x:f>
      </x:c>
      <x:c r="D785" s="16" t="str">
        <x:f>IF(ISNUMBER(C785),ABS(C785),"")</x:f>
      </x:c>
      <x:c r="E785" s="16" t="str">
        <x:f>IF(ISNUMBER(C785),C785^2,"")</x:f>
      </x:c>
      <x:c r="F785" s="16" t="str">
        <x:f>IF(AND(ISNUMBER(C785),ISNUMBER($J$6),$J$6&gt;0),(C785-$J$5)/$J$6,"")</x:f>
      </x:c>
      <x:c r="G785" s="1" t="str">
        <x:f>IF(ISNUMBER(F785),IF(ABS(F785)&gt;3,1,0),"")</x:f>
      </x:c>
      <x:c r="H785" s="1" t="str">
        <x:f>IF(ISNUMBER(F785),F785^4,"")</x:f>
      </x:c>
      <x:c r="I785" s="1"/>
      <x:c r="J785" s="1"/>
      <x:c r="K785" s="1"/>
      <x:c r="L785" s="1"/>
      <x:c r="M785" s="1"/>
      <x:c r="N785" s="1"/>
    </x:row>
    <x:row r="786" ht="22" customHeight="1">
      <x:c r="A786" s="14"/>
      <x:c r="B786" s="15"/>
      <x:c r="C786" s="16" t="str">
        <x:f>IF(AND(ISNUMBER(B786),ISNUMBER(B785),B786&gt;0,B785&gt;0),LN(B786/B785),"")</x:f>
      </x:c>
      <x:c r="D786" s="16" t="str">
        <x:f>IF(ISNUMBER(C786),ABS(C786),"")</x:f>
      </x:c>
      <x:c r="E786" s="16" t="str">
        <x:f>IF(ISNUMBER(C786),C786^2,"")</x:f>
      </x:c>
      <x:c r="F786" s="16" t="str">
        <x:f>IF(AND(ISNUMBER(C786),ISNUMBER($J$6),$J$6&gt;0),(C786-$J$5)/$J$6,"")</x:f>
      </x:c>
      <x:c r="G786" s="1" t="str">
        <x:f>IF(ISNUMBER(F786),IF(ABS(F786)&gt;3,1,0),"")</x:f>
      </x:c>
      <x:c r="H786" s="1" t="str">
        <x:f>IF(ISNUMBER(F786),F786^4,"")</x:f>
      </x:c>
      <x:c r="I786" s="1"/>
      <x:c r="J786" s="1"/>
      <x:c r="K786" s="1"/>
      <x:c r="L786" s="1"/>
      <x:c r="M786" s="1"/>
      <x:c r="N786" s="1"/>
    </x:row>
    <x:row r="787" ht="22" customHeight="1">
      <x:c r="A787" s="14"/>
      <x:c r="B787" s="15"/>
      <x:c r="C787" s="16" t="str">
        <x:f>IF(AND(ISNUMBER(B787),ISNUMBER(B786),B787&gt;0,B786&gt;0),LN(B787/B786),"")</x:f>
      </x:c>
      <x:c r="D787" s="16" t="str">
        <x:f>IF(ISNUMBER(C787),ABS(C787),"")</x:f>
      </x:c>
      <x:c r="E787" s="16" t="str">
        <x:f>IF(ISNUMBER(C787),C787^2,"")</x:f>
      </x:c>
      <x:c r="F787" s="16" t="str">
        <x:f>IF(AND(ISNUMBER(C787),ISNUMBER($J$6),$J$6&gt;0),(C787-$J$5)/$J$6,"")</x:f>
      </x:c>
      <x:c r="G787" s="1" t="str">
        <x:f>IF(ISNUMBER(F787),IF(ABS(F787)&gt;3,1,0),"")</x:f>
      </x:c>
      <x:c r="H787" s="1" t="str">
        <x:f>IF(ISNUMBER(F787),F787^4,"")</x:f>
      </x:c>
      <x:c r="I787" s="1"/>
      <x:c r="J787" s="1"/>
      <x:c r="K787" s="1"/>
      <x:c r="L787" s="1"/>
      <x:c r="M787" s="1"/>
      <x:c r="N787" s="1"/>
    </x:row>
    <x:row r="788" ht="22" customHeight="1">
      <x:c r="A788" s="14"/>
      <x:c r="B788" s="15"/>
      <x:c r="C788" s="16" t="str">
        <x:f>IF(AND(ISNUMBER(B788),ISNUMBER(B787),B788&gt;0,B787&gt;0),LN(B788/B787),"")</x:f>
      </x:c>
      <x:c r="D788" s="16" t="str">
        <x:f>IF(ISNUMBER(C788),ABS(C788),"")</x:f>
      </x:c>
      <x:c r="E788" s="16" t="str">
        <x:f>IF(ISNUMBER(C788),C788^2,"")</x:f>
      </x:c>
      <x:c r="F788" s="16" t="str">
        <x:f>IF(AND(ISNUMBER(C788),ISNUMBER($J$6),$J$6&gt;0),(C788-$J$5)/$J$6,"")</x:f>
      </x:c>
      <x:c r="G788" s="1" t="str">
        <x:f>IF(ISNUMBER(F788),IF(ABS(F788)&gt;3,1,0),"")</x:f>
      </x:c>
      <x:c r="H788" s="1" t="str">
        <x:f>IF(ISNUMBER(F788),F788^4,"")</x:f>
      </x:c>
      <x:c r="I788" s="1"/>
      <x:c r="J788" s="1"/>
      <x:c r="K788" s="1"/>
      <x:c r="L788" s="1"/>
      <x:c r="M788" s="1"/>
      <x:c r="N788" s="1"/>
    </x:row>
    <x:row r="789" ht="22" customHeight="1">
      <x:c r="A789" s="14"/>
      <x:c r="B789" s="15"/>
      <x:c r="C789" s="16" t="str">
        <x:f>IF(AND(ISNUMBER(B789),ISNUMBER(B788),B789&gt;0,B788&gt;0),LN(B789/B788),"")</x:f>
      </x:c>
      <x:c r="D789" s="16" t="str">
        <x:f>IF(ISNUMBER(C789),ABS(C789),"")</x:f>
      </x:c>
      <x:c r="E789" s="16" t="str">
        <x:f>IF(ISNUMBER(C789),C789^2,"")</x:f>
      </x:c>
      <x:c r="F789" s="16" t="str">
        <x:f>IF(AND(ISNUMBER(C789),ISNUMBER($J$6),$J$6&gt;0),(C789-$J$5)/$J$6,"")</x:f>
      </x:c>
      <x:c r="G789" s="1" t="str">
        <x:f>IF(ISNUMBER(F789),IF(ABS(F789)&gt;3,1,0),"")</x:f>
      </x:c>
      <x:c r="H789" s="1" t="str">
        <x:f>IF(ISNUMBER(F789),F789^4,"")</x:f>
      </x:c>
      <x:c r="I789" s="1"/>
      <x:c r="J789" s="1"/>
      <x:c r="K789" s="1"/>
      <x:c r="L789" s="1"/>
      <x:c r="M789" s="1"/>
      <x:c r="N789" s="1"/>
    </x:row>
    <x:row r="790" ht="22" customHeight="1">
      <x:c r="A790" s="14"/>
      <x:c r="B790" s="15"/>
      <x:c r="C790" s="16" t="str">
        <x:f>IF(AND(ISNUMBER(B790),ISNUMBER(B789),B790&gt;0,B789&gt;0),LN(B790/B789),"")</x:f>
      </x:c>
      <x:c r="D790" s="16" t="str">
        <x:f>IF(ISNUMBER(C790),ABS(C790),"")</x:f>
      </x:c>
      <x:c r="E790" s="16" t="str">
        <x:f>IF(ISNUMBER(C790),C790^2,"")</x:f>
      </x:c>
      <x:c r="F790" s="16" t="str">
        <x:f>IF(AND(ISNUMBER(C790),ISNUMBER($J$6),$J$6&gt;0),(C790-$J$5)/$J$6,"")</x:f>
      </x:c>
      <x:c r="G790" s="1" t="str">
        <x:f>IF(ISNUMBER(F790),IF(ABS(F790)&gt;3,1,0),"")</x:f>
      </x:c>
      <x:c r="H790" s="1" t="str">
        <x:f>IF(ISNUMBER(F790),F790^4,"")</x:f>
      </x:c>
      <x:c r="I790" s="1"/>
      <x:c r="J790" s="1"/>
      <x:c r="K790" s="1"/>
      <x:c r="L790" s="1"/>
      <x:c r="M790" s="1"/>
      <x:c r="N790" s="1"/>
    </x:row>
    <x:row r="791" ht="22" customHeight="1">
      <x:c r="A791" s="14"/>
      <x:c r="B791" s="15"/>
      <x:c r="C791" s="16" t="str">
        <x:f>IF(AND(ISNUMBER(B791),ISNUMBER(B790),B791&gt;0,B790&gt;0),LN(B791/B790),"")</x:f>
      </x:c>
      <x:c r="D791" s="16" t="str">
        <x:f>IF(ISNUMBER(C791),ABS(C791),"")</x:f>
      </x:c>
      <x:c r="E791" s="16" t="str">
        <x:f>IF(ISNUMBER(C791),C791^2,"")</x:f>
      </x:c>
      <x:c r="F791" s="16" t="str">
        <x:f>IF(AND(ISNUMBER(C791),ISNUMBER($J$6),$J$6&gt;0),(C791-$J$5)/$J$6,"")</x:f>
      </x:c>
      <x:c r="G791" s="1" t="str">
        <x:f>IF(ISNUMBER(F791),IF(ABS(F791)&gt;3,1,0),"")</x:f>
      </x:c>
      <x:c r="H791" s="1" t="str">
        <x:f>IF(ISNUMBER(F791),F791^4,"")</x:f>
      </x:c>
      <x:c r="I791" s="1"/>
      <x:c r="J791" s="1"/>
      <x:c r="K791" s="1"/>
      <x:c r="L791" s="1"/>
      <x:c r="M791" s="1"/>
      <x:c r="N791" s="1"/>
    </x:row>
    <x:row r="792" ht="22" customHeight="1">
      <x:c r="A792" s="14"/>
      <x:c r="B792" s="15"/>
      <x:c r="C792" s="16" t="str">
        <x:f>IF(AND(ISNUMBER(B792),ISNUMBER(B791),B792&gt;0,B791&gt;0),LN(B792/B791),"")</x:f>
      </x:c>
      <x:c r="D792" s="16" t="str">
        <x:f>IF(ISNUMBER(C792),ABS(C792),"")</x:f>
      </x:c>
      <x:c r="E792" s="16" t="str">
        <x:f>IF(ISNUMBER(C792),C792^2,"")</x:f>
      </x:c>
      <x:c r="F792" s="16" t="str">
        <x:f>IF(AND(ISNUMBER(C792),ISNUMBER($J$6),$J$6&gt;0),(C792-$J$5)/$J$6,"")</x:f>
      </x:c>
      <x:c r="G792" s="1" t="str">
        <x:f>IF(ISNUMBER(F792),IF(ABS(F792)&gt;3,1,0),"")</x:f>
      </x:c>
      <x:c r="H792" s="1" t="str">
        <x:f>IF(ISNUMBER(F792),F792^4,"")</x:f>
      </x:c>
      <x:c r="I792" s="1"/>
      <x:c r="J792" s="1"/>
      <x:c r="K792" s="1"/>
      <x:c r="L792" s="1"/>
      <x:c r="M792" s="1"/>
      <x:c r="N792" s="1"/>
    </x:row>
    <x:row r="793" ht="22" customHeight="1">
      <x:c r="A793" s="14"/>
      <x:c r="B793" s="15"/>
      <x:c r="C793" s="16" t="str">
        <x:f>IF(AND(ISNUMBER(B793),ISNUMBER(B792),B793&gt;0,B792&gt;0),LN(B793/B792),"")</x:f>
      </x:c>
      <x:c r="D793" s="16" t="str">
        <x:f>IF(ISNUMBER(C793),ABS(C793),"")</x:f>
      </x:c>
      <x:c r="E793" s="16" t="str">
        <x:f>IF(ISNUMBER(C793),C793^2,"")</x:f>
      </x:c>
      <x:c r="F793" s="16" t="str">
        <x:f>IF(AND(ISNUMBER(C793),ISNUMBER($J$6),$J$6&gt;0),(C793-$J$5)/$J$6,"")</x:f>
      </x:c>
      <x:c r="G793" s="1" t="str">
        <x:f>IF(ISNUMBER(F793),IF(ABS(F793)&gt;3,1,0),"")</x:f>
      </x:c>
      <x:c r="H793" s="1" t="str">
        <x:f>IF(ISNUMBER(F793),F793^4,"")</x:f>
      </x:c>
      <x:c r="I793" s="1"/>
      <x:c r="J793" s="1"/>
      <x:c r="K793" s="1"/>
      <x:c r="L793" s="1"/>
      <x:c r="M793" s="1"/>
      <x:c r="N793" s="1"/>
    </x:row>
    <x:row r="794" ht="22" customHeight="1">
      <x:c r="A794" s="14"/>
      <x:c r="B794" s="15"/>
      <x:c r="C794" s="16" t="str">
        <x:f>IF(AND(ISNUMBER(B794),ISNUMBER(B793),B794&gt;0,B793&gt;0),LN(B794/B793),"")</x:f>
      </x:c>
      <x:c r="D794" s="16" t="str">
        <x:f>IF(ISNUMBER(C794),ABS(C794),"")</x:f>
      </x:c>
      <x:c r="E794" s="16" t="str">
        <x:f>IF(ISNUMBER(C794),C794^2,"")</x:f>
      </x:c>
      <x:c r="F794" s="16" t="str">
        <x:f>IF(AND(ISNUMBER(C794),ISNUMBER($J$6),$J$6&gt;0),(C794-$J$5)/$J$6,"")</x:f>
      </x:c>
      <x:c r="G794" s="1" t="str">
        <x:f>IF(ISNUMBER(F794),IF(ABS(F794)&gt;3,1,0),"")</x:f>
      </x:c>
      <x:c r="H794" s="1" t="str">
        <x:f>IF(ISNUMBER(F794),F794^4,"")</x:f>
      </x:c>
      <x:c r="I794" s="1"/>
      <x:c r="J794" s="1"/>
      <x:c r="K794" s="1"/>
      <x:c r="L794" s="1"/>
      <x:c r="M794" s="1"/>
      <x:c r="N794" s="1"/>
    </x:row>
    <x:row r="795" ht="22" customHeight="1">
      <x:c r="A795" s="14"/>
      <x:c r="B795" s="15"/>
      <x:c r="C795" s="16" t="str">
        <x:f>IF(AND(ISNUMBER(B795),ISNUMBER(B794),B795&gt;0,B794&gt;0),LN(B795/B794),"")</x:f>
      </x:c>
      <x:c r="D795" s="16" t="str">
        <x:f>IF(ISNUMBER(C795),ABS(C795),"")</x:f>
      </x:c>
      <x:c r="E795" s="16" t="str">
        <x:f>IF(ISNUMBER(C795),C795^2,"")</x:f>
      </x:c>
      <x:c r="F795" s="16" t="str">
        <x:f>IF(AND(ISNUMBER(C795),ISNUMBER($J$6),$J$6&gt;0),(C795-$J$5)/$J$6,"")</x:f>
      </x:c>
      <x:c r="G795" s="1" t="str">
        <x:f>IF(ISNUMBER(F795),IF(ABS(F795)&gt;3,1,0),"")</x:f>
      </x:c>
      <x:c r="H795" s="1" t="str">
        <x:f>IF(ISNUMBER(F795),F795^4,"")</x:f>
      </x:c>
      <x:c r="I795" s="1"/>
      <x:c r="J795" s="1"/>
      <x:c r="K795" s="1"/>
      <x:c r="L795" s="1"/>
      <x:c r="M795" s="1"/>
      <x:c r="N795" s="1"/>
    </x:row>
    <x:row r="796" ht="22" customHeight="1">
      <x:c r="A796" s="14"/>
      <x:c r="B796" s="15"/>
      <x:c r="C796" s="16" t="str">
        <x:f>IF(AND(ISNUMBER(B796),ISNUMBER(B795),B796&gt;0,B795&gt;0),LN(B796/B795),"")</x:f>
      </x:c>
      <x:c r="D796" s="16" t="str">
        <x:f>IF(ISNUMBER(C796),ABS(C796),"")</x:f>
      </x:c>
      <x:c r="E796" s="16" t="str">
        <x:f>IF(ISNUMBER(C796),C796^2,"")</x:f>
      </x:c>
      <x:c r="F796" s="16" t="str">
        <x:f>IF(AND(ISNUMBER(C796),ISNUMBER($J$6),$J$6&gt;0),(C796-$J$5)/$J$6,"")</x:f>
      </x:c>
      <x:c r="G796" s="1" t="str">
        <x:f>IF(ISNUMBER(F796),IF(ABS(F796)&gt;3,1,0),"")</x:f>
      </x:c>
      <x:c r="H796" s="1" t="str">
        <x:f>IF(ISNUMBER(F796),F796^4,"")</x:f>
      </x:c>
      <x:c r="I796" s="1"/>
      <x:c r="J796" s="1"/>
      <x:c r="K796" s="1"/>
      <x:c r="L796" s="1"/>
      <x:c r="M796" s="1"/>
      <x:c r="N796" s="1"/>
    </x:row>
    <x:row r="797" ht="22" customHeight="1">
      <x:c r="A797" s="14"/>
      <x:c r="B797" s="15"/>
      <x:c r="C797" s="16" t="str">
        <x:f>IF(AND(ISNUMBER(B797),ISNUMBER(B796),B797&gt;0,B796&gt;0),LN(B797/B796),"")</x:f>
      </x:c>
      <x:c r="D797" s="16" t="str">
        <x:f>IF(ISNUMBER(C797),ABS(C797),"")</x:f>
      </x:c>
      <x:c r="E797" s="16" t="str">
        <x:f>IF(ISNUMBER(C797),C797^2,"")</x:f>
      </x:c>
      <x:c r="F797" s="16" t="str">
        <x:f>IF(AND(ISNUMBER(C797),ISNUMBER($J$6),$J$6&gt;0),(C797-$J$5)/$J$6,"")</x:f>
      </x:c>
      <x:c r="G797" s="1" t="str">
        <x:f>IF(ISNUMBER(F797),IF(ABS(F797)&gt;3,1,0),"")</x:f>
      </x:c>
      <x:c r="H797" s="1" t="str">
        <x:f>IF(ISNUMBER(F797),F797^4,"")</x:f>
      </x:c>
      <x:c r="I797" s="1"/>
      <x:c r="J797" s="1"/>
      <x:c r="K797" s="1"/>
      <x:c r="L797" s="1"/>
      <x:c r="M797" s="1"/>
      <x:c r="N797" s="1"/>
    </x:row>
    <x:row r="798" ht="22" customHeight="1">
      <x:c r="A798" s="14"/>
      <x:c r="B798" s="15"/>
      <x:c r="C798" s="16" t="str">
        <x:f>IF(AND(ISNUMBER(B798),ISNUMBER(B797),B798&gt;0,B797&gt;0),LN(B798/B797),"")</x:f>
      </x:c>
      <x:c r="D798" s="16" t="str">
        <x:f>IF(ISNUMBER(C798),ABS(C798),"")</x:f>
      </x:c>
      <x:c r="E798" s="16" t="str">
        <x:f>IF(ISNUMBER(C798),C798^2,"")</x:f>
      </x:c>
      <x:c r="F798" s="16" t="str">
        <x:f>IF(AND(ISNUMBER(C798),ISNUMBER($J$6),$J$6&gt;0),(C798-$J$5)/$J$6,"")</x:f>
      </x:c>
      <x:c r="G798" s="1" t="str">
        <x:f>IF(ISNUMBER(F798),IF(ABS(F798)&gt;3,1,0),"")</x:f>
      </x:c>
      <x:c r="H798" s="1" t="str">
        <x:f>IF(ISNUMBER(F798),F798^4,"")</x:f>
      </x:c>
      <x:c r="I798" s="1"/>
      <x:c r="J798" s="1"/>
      <x:c r="K798" s="1"/>
      <x:c r="L798" s="1"/>
      <x:c r="M798" s="1"/>
      <x:c r="N798" s="1"/>
    </x:row>
    <x:row r="799" ht="22" customHeight="1">
      <x:c r="A799" s="14"/>
      <x:c r="B799" s="15"/>
      <x:c r="C799" s="16" t="str">
        <x:f>IF(AND(ISNUMBER(B799),ISNUMBER(B798),B799&gt;0,B798&gt;0),LN(B799/B798),"")</x:f>
      </x:c>
      <x:c r="D799" s="16" t="str">
        <x:f>IF(ISNUMBER(C799),ABS(C799),"")</x:f>
      </x:c>
      <x:c r="E799" s="16" t="str">
        <x:f>IF(ISNUMBER(C799),C799^2,"")</x:f>
      </x:c>
      <x:c r="F799" s="16" t="str">
        <x:f>IF(AND(ISNUMBER(C799),ISNUMBER($J$6),$J$6&gt;0),(C799-$J$5)/$J$6,"")</x:f>
      </x:c>
      <x:c r="G799" s="1" t="str">
        <x:f>IF(ISNUMBER(F799),IF(ABS(F799)&gt;3,1,0),"")</x:f>
      </x:c>
      <x:c r="H799" s="1" t="str">
        <x:f>IF(ISNUMBER(F799),F799^4,"")</x:f>
      </x:c>
      <x:c r="I799" s="1"/>
      <x:c r="J799" s="1"/>
      <x:c r="K799" s="1"/>
      <x:c r="L799" s="1"/>
      <x:c r="M799" s="1"/>
      <x:c r="N799" s="1"/>
    </x:row>
    <x:row r="800" ht="22" customHeight="1">
      <x:c r="A800" s="14"/>
      <x:c r="B800" s="15"/>
      <x:c r="C800" s="16" t="str">
        <x:f>IF(AND(ISNUMBER(B800),ISNUMBER(B799),B800&gt;0,B799&gt;0),LN(B800/B799),"")</x:f>
      </x:c>
      <x:c r="D800" s="16" t="str">
        <x:f>IF(ISNUMBER(C800),ABS(C800),"")</x:f>
      </x:c>
      <x:c r="E800" s="16" t="str">
        <x:f>IF(ISNUMBER(C800),C800^2,"")</x:f>
      </x:c>
      <x:c r="F800" s="16" t="str">
        <x:f>IF(AND(ISNUMBER(C800),ISNUMBER($J$6),$J$6&gt;0),(C800-$J$5)/$J$6,"")</x:f>
      </x:c>
      <x:c r="G800" s="1" t="str">
        <x:f>IF(ISNUMBER(F800),IF(ABS(F800)&gt;3,1,0),"")</x:f>
      </x:c>
      <x:c r="H800" s="1" t="str">
        <x:f>IF(ISNUMBER(F800),F800^4,"")</x:f>
      </x:c>
      <x:c r="I800" s="1"/>
      <x:c r="J800" s="1"/>
      <x:c r="K800" s="1"/>
      <x:c r="L800" s="1"/>
      <x:c r="M800" s="1"/>
      <x:c r="N800" s="1"/>
    </x:row>
    <x:row r="801" ht="22" customHeight="1">
      <x:c r="A801" s="14"/>
      <x:c r="B801" s="15"/>
      <x:c r="C801" s="16" t="str">
        <x:f>IF(AND(ISNUMBER(B801),ISNUMBER(B800),B801&gt;0,B800&gt;0),LN(B801/B800),"")</x:f>
      </x:c>
      <x:c r="D801" s="16" t="str">
        <x:f>IF(ISNUMBER(C801),ABS(C801),"")</x:f>
      </x:c>
      <x:c r="E801" s="16" t="str">
        <x:f>IF(ISNUMBER(C801),C801^2,"")</x:f>
      </x:c>
      <x:c r="F801" s="16" t="str">
        <x:f>IF(AND(ISNUMBER(C801),ISNUMBER($J$6),$J$6&gt;0),(C801-$J$5)/$J$6,"")</x:f>
      </x:c>
      <x:c r="G801" s="1" t="str">
        <x:f>IF(ISNUMBER(F801),IF(ABS(F801)&gt;3,1,0),"")</x:f>
      </x:c>
      <x:c r="H801" s="1" t="str">
        <x:f>IF(ISNUMBER(F801),F801^4,"")</x:f>
      </x:c>
      <x:c r="I801" s="1"/>
      <x:c r="J801" s="1"/>
      <x:c r="K801" s="1"/>
      <x:c r="L801" s="1"/>
      <x:c r="M801" s="1"/>
      <x:c r="N801" s="1"/>
    </x:row>
    <x:row r="802" ht="22" customHeight="1">
      <x:c r="A802" s="14"/>
      <x:c r="B802" s="15"/>
      <x:c r="C802" s="16" t="str">
        <x:f>IF(AND(ISNUMBER(B802),ISNUMBER(B801),B802&gt;0,B801&gt;0),LN(B802/B801),"")</x:f>
      </x:c>
      <x:c r="D802" s="16" t="str">
        <x:f>IF(ISNUMBER(C802),ABS(C802),"")</x:f>
      </x:c>
      <x:c r="E802" s="16" t="str">
        <x:f>IF(ISNUMBER(C802),C802^2,"")</x:f>
      </x:c>
      <x:c r="F802" s="16" t="str">
        <x:f>IF(AND(ISNUMBER(C802),ISNUMBER($J$6),$J$6&gt;0),(C802-$J$5)/$J$6,"")</x:f>
      </x:c>
      <x:c r="G802" s="1" t="str">
        <x:f>IF(ISNUMBER(F802),IF(ABS(F802)&gt;3,1,0),"")</x:f>
      </x:c>
      <x:c r="H802" s="1" t="str">
        <x:f>IF(ISNUMBER(F802),F802^4,"")</x:f>
      </x:c>
      <x:c r="I802" s="1"/>
      <x:c r="J802" s="1"/>
      <x:c r="K802" s="1"/>
      <x:c r="L802" s="1"/>
      <x:c r="M802" s="1"/>
      <x:c r="N802" s="1"/>
    </x:row>
    <x:row r="803" ht="22" customHeight="1">
      <x:c r="A803" s="14"/>
      <x:c r="B803" s="15"/>
      <x:c r="C803" s="16" t="str">
        <x:f>IF(AND(ISNUMBER(B803),ISNUMBER(B802),B803&gt;0,B802&gt;0),LN(B803/B802),"")</x:f>
      </x:c>
      <x:c r="D803" s="16" t="str">
        <x:f>IF(ISNUMBER(C803),ABS(C803),"")</x:f>
      </x:c>
      <x:c r="E803" s="16" t="str">
        <x:f>IF(ISNUMBER(C803),C803^2,"")</x:f>
      </x:c>
      <x:c r="F803" s="16" t="str">
        <x:f>IF(AND(ISNUMBER(C803),ISNUMBER($J$6),$J$6&gt;0),(C803-$J$5)/$J$6,"")</x:f>
      </x:c>
      <x:c r="G803" s="1" t="str">
        <x:f>IF(ISNUMBER(F803),IF(ABS(F803)&gt;3,1,0),"")</x:f>
      </x:c>
      <x:c r="H803" s="1" t="str">
        <x:f>IF(ISNUMBER(F803),F803^4,"")</x:f>
      </x:c>
      <x:c r="I803" s="1"/>
      <x:c r="J803" s="1"/>
      <x:c r="K803" s="1"/>
      <x:c r="L803" s="1"/>
      <x:c r="M803" s="1"/>
      <x:c r="N803" s="1"/>
    </x:row>
    <x:row r="804" ht="22" customHeight="1">
      <x:c r="A804" s="14"/>
      <x:c r="B804" s="15"/>
      <x:c r="C804" s="16" t="str">
        <x:f>IF(AND(ISNUMBER(B804),ISNUMBER(B803),B804&gt;0,B803&gt;0),LN(B804/B803),"")</x:f>
      </x:c>
      <x:c r="D804" s="16" t="str">
        <x:f>IF(ISNUMBER(C804),ABS(C804),"")</x:f>
      </x:c>
      <x:c r="E804" s="16" t="str">
        <x:f>IF(ISNUMBER(C804),C804^2,"")</x:f>
      </x:c>
      <x:c r="F804" s="16" t="str">
        <x:f>IF(AND(ISNUMBER(C804),ISNUMBER($J$6),$J$6&gt;0),(C804-$J$5)/$J$6,"")</x:f>
      </x:c>
      <x:c r="G804" s="1" t="str">
        <x:f>IF(ISNUMBER(F804),IF(ABS(F804)&gt;3,1,0),"")</x:f>
      </x:c>
      <x:c r="H804" s="1" t="str">
        <x:f>IF(ISNUMBER(F804),F804^4,"")</x:f>
      </x:c>
      <x:c r="I804" s="1"/>
      <x:c r="J804" s="1"/>
      <x:c r="K804" s="1"/>
      <x:c r="L804" s="1"/>
      <x:c r="M804" s="1"/>
      <x:c r="N804" s="1"/>
    </x:row>
    <x:row r="805" ht="22" customHeight="1">
      <x:c r="A805" s="14"/>
      <x:c r="B805" s="15"/>
      <x:c r="C805" s="16" t="str">
        <x:f>IF(AND(ISNUMBER(B805),ISNUMBER(B804),B805&gt;0,B804&gt;0),LN(B805/B804),"")</x:f>
      </x:c>
      <x:c r="D805" s="16" t="str">
        <x:f>IF(ISNUMBER(C805),ABS(C805),"")</x:f>
      </x:c>
      <x:c r="E805" s="16" t="str">
        <x:f>IF(ISNUMBER(C805),C805^2,"")</x:f>
      </x:c>
      <x:c r="F805" s="16" t="str">
        <x:f>IF(AND(ISNUMBER(C805),ISNUMBER($J$6),$J$6&gt;0),(C805-$J$5)/$J$6,"")</x:f>
      </x:c>
      <x:c r="G805" s="1" t="str">
        <x:f>IF(ISNUMBER(F805),IF(ABS(F805)&gt;3,1,0),"")</x:f>
      </x:c>
      <x:c r="H805" s="1" t="str">
        <x:f>IF(ISNUMBER(F805),F805^4,"")</x:f>
      </x:c>
      <x:c r="I805" s="1"/>
      <x:c r="J805" s="1"/>
      <x:c r="K805" s="1"/>
      <x:c r="L805" s="1"/>
      <x:c r="M805" s="1"/>
      <x:c r="N805" s="1"/>
    </x:row>
    <x:row r="806" ht="22" customHeight="1">
      <x:c r="A806" s="14"/>
      <x:c r="B806" s="15"/>
      <x:c r="C806" s="16" t="str">
        <x:f>IF(AND(ISNUMBER(B806),ISNUMBER(B805),B806&gt;0,B805&gt;0),LN(B806/B805),"")</x:f>
      </x:c>
      <x:c r="D806" s="16" t="str">
        <x:f>IF(ISNUMBER(C806),ABS(C806),"")</x:f>
      </x:c>
      <x:c r="E806" s="16" t="str">
        <x:f>IF(ISNUMBER(C806),C806^2,"")</x:f>
      </x:c>
      <x:c r="F806" s="16" t="str">
        <x:f>IF(AND(ISNUMBER(C806),ISNUMBER($J$6),$J$6&gt;0),(C806-$J$5)/$J$6,"")</x:f>
      </x:c>
      <x:c r="G806" s="1" t="str">
        <x:f>IF(ISNUMBER(F806),IF(ABS(F806)&gt;3,1,0),"")</x:f>
      </x:c>
      <x:c r="H806" s="1" t="str">
        <x:f>IF(ISNUMBER(F806),F806^4,"")</x:f>
      </x:c>
      <x:c r="I806" s="1"/>
      <x:c r="J806" s="1"/>
      <x:c r="K806" s="1"/>
      <x:c r="L806" s="1"/>
      <x:c r="M806" s="1"/>
      <x:c r="N806" s="1"/>
    </x:row>
    <x:row r="807" ht="22" customHeight="1">
      <x:c r="A807" s="14"/>
      <x:c r="B807" s="15"/>
      <x:c r="C807" s="16" t="str">
        <x:f>IF(AND(ISNUMBER(B807),ISNUMBER(B806),B807&gt;0,B806&gt;0),LN(B807/B806),"")</x:f>
      </x:c>
      <x:c r="D807" s="16" t="str">
        <x:f>IF(ISNUMBER(C807),ABS(C807),"")</x:f>
      </x:c>
      <x:c r="E807" s="16" t="str">
        <x:f>IF(ISNUMBER(C807),C807^2,"")</x:f>
      </x:c>
      <x:c r="F807" s="16" t="str">
        <x:f>IF(AND(ISNUMBER(C807),ISNUMBER($J$6),$J$6&gt;0),(C807-$J$5)/$J$6,"")</x:f>
      </x:c>
      <x:c r="G807" s="1" t="str">
        <x:f>IF(ISNUMBER(F807),IF(ABS(F807)&gt;3,1,0),"")</x:f>
      </x:c>
      <x:c r="H807" s="1" t="str">
        <x:f>IF(ISNUMBER(F807),F807^4,"")</x:f>
      </x:c>
      <x:c r="I807" s="1"/>
      <x:c r="J807" s="1"/>
      <x:c r="K807" s="1"/>
      <x:c r="L807" s="1"/>
      <x:c r="M807" s="1"/>
      <x:c r="N807" s="1"/>
    </x:row>
    <x:row r="808" ht="22" customHeight="1">
      <x:c r="A808" s="14"/>
      <x:c r="B808" s="15"/>
      <x:c r="C808" s="16" t="str">
        <x:f>IF(AND(ISNUMBER(B808),ISNUMBER(B807),B808&gt;0,B807&gt;0),LN(B808/B807),"")</x:f>
      </x:c>
      <x:c r="D808" s="16" t="str">
        <x:f>IF(ISNUMBER(C808),ABS(C808),"")</x:f>
      </x:c>
      <x:c r="E808" s="16" t="str">
        <x:f>IF(ISNUMBER(C808),C808^2,"")</x:f>
      </x:c>
      <x:c r="F808" s="16" t="str">
        <x:f>IF(AND(ISNUMBER(C808),ISNUMBER($J$6),$J$6&gt;0),(C808-$J$5)/$J$6,"")</x:f>
      </x:c>
      <x:c r="G808" s="1" t="str">
        <x:f>IF(ISNUMBER(F808),IF(ABS(F808)&gt;3,1,0),"")</x:f>
      </x:c>
      <x:c r="H808" s="1" t="str">
        <x:f>IF(ISNUMBER(F808),F808^4,"")</x:f>
      </x:c>
      <x:c r="I808" s="1"/>
      <x:c r="J808" s="1"/>
      <x:c r="K808" s="1"/>
      <x:c r="L808" s="1"/>
      <x:c r="M808" s="1"/>
      <x:c r="N808" s="1"/>
    </x:row>
    <x:row r="809" ht="22" customHeight="1">
      <x:c r="A809" s="14"/>
      <x:c r="B809" s="15"/>
      <x:c r="C809" s="16" t="str">
        <x:f>IF(AND(ISNUMBER(B809),ISNUMBER(B808),B809&gt;0,B808&gt;0),LN(B809/B808),"")</x:f>
      </x:c>
      <x:c r="D809" s="16" t="str">
        <x:f>IF(ISNUMBER(C809),ABS(C809),"")</x:f>
      </x:c>
      <x:c r="E809" s="16" t="str">
        <x:f>IF(ISNUMBER(C809),C809^2,"")</x:f>
      </x:c>
      <x:c r="F809" s="16" t="str">
        <x:f>IF(AND(ISNUMBER(C809),ISNUMBER($J$6),$J$6&gt;0),(C809-$J$5)/$J$6,"")</x:f>
      </x:c>
      <x:c r="G809" s="1" t="str">
        <x:f>IF(ISNUMBER(F809),IF(ABS(F809)&gt;3,1,0),"")</x:f>
      </x:c>
      <x:c r="H809" s="1" t="str">
        <x:f>IF(ISNUMBER(F809),F809^4,"")</x:f>
      </x:c>
      <x:c r="I809" s="1"/>
      <x:c r="J809" s="1"/>
      <x:c r="K809" s="1"/>
      <x:c r="L809" s="1"/>
      <x:c r="M809" s="1"/>
      <x:c r="N809" s="1"/>
    </x:row>
    <x:row r="810" ht="22" customHeight="1">
      <x:c r="A810" s="14"/>
      <x:c r="B810" s="15"/>
      <x:c r="C810" s="16" t="str">
        <x:f>IF(AND(ISNUMBER(B810),ISNUMBER(B809),B810&gt;0,B809&gt;0),LN(B810/B809),"")</x:f>
      </x:c>
      <x:c r="D810" s="16" t="str">
        <x:f>IF(ISNUMBER(C810),ABS(C810),"")</x:f>
      </x:c>
      <x:c r="E810" s="16" t="str">
        <x:f>IF(ISNUMBER(C810),C810^2,"")</x:f>
      </x:c>
      <x:c r="F810" s="16" t="str">
        <x:f>IF(AND(ISNUMBER(C810),ISNUMBER($J$6),$J$6&gt;0),(C810-$J$5)/$J$6,"")</x:f>
      </x:c>
      <x:c r="G810" s="1" t="str">
        <x:f>IF(ISNUMBER(F810),IF(ABS(F810)&gt;3,1,0),"")</x:f>
      </x:c>
      <x:c r="H810" s="1" t="str">
        <x:f>IF(ISNUMBER(F810),F810^4,"")</x:f>
      </x:c>
      <x:c r="I810" s="1"/>
      <x:c r="J810" s="1"/>
      <x:c r="K810" s="1"/>
      <x:c r="L810" s="1"/>
      <x:c r="M810" s="1"/>
      <x:c r="N810" s="1"/>
    </x:row>
    <x:row r="811" ht="22" customHeight="1">
      <x:c r="A811" s="14"/>
      <x:c r="B811" s="15"/>
      <x:c r="C811" s="16" t="str">
        <x:f>IF(AND(ISNUMBER(B811),ISNUMBER(B810),B811&gt;0,B810&gt;0),LN(B811/B810),"")</x:f>
      </x:c>
      <x:c r="D811" s="16" t="str">
        <x:f>IF(ISNUMBER(C811),ABS(C811),"")</x:f>
      </x:c>
      <x:c r="E811" s="16" t="str">
        <x:f>IF(ISNUMBER(C811),C811^2,"")</x:f>
      </x:c>
      <x:c r="F811" s="16" t="str">
        <x:f>IF(AND(ISNUMBER(C811),ISNUMBER($J$6),$J$6&gt;0),(C811-$J$5)/$J$6,"")</x:f>
      </x:c>
      <x:c r="G811" s="1" t="str">
        <x:f>IF(ISNUMBER(F811),IF(ABS(F811)&gt;3,1,0),"")</x:f>
      </x:c>
      <x:c r="H811" s="1" t="str">
        <x:f>IF(ISNUMBER(F811),F811^4,"")</x:f>
      </x:c>
      <x:c r="I811" s="1"/>
      <x:c r="J811" s="1"/>
      <x:c r="K811" s="1"/>
      <x:c r="L811" s="1"/>
      <x:c r="M811" s="1"/>
      <x:c r="N811" s="1"/>
    </x:row>
    <x:row r="812" ht="22" customHeight="1">
      <x:c r="A812" s="14"/>
      <x:c r="B812" s="15"/>
      <x:c r="C812" s="16" t="str">
        <x:f>IF(AND(ISNUMBER(B812),ISNUMBER(B811),B812&gt;0,B811&gt;0),LN(B812/B811),"")</x:f>
      </x:c>
      <x:c r="D812" s="16" t="str">
        <x:f>IF(ISNUMBER(C812),ABS(C812),"")</x:f>
      </x:c>
      <x:c r="E812" s="16" t="str">
        <x:f>IF(ISNUMBER(C812),C812^2,"")</x:f>
      </x:c>
      <x:c r="F812" s="16" t="str">
        <x:f>IF(AND(ISNUMBER(C812),ISNUMBER($J$6),$J$6&gt;0),(C812-$J$5)/$J$6,"")</x:f>
      </x:c>
      <x:c r="G812" s="1" t="str">
        <x:f>IF(ISNUMBER(F812),IF(ABS(F812)&gt;3,1,0),"")</x:f>
      </x:c>
      <x:c r="H812" s="1" t="str">
        <x:f>IF(ISNUMBER(F812),F812^4,"")</x:f>
      </x:c>
      <x:c r="I812" s="1"/>
      <x:c r="J812" s="1"/>
      <x:c r="K812" s="1"/>
      <x:c r="L812" s="1"/>
      <x:c r="M812" s="1"/>
      <x:c r="N812" s="1"/>
    </x:row>
    <x:row r="813" ht="22" customHeight="1">
      <x:c r="A813" s="14"/>
      <x:c r="B813" s="15"/>
      <x:c r="C813" s="16" t="str">
        <x:f>IF(AND(ISNUMBER(B813),ISNUMBER(B812),B813&gt;0,B812&gt;0),LN(B813/B812),"")</x:f>
      </x:c>
      <x:c r="D813" s="16" t="str">
        <x:f>IF(ISNUMBER(C813),ABS(C813),"")</x:f>
      </x:c>
      <x:c r="E813" s="16" t="str">
        <x:f>IF(ISNUMBER(C813),C813^2,"")</x:f>
      </x:c>
      <x:c r="F813" s="16" t="str">
        <x:f>IF(AND(ISNUMBER(C813),ISNUMBER($J$6),$J$6&gt;0),(C813-$J$5)/$J$6,"")</x:f>
      </x:c>
      <x:c r="G813" s="1" t="str">
        <x:f>IF(ISNUMBER(F813),IF(ABS(F813)&gt;3,1,0),"")</x:f>
      </x:c>
      <x:c r="H813" s="1" t="str">
        <x:f>IF(ISNUMBER(F813),F813^4,"")</x:f>
      </x:c>
      <x:c r="I813" s="1"/>
      <x:c r="J813" s="1"/>
      <x:c r="K813" s="1"/>
      <x:c r="L813" s="1"/>
      <x:c r="M813" s="1"/>
      <x:c r="N813" s="1"/>
    </x:row>
    <x:row r="814" ht="22" customHeight="1">
      <x:c r="A814" s="14"/>
      <x:c r="B814" s="15"/>
      <x:c r="C814" s="16" t="str">
        <x:f>IF(AND(ISNUMBER(B814),ISNUMBER(B813),B814&gt;0,B813&gt;0),LN(B814/B813),"")</x:f>
      </x:c>
      <x:c r="D814" s="16" t="str">
        <x:f>IF(ISNUMBER(C814),ABS(C814),"")</x:f>
      </x:c>
      <x:c r="E814" s="16" t="str">
        <x:f>IF(ISNUMBER(C814),C814^2,"")</x:f>
      </x:c>
      <x:c r="F814" s="16" t="str">
        <x:f>IF(AND(ISNUMBER(C814),ISNUMBER($J$6),$J$6&gt;0),(C814-$J$5)/$J$6,"")</x:f>
      </x:c>
      <x:c r="G814" s="1" t="str">
        <x:f>IF(ISNUMBER(F814),IF(ABS(F814)&gt;3,1,0),"")</x:f>
      </x:c>
      <x:c r="H814" s="1" t="str">
        <x:f>IF(ISNUMBER(F814),F814^4,"")</x:f>
      </x:c>
      <x:c r="I814" s="1"/>
      <x:c r="J814" s="1"/>
      <x:c r="K814" s="1"/>
      <x:c r="L814" s="1"/>
      <x:c r="M814" s="1"/>
      <x:c r="N814" s="1"/>
    </x:row>
    <x:row r="815" ht="22" customHeight="1">
      <x:c r="A815" s="14"/>
      <x:c r="B815" s="15"/>
      <x:c r="C815" s="16" t="str">
        <x:f>IF(AND(ISNUMBER(B815),ISNUMBER(B814),B815&gt;0,B814&gt;0),LN(B815/B814),"")</x:f>
      </x:c>
      <x:c r="D815" s="16" t="str">
        <x:f>IF(ISNUMBER(C815),ABS(C815),"")</x:f>
      </x:c>
      <x:c r="E815" s="16" t="str">
        <x:f>IF(ISNUMBER(C815),C815^2,"")</x:f>
      </x:c>
      <x:c r="F815" s="16" t="str">
        <x:f>IF(AND(ISNUMBER(C815),ISNUMBER($J$6),$J$6&gt;0),(C815-$J$5)/$J$6,"")</x:f>
      </x:c>
      <x:c r="G815" s="1" t="str">
        <x:f>IF(ISNUMBER(F815),IF(ABS(F815)&gt;3,1,0),"")</x:f>
      </x:c>
      <x:c r="H815" s="1" t="str">
        <x:f>IF(ISNUMBER(F815),F815^4,"")</x:f>
      </x:c>
      <x:c r="I815" s="1"/>
      <x:c r="J815" s="1"/>
      <x:c r="K815" s="1"/>
      <x:c r="L815" s="1"/>
      <x:c r="M815" s="1"/>
      <x:c r="N815" s="1"/>
    </x:row>
    <x:row r="816" ht="22" customHeight="1">
      <x:c r="A816" s="14"/>
      <x:c r="B816" s="15"/>
      <x:c r="C816" s="16" t="str">
        <x:f>IF(AND(ISNUMBER(B816),ISNUMBER(B815),B816&gt;0,B815&gt;0),LN(B816/B815),"")</x:f>
      </x:c>
      <x:c r="D816" s="16" t="str">
        <x:f>IF(ISNUMBER(C816),ABS(C816),"")</x:f>
      </x:c>
      <x:c r="E816" s="16" t="str">
        <x:f>IF(ISNUMBER(C816),C816^2,"")</x:f>
      </x:c>
      <x:c r="F816" s="16" t="str">
        <x:f>IF(AND(ISNUMBER(C816),ISNUMBER($J$6),$J$6&gt;0),(C816-$J$5)/$J$6,"")</x:f>
      </x:c>
      <x:c r="G816" s="1" t="str">
        <x:f>IF(ISNUMBER(F816),IF(ABS(F816)&gt;3,1,0),"")</x:f>
      </x:c>
      <x:c r="H816" s="1" t="str">
        <x:f>IF(ISNUMBER(F816),F816^4,"")</x:f>
      </x:c>
      <x:c r="I816" s="1"/>
      <x:c r="J816" s="1"/>
      <x:c r="K816" s="1"/>
      <x:c r="L816" s="1"/>
      <x:c r="M816" s="1"/>
      <x:c r="N816" s="1"/>
    </x:row>
    <x:row r="817" ht="22" customHeight="1">
      <x:c r="A817" s="14"/>
      <x:c r="B817" s="15"/>
      <x:c r="C817" s="16" t="str">
        <x:f>IF(AND(ISNUMBER(B817),ISNUMBER(B816),B817&gt;0,B816&gt;0),LN(B817/B816),"")</x:f>
      </x:c>
      <x:c r="D817" s="16" t="str">
        <x:f>IF(ISNUMBER(C817),ABS(C817),"")</x:f>
      </x:c>
      <x:c r="E817" s="16" t="str">
        <x:f>IF(ISNUMBER(C817),C817^2,"")</x:f>
      </x:c>
      <x:c r="F817" s="16" t="str">
        <x:f>IF(AND(ISNUMBER(C817),ISNUMBER($J$6),$J$6&gt;0),(C817-$J$5)/$J$6,"")</x:f>
      </x:c>
      <x:c r="G817" s="1" t="str">
        <x:f>IF(ISNUMBER(F817),IF(ABS(F817)&gt;3,1,0),"")</x:f>
      </x:c>
      <x:c r="H817" s="1" t="str">
        <x:f>IF(ISNUMBER(F817),F817^4,"")</x:f>
      </x:c>
      <x:c r="I817" s="1"/>
      <x:c r="J817" s="1"/>
      <x:c r="K817" s="1"/>
      <x:c r="L817" s="1"/>
      <x:c r="M817" s="1"/>
      <x:c r="N817" s="1"/>
    </x:row>
    <x:row r="818" ht="22" customHeight="1">
      <x:c r="A818" s="14"/>
      <x:c r="B818" s="15"/>
      <x:c r="C818" s="16" t="str">
        <x:f>IF(AND(ISNUMBER(B818),ISNUMBER(B817),B818&gt;0,B817&gt;0),LN(B818/B817),"")</x:f>
      </x:c>
      <x:c r="D818" s="16" t="str">
        <x:f>IF(ISNUMBER(C818),ABS(C818),"")</x:f>
      </x:c>
      <x:c r="E818" s="16" t="str">
        <x:f>IF(ISNUMBER(C818),C818^2,"")</x:f>
      </x:c>
      <x:c r="F818" s="16" t="str">
        <x:f>IF(AND(ISNUMBER(C818),ISNUMBER($J$6),$J$6&gt;0),(C818-$J$5)/$J$6,"")</x:f>
      </x:c>
      <x:c r="G818" s="1" t="str">
        <x:f>IF(ISNUMBER(F818),IF(ABS(F818)&gt;3,1,0),"")</x:f>
      </x:c>
      <x:c r="H818" s="1" t="str">
        <x:f>IF(ISNUMBER(F818),F818^4,"")</x:f>
      </x:c>
      <x:c r="I818" s="1"/>
      <x:c r="J818" s="1"/>
      <x:c r="K818" s="1"/>
      <x:c r="L818" s="1"/>
      <x:c r="M818" s="1"/>
      <x:c r="N818" s="1"/>
    </x:row>
    <x:row r="819" ht="22" customHeight="1">
      <x:c r="A819" s="14"/>
      <x:c r="B819" s="15"/>
      <x:c r="C819" s="16" t="str">
        <x:f>IF(AND(ISNUMBER(B819),ISNUMBER(B818),B819&gt;0,B818&gt;0),LN(B819/B818),"")</x:f>
      </x:c>
      <x:c r="D819" s="16" t="str">
        <x:f>IF(ISNUMBER(C819),ABS(C819),"")</x:f>
      </x:c>
      <x:c r="E819" s="16" t="str">
        <x:f>IF(ISNUMBER(C819),C819^2,"")</x:f>
      </x:c>
      <x:c r="F819" s="16" t="str">
        <x:f>IF(AND(ISNUMBER(C819),ISNUMBER($J$6),$J$6&gt;0),(C819-$J$5)/$J$6,"")</x:f>
      </x:c>
      <x:c r="G819" s="1" t="str">
        <x:f>IF(ISNUMBER(F819),IF(ABS(F819)&gt;3,1,0),"")</x:f>
      </x:c>
      <x:c r="H819" s="1" t="str">
        <x:f>IF(ISNUMBER(F819),F819^4,"")</x:f>
      </x:c>
      <x:c r="I819" s="1"/>
      <x:c r="J819" s="1"/>
      <x:c r="K819" s="1"/>
      <x:c r="L819" s="1"/>
      <x:c r="M819" s="1"/>
      <x:c r="N819" s="1"/>
    </x:row>
    <x:row r="820" ht="22" customHeight="1">
      <x:c r="A820" s="14"/>
      <x:c r="B820" s="15"/>
      <x:c r="C820" s="16" t="str">
        <x:f>IF(AND(ISNUMBER(B820),ISNUMBER(B819),B820&gt;0,B819&gt;0),LN(B820/B819),"")</x:f>
      </x:c>
      <x:c r="D820" s="16" t="str">
        <x:f>IF(ISNUMBER(C820),ABS(C820),"")</x:f>
      </x:c>
      <x:c r="E820" s="16" t="str">
        <x:f>IF(ISNUMBER(C820),C820^2,"")</x:f>
      </x:c>
      <x:c r="F820" s="16" t="str">
        <x:f>IF(AND(ISNUMBER(C820),ISNUMBER($J$6),$J$6&gt;0),(C820-$J$5)/$J$6,"")</x:f>
      </x:c>
      <x:c r="G820" s="1" t="str">
        <x:f>IF(ISNUMBER(F820),IF(ABS(F820)&gt;3,1,0),"")</x:f>
      </x:c>
      <x:c r="H820" s="1" t="str">
        <x:f>IF(ISNUMBER(F820),F820^4,"")</x:f>
      </x:c>
      <x:c r="I820" s="1"/>
      <x:c r="J820" s="1"/>
      <x:c r="K820" s="1"/>
      <x:c r="L820" s="1"/>
      <x:c r="M820" s="1"/>
      <x:c r="N820" s="1"/>
    </x:row>
    <x:row r="821" ht="22" customHeight="1">
      <x:c r="A821" s="14"/>
      <x:c r="B821" s="15"/>
      <x:c r="C821" s="16" t="str">
        <x:f>IF(AND(ISNUMBER(B821),ISNUMBER(B820),B821&gt;0,B820&gt;0),LN(B821/B820),"")</x:f>
      </x:c>
      <x:c r="D821" s="16" t="str">
        <x:f>IF(ISNUMBER(C821),ABS(C821),"")</x:f>
      </x:c>
      <x:c r="E821" s="16" t="str">
        <x:f>IF(ISNUMBER(C821),C821^2,"")</x:f>
      </x:c>
      <x:c r="F821" s="16" t="str">
        <x:f>IF(AND(ISNUMBER(C821),ISNUMBER($J$6),$J$6&gt;0),(C821-$J$5)/$J$6,"")</x:f>
      </x:c>
      <x:c r="G821" s="1" t="str">
        <x:f>IF(ISNUMBER(F821),IF(ABS(F821)&gt;3,1,0),"")</x:f>
      </x:c>
      <x:c r="H821" s="1" t="str">
        <x:f>IF(ISNUMBER(F821),F821^4,"")</x:f>
      </x:c>
      <x:c r="I821" s="1"/>
      <x:c r="J821" s="1"/>
      <x:c r="K821" s="1"/>
      <x:c r="L821" s="1"/>
      <x:c r="M821" s="1"/>
      <x:c r="N821" s="1"/>
    </x:row>
    <x:row r="822" ht="22" customHeight="1">
      <x:c r="A822" s="14"/>
      <x:c r="B822" s="15"/>
      <x:c r="C822" s="16" t="str">
        <x:f>IF(AND(ISNUMBER(B822),ISNUMBER(B821),B822&gt;0,B821&gt;0),LN(B822/B821),"")</x:f>
      </x:c>
      <x:c r="D822" s="16" t="str">
        <x:f>IF(ISNUMBER(C822),ABS(C822),"")</x:f>
      </x:c>
      <x:c r="E822" s="16" t="str">
        <x:f>IF(ISNUMBER(C822),C822^2,"")</x:f>
      </x:c>
      <x:c r="F822" s="16" t="str">
        <x:f>IF(AND(ISNUMBER(C822),ISNUMBER($J$6),$J$6&gt;0),(C822-$J$5)/$J$6,"")</x:f>
      </x:c>
      <x:c r="G822" s="1" t="str">
        <x:f>IF(ISNUMBER(F822),IF(ABS(F822)&gt;3,1,0),"")</x:f>
      </x:c>
      <x:c r="H822" s="1" t="str">
        <x:f>IF(ISNUMBER(F822),F822^4,"")</x:f>
      </x:c>
      <x:c r="I822" s="1"/>
      <x:c r="J822" s="1"/>
      <x:c r="K822" s="1"/>
      <x:c r="L822" s="1"/>
      <x:c r="M822" s="1"/>
      <x:c r="N822" s="1"/>
    </x:row>
    <x:row r="823" ht="22" customHeight="1">
      <x:c r="A823" s="14"/>
      <x:c r="B823" s="15"/>
      <x:c r="C823" s="16" t="str">
        <x:f>IF(AND(ISNUMBER(B823),ISNUMBER(B822),B823&gt;0,B822&gt;0),LN(B823/B822),"")</x:f>
      </x:c>
      <x:c r="D823" s="16" t="str">
        <x:f>IF(ISNUMBER(C823),ABS(C823),"")</x:f>
      </x:c>
      <x:c r="E823" s="16" t="str">
        <x:f>IF(ISNUMBER(C823),C823^2,"")</x:f>
      </x:c>
      <x:c r="F823" s="16" t="str">
        <x:f>IF(AND(ISNUMBER(C823),ISNUMBER($J$6),$J$6&gt;0),(C823-$J$5)/$J$6,"")</x:f>
      </x:c>
      <x:c r="G823" s="1" t="str">
        <x:f>IF(ISNUMBER(F823),IF(ABS(F823)&gt;3,1,0),"")</x:f>
      </x:c>
      <x:c r="H823" s="1" t="str">
        <x:f>IF(ISNUMBER(F823),F823^4,"")</x:f>
      </x:c>
      <x:c r="I823" s="1"/>
      <x:c r="J823" s="1"/>
      <x:c r="K823" s="1"/>
      <x:c r="L823" s="1"/>
      <x:c r="M823" s="1"/>
      <x:c r="N823" s="1"/>
    </x:row>
    <x:row r="824" ht="22" customHeight="1">
      <x:c r="A824" s="14"/>
      <x:c r="B824" s="15"/>
      <x:c r="C824" s="16" t="str">
        <x:f>IF(AND(ISNUMBER(B824),ISNUMBER(B823),B824&gt;0,B823&gt;0),LN(B824/B823),"")</x:f>
      </x:c>
      <x:c r="D824" s="16" t="str">
        <x:f>IF(ISNUMBER(C824),ABS(C824),"")</x:f>
      </x:c>
      <x:c r="E824" s="16" t="str">
        <x:f>IF(ISNUMBER(C824),C824^2,"")</x:f>
      </x:c>
      <x:c r="F824" s="16" t="str">
        <x:f>IF(AND(ISNUMBER(C824),ISNUMBER($J$6),$J$6&gt;0),(C824-$J$5)/$J$6,"")</x:f>
      </x:c>
      <x:c r="G824" s="1" t="str">
        <x:f>IF(ISNUMBER(F824),IF(ABS(F824)&gt;3,1,0),"")</x:f>
      </x:c>
      <x:c r="H824" s="1" t="str">
        <x:f>IF(ISNUMBER(F824),F824^4,"")</x:f>
      </x:c>
      <x:c r="I824" s="1"/>
      <x:c r="J824" s="1"/>
      <x:c r="K824" s="1"/>
      <x:c r="L824" s="1"/>
      <x:c r="M824" s="1"/>
      <x:c r="N824" s="1"/>
    </x:row>
    <x:row r="825" ht="22" customHeight="1">
      <x:c r="A825" s="14"/>
      <x:c r="B825" s="15"/>
      <x:c r="C825" s="16" t="str">
        <x:f>IF(AND(ISNUMBER(B825),ISNUMBER(B824),B825&gt;0,B824&gt;0),LN(B825/B824),"")</x:f>
      </x:c>
      <x:c r="D825" s="16" t="str">
        <x:f>IF(ISNUMBER(C825),ABS(C825),"")</x:f>
      </x:c>
      <x:c r="E825" s="16" t="str">
        <x:f>IF(ISNUMBER(C825),C825^2,"")</x:f>
      </x:c>
      <x:c r="F825" s="16" t="str">
        <x:f>IF(AND(ISNUMBER(C825),ISNUMBER($J$6),$J$6&gt;0),(C825-$J$5)/$J$6,"")</x:f>
      </x:c>
      <x:c r="G825" s="1" t="str">
        <x:f>IF(ISNUMBER(F825),IF(ABS(F825)&gt;3,1,0),"")</x:f>
      </x:c>
      <x:c r="H825" s="1" t="str">
        <x:f>IF(ISNUMBER(F825),F825^4,"")</x:f>
      </x:c>
      <x:c r="I825" s="1"/>
      <x:c r="J825" s="1"/>
      <x:c r="K825" s="1"/>
      <x:c r="L825" s="1"/>
      <x:c r="M825" s="1"/>
      <x:c r="N825" s="1"/>
    </x:row>
    <x:row r="826" ht="22" customHeight="1">
      <x:c r="A826" s="14"/>
      <x:c r="B826" s="15"/>
      <x:c r="C826" s="16" t="str">
        <x:f>IF(AND(ISNUMBER(B826),ISNUMBER(B825),B826&gt;0,B825&gt;0),LN(B826/B825),"")</x:f>
      </x:c>
      <x:c r="D826" s="16" t="str">
        <x:f>IF(ISNUMBER(C826),ABS(C826),"")</x:f>
      </x:c>
      <x:c r="E826" s="16" t="str">
        <x:f>IF(ISNUMBER(C826),C826^2,"")</x:f>
      </x:c>
      <x:c r="F826" s="16" t="str">
        <x:f>IF(AND(ISNUMBER(C826),ISNUMBER($J$6),$J$6&gt;0),(C826-$J$5)/$J$6,"")</x:f>
      </x:c>
      <x:c r="G826" s="1" t="str">
        <x:f>IF(ISNUMBER(F826),IF(ABS(F826)&gt;3,1,0),"")</x:f>
      </x:c>
      <x:c r="H826" s="1" t="str">
        <x:f>IF(ISNUMBER(F826),F826^4,"")</x:f>
      </x:c>
      <x:c r="I826" s="1"/>
      <x:c r="J826" s="1"/>
      <x:c r="K826" s="1"/>
      <x:c r="L826" s="1"/>
      <x:c r="M826" s="1"/>
      <x:c r="N826" s="1"/>
    </x:row>
    <x:row r="827" ht="22" customHeight="1">
      <x:c r="A827" s="14"/>
      <x:c r="B827" s="15"/>
      <x:c r="C827" s="16" t="str">
        <x:f>IF(AND(ISNUMBER(B827),ISNUMBER(B826),B827&gt;0,B826&gt;0),LN(B827/B826),"")</x:f>
      </x:c>
      <x:c r="D827" s="16" t="str">
        <x:f>IF(ISNUMBER(C827),ABS(C827),"")</x:f>
      </x:c>
      <x:c r="E827" s="16" t="str">
        <x:f>IF(ISNUMBER(C827),C827^2,"")</x:f>
      </x:c>
      <x:c r="F827" s="16" t="str">
        <x:f>IF(AND(ISNUMBER(C827),ISNUMBER($J$6),$J$6&gt;0),(C827-$J$5)/$J$6,"")</x:f>
      </x:c>
      <x:c r="G827" s="1" t="str">
        <x:f>IF(ISNUMBER(F827),IF(ABS(F827)&gt;3,1,0),"")</x:f>
      </x:c>
      <x:c r="H827" s="1" t="str">
        <x:f>IF(ISNUMBER(F827),F827^4,"")</x:f>
      </x:c>
      <x:c r="I827" s="1"/>
      <x:c r="J827" s="1"/>
      <x:c r="K827" s="1"/>
      <x:c r="L827" s="1"/>
      <x:c r="M827" s="1"/>
      <x:c r="N827" s="1"/>
    </x:row>
    <x:row r="828" ht="22" customHeight="1">
      <x:c r="A828" s="14"/>
      <x:c r="B828" s="15"/>
      <x:c r="C828" s="16" t="str">
        <x:f>IF(AND(ISNUMBER(B828),ISNUMBER(B827),B828&gt;0,B827&gt;0),LN(B828/B827),"")</x:f>
      </x:c>
      <x:c r="D828" s="16" t="str">
        <x:f>IF(ISNUMBER(C828),ABS(C828),"")</x:f>
      </x:c>
      <x:c r="E828" s="16" t="str">
        <x:f>IF(ISNUMBER(C828),C828^2,"")</x:f>
      </x:c>
      <x:c r="F828" s="16" t="str">
        <x:f>IF(AND(ISNUMBER(C828),ISNUMBER($J$6),$J$6&gt;0),(C828-$J$5)/$J$6,"")</x:f>
      </x:c>
      <x:c r="G828" s="1" t="str">
        <x:f>IF(ISNUMBER(F828),IF(ABS(F828)&gt;3,1,0),"")</x:f>
      </x:c>
      <x:c r="H828" s="1" t="str">
        <x:f>IF(ISNUMBER(F828),F828^4,"")</x:f>
      </x:c>
      <x:c r="I828" s="1"/>
      <x:c r="J828" s="1"/>
      <x:c r="K828" s="1"/>
      <x:c r="L828" s="1"/>
      <x:c r="M828" s="1"/>
      <x:c r="N828" s="1"/>
    </x:row>
    <x:row r="829" ht="22" customHeight="1">
      <x:c r="A829" s="14"/>
      <x:c r="B829" s="15"/>
      <x:c r="C829" s="16" t="str">
        <x:f>IF(AND(ISNUMBER(B829),ISNUMBER(B828),B829&gt;0,B828&gt;0),LN(B829/B828),"")</x:f>
      </x:c>
      <x:c r="D829" s="16" t="str">
        <x:f>IF(ISNUMBER(C829),ABS(C829),"")</x:f>
      </x:c>
      <x:c r="E829" s="16" t="str">
        <x:f>IF(ISNUMBER(C829),C829^2,"")</x:f>
      </x:c>
      <x:c r="F829" s="16" t="str">
        <x:f>IF(AND(ISNUMBER(C829),ISNUMBER($J$6),$J$6&gt;0),(C829-$J$5)/$J$6,"")</x:f>
      </x:c>
      <x:c r="G829" s="1" t="str">
        <x:f>IF(ISNUMBER(F829),IF(ABS(F829)&gt;3,1,0),"")</x:f>
      </x:c>
      <x:c r="H829" s="1" t="str">
        <x:f>IF(ISNUMBER(F829),F829^4,"")</x:f>
      </x:c>
      <x:c r="I829" s="1"/>
      <x:c r="J829" s="1"/>
      <x:c r="K829" s="1"/>
      <x:c r="L829" s="1"/>
      <x:c r="M829" s="1"/>
      <x:c r="N829" s="1"/>
    </x:row>
    <x:row r="830" ht="22" customHeight="1">
      <x:c r="A830" s="14"/>
      <x:c r="B830" s="15"/>
      <x:c r="C830" s="16" t="str">
        <x:f>IF(AND(ISNUMBER(B830),ISNUMBER(B829),B830&gt;0,B829&gt;0),LN(B830/B829),"")</x:f>
      </x:c>
      <x:c r="D830" s="16" t="str">
        <x:f>IF(ISNUMBER(C830),ABS(C830),"")</x:f>
      </x:c>
      <x:c r="E830" s="16" t="str">
        <x:f>IF(ISNUMBER(C830),C830^2,"")</x:f>
      </x:c>
      <x:c r="F830" s="16" t="str">
        <x:f>IF(AND(ISNUMBER(C830),ISNUMBER($J$6),$J$6&gt;0),(C830-$J$5)/$J$6,"")</x:f>
      </x:c>
      <x:c r="G830" s="1" t="str">
        <x:f>IF(ISNUMBER(F830),IF(ABS(F830)&gt;3,1,0),"")</x:f>
      </x:c>
      <x:c r="H830" s="1" t="str">
        <x:f>IF(ISNUMBER(F830),F830^4,"")</x:f>
      </x:c>
      <x:c r="I830" s="1"/>
      <x:c r="J830" s="1"/>
      <x:c r="K830" s="1"/>
      <x:c r="L830" s="1"/>
      <x:c r="M830" s="1"/>
      <x:c r="N830" s="1"/>
    </x:row>
    <x:row r="831" ht="22" customHeight="1">
      <x:c r="A831" s="14"/>
      <x:c r="B831" s="15"/>
      <x:c r="C831" s="16" t="str">
        <x:f>IF(AND(ISNUMBER(B831),ISNUMBER(B830),B831&gt;0,B830&gt;0),LN(B831/B830),"")</x:f>
      </x:c>
      <x:c r="D831" s="16" t="str">
        <x:f>IF(ISNUMBER(C831),ABS(C831),"")</x:f>
      </x:c>
      <x:c r="E831" s="16" t="str">
        <x:f>IF(ISNUMBER(C831),C831^2,"")</x:f>
      </x:c>
      <x:c r="F831" s="16" t="str">
        <x:f>IF(AND(ISNUMBER(C831),ISNUMBER($J$6),$J$6&gt;0),(C831-$J$5)/$J$6,"")</x:f>
      </x:c>
      <x:c r="G831" s="1" t="str">
        <x:f>IF(ISNUMBER(F831),IF(ABS(F831)&gt;3,1,0),"")</x:f>
      </x:c>
      <x:c r="H831" s="1" t="str">
        <x:f>IF(ISNUMBER(F831),F831^4,"")</x:f>
      </x:c>
      <x:c r="I831" s="1"/>
      <x:c r="J831" s="1"/>
      <x:c r="K831" s="1"/>
      <x:c r="L831" s="1"/>
      <x:c r="M831" s="1"/>
      <x:c r="N831" s="1"/>
    </x:row>
    <x:row r="832" ht="22" customHeight="1">
      <x:c r="A832" s="14"/>
      <x:c r="B832" s="15"/>
      <x:c r="C832" s="16" t="str">
        <x:f>IF(AND(ISNUMBER(B832),ISNUMBER(B831),B832&gt;0,B831&gt;0),LN(B832/B831),"")</x:f>
      </x:c>
      <x:c r="D832" s="16" t="str">
        <x:f>IF(ISNUMBER(C832),ABS(C832),"")</x:f>
      </x:c>
      <x:c r="E832" s="16" t="str">
        <x:f>IF(ISNUMBER(C832),C832^2,"")</x:f>
      </x:c>
      <x:c r="F832" s="16" t="str">
        <x:f>IF(AND(ISNUMBER(C832),ISNUMBER($J$6),$J$6&gt;0),(C832-$J$5)/$J$6,"")</x:f>
      </x:c>
      <x:c r="G832" s="1" t="str">
        <x:f>IF(ISNUMBER(F832),IF(ABS(F832)&gt;3,1,0),"")</x:f>
      </x:c>
      <x:c r="H832" s="1" t="str">
        <x:f>IF(ISNUMBER(F832),F832^4,"")</x:f>
      </x:c>
      <x:c r="I832" s="1"/>
      <x:c r="J832" s="1"/>
      <x:c r="K832" s="1"/>
      <x:c r="L832" s="1"/>
      <x:c r="M832" s="1"/>
      <x:c r="N832" s="1"/>
    </x:row>
    <x:row r="833" ht="22" customHeight="1">
      <x:c r="A833" s="14"/>
      <x:c r="B833" s="15"/>
      <x:c r="C833" s="16" t="str">
        <x:f>IF(AND(ISNUMBER(B833),ISNUMBER(B832),B833&gt;0,B832&gt;0),LN(B833/B832),"")</x:f>
      </x:c>
      <x:c r="D833" s="16" t="str">
        <x:f>IF(ISNUMBER(C833),ABS(C833),"")</x:f>
      </x:c>
      <x:c r="E833" s="16" t="str">
        <x:f>IF(ISNUMBER(C833),C833^2,"")</x:f>
      </x:c>
      <x:c r="F833" s="16" t="str">
        <x:f>IF(AND(ISNUMBER(C833),ISNUMBER($J$6),$J$6&gt;0),(C833-$J$5)/$J$6,"")</x:f>
      </x:c>
      <x:c r="G833" s="1" t="str">
        <x:f>IF(ISNUMBER(F833),IF(ABS(F833)&gt;3,1,0),"")</x:f>
      </x:c>
      <x:c r="H833" s="1" t="str">
        <x:f>IF(ISNUMBER(F833),F833^4,"")</x:f>
      </x:c>
      <x:c r="I833" s="1"/>
      <x:c r="J833" s="1"/>
      <x:c r="K833" s="1"/>
      <x:c r="L833" s="1"/>
      <x:c r="M833" s="1"/>
      <x:c r="N833" s="1"/>
    </x:row>
    <x:row r="834" ht="22" customHeight="1">
      <x:c r="A834" s="14"/>
      <x:c r="B834" s="15"/>
      <x:c r="C834" s="16" t="str">
        <x:f>IF(AND(ISNUMBER(B834),ISNUMBER(B833),B834&gt;0,B833&gt;0),LN(B834/B833),"")</x:f>
      </x:c>
      <x:c r="D834" s="16" t="str">
        <x:f>IF(ISNUMBER(C834),ABS(C834),"")</x:f>
      </x:c>
      <x:c r="E834" s="16" t="str">
        <x:f>IF(ISNUMBER(C834),C834^2,"")</x:f>
      </x:c>
      <x:c r="F834" s="16" t="str">
        <x:f>IF(AND(ISNUMBER(C834),ISNUMBER($J$6),$J$6&gt;0),(C834-$J$5)/$J$6,"")</x:f>
      </x:c>
      <x:c r="G834" s="1" t="str">
        <x:f>IF(ISNUMBER(F834),IF(ABS(F834)&gt;3,1,0),"")</x:f>
      </x:c>
      <x:c r="H834" s="1" t="str">
        <x:f>IF(ISNUMBER(F834),F834^4,"")</x:f>
      </x:c>
      <x:c r="I834" s="1"/>
      <x:c r="J834" s="1"/>
      <x:c r="K834" s="1"/>
      <x:c r="L834" s="1"/>
      <x:c r="M834" s="1"/>
      <x:c r="N834" s="1"/>
    </x:row>
    <x:row r="835" ht="22" customHeight="1">
      <x:c r="A835" s="14"/>
      <x:c r="B835" s="15"/>
      <x:c r="C835" s="16" t="str">
        <x:f>IF(AND(ISNUMBER(B835),ISNUMBER(B834),B835&gt;0,B834&gt;0),LN(B835/B834),"")</x:f>
      </x:c>
      <x:c r="D835" s="16" t="str">
        <x:f>IF(ISNUMBER(C835),ABS(C835),"")</x:f>
      </x:c>
      <x:c r="E835" s="16" t="str">
        <x:f>IF(ISNUMBER(C835),C835^2,"")</x:f>
      </x:c>
      <x:c r="F835" s="16" t="str">
        <x:f>IF(AND(ISNUMBER(C835),ISNUMBER($J$6),$J$6&gt;0),(C835-$J$5)/$J$6,"")</x:f>
      </x:c>
      <x:c r="G835" s="1" t="str">
        <x:f>IF(ISNUMBER(F835),IF(ABS(F835)&gt;3,1,0),"")</x:f>
      </x:c>
      <x:c r="H835" s="1" t="str">
        <x:f>IF(ISNUMBER(F835),F835^4,"")</x:f>
      </x:c>
      <x:c r="I835" s="1"/>
      <x:c r="J835" s="1"/>
      <x:c r="K835" s="1"/>
      <x:c r="L835" s="1"/>
      <x:c r="M835" s="1"/>
      <x:c r="N835" s="1"/>
    </x:row>
    <x:row r="836" ht="22" customHeight="1">
      <x:c r="A836" s="14"/>
      <x:c r="B836" s="15"/>
      <x:c r="C836" s="16" t="str">
        <x:f>IF(AND(ISNUMBER(B836),ISNUMBER(B835),B836&gt;0,B835&gt;0),LN(B836/B835),"")</x:f>
      </x:c>
      <x:c r="D836" s="16" t="str">
        <x:f>IF(ISNUMBER(C836),ABS(C836),"")</x:f>
      </x:c>
      <x:c r="E836" s="16" t="str">
        <x:f>IF(ISNUMBER(C836),C836^2,"")</x:f>
      </x:c>
      <x:c r="F836" s="16" t="str">
        <x:f>IF(AND(ISNUMBER(C836),ISNUMBER($J$6),$J$6&gt;0),(C836-$J$5)/$J$6,"")</x:f>
      </x:c>
      <x:c r="G836" s="1" t="str">
        <x:f>IF(ISNUMBER(F836),IF(ABS(F836)&gt;3,1,0),"")</x:f>
      </x:c>
      <x:c r="H836" s="1" t="str">
        <x:f>IF(ISNUMBER(F836),F836^4,"")</x:f>
      </x:c>
      <x:c r="I836" s="1"/>
      <x:c r="J836" s="1"/>
      <x:c r="K836" s="1"/>
      <x:c r="L836" s="1"/>
      <x:c r="M836" s="1"/>
      <x:c r="N836" s="1"/>
    </x:row>
    <x:row r="837" ht="22" customHeight="1">
      <x:c r="A837" s="14"/>
      <x:c r="B837" s="15"/>
      <x:c r="C837" s="16" t="str">
        <x:f>IF(AND(ISNUMBER(B837),ISNUMBER(B836),B837&gt;0,B836&gt;0),LN(B837/B836),"")</x:f>
      </x:c>
      <x:c r="D837" s="16" t="str">
        <x:f>IF(ISNUMBER(C837),ABS(C837),"")</x:f>
      </x:c>
      <x:c r="E837" s="16" t="str">
        <x:f>IF(ISNUMBER(C837),C837^2,"")</x:f>
      </x:c>
      <x:c r="F837" s="16" t="str">
        <x:f>IF(AND(ISNUMBER(C837),ISNUMBER($J$6),$J$6&gt;0),(C837-$J$5)/$J$6,"")</x:f>
      </x:c>
      <x:c r="G837" s="1" t="str">
        <x:f>IF(ISNUMBER(F837),IF(ABS(F837)&gt;3,1,0),"")</x:f>
      </x:c>
      <x:c r="H837" s="1" t="str">
        <x:f>IF(ISNUMBER(F837),F837^4,"")</x:f>
      </x:c>
      <x:c r="I837" s="1"/>
      <x:c r="J837" s="1"/>
      <x:c r="K837" s="1"/>
      <x:c r="L837" s="1"/>
      <x:c r="M837" s="1"/>
      <x:c r="N837" s="1"/>
    </x:row>
    <x:row r="838" ht="22" customHeight="1">
      <x:c r="A838" s="14"/>
      <x:c r="B838" s="15"/>
      <x:c r="C838" s="16" t="str">
        <x:f>IF(AND(ISNUMBER(B838),ISNUMBER(B837),B838&gt;0,B837&gt;0),LN(B838/B837),"")</x:f>
      </x:c>
      <x:c r="D838" s="16" t="str">
        <x:f>IF(ISNUMBER(C838),ABS(C838),"")</x:f>
      </x:c>
      <x:c r="E838" s="16" t="str">
        <x:f>IF(ISNUMBER(C838),C838^2,"")</x:f>
      </x:c>
      <x:c r="F838" s="16" t="str">
        <x:f>IF(AND(ISNUMBER(C838),ISNUMBER($J$6),$J$6&gt;0),(C838-$J$5)/$J$6,"")</x:f>
      </x:c>
      <x:c r="G838" s="1" t="str">
        <x:f>IF(ISNUMBER(F838),IF(ABS(F838)&gt;3,1,0),"")</x:f>
      </x:c>
      <x:c r="H838" s="1" t="str">
        <x:f>IF(ISNUMBER(F838),F838^4,"")</x:f>
      </x:c>
      <x:c r="I838" s="1"/>
      <x:c r="J838" s="1"/>
      <x:c r="K838" s="1"/>
      <x:c r="L838" s="1"/>
      <x:c r="M838" s="1"/>
      <x:c r="N838" s="1"/>
    </x:row>
    <x:row r="839" ht="22" customHeight="1">
      <x:c r="A839" s="14"/>
      <x:c r="B839" s="15"/>
      <x:c r="C839" s="16" t="str">
        <x:f>IF(AND(ISNUMBER(B839),ISNUMBER(B838),B839&gt;0,B838&gt;0),LN(B839/B838),"")</x:f>
      </x:c>
      <x:c r="D839" s="16" t="str">
        <x:f>IF(ISNUMBER(C839),ABS(C839),"")</x:f>
      </x:c>
      <x:c r="E839" s="16" t="str">
        <x:f>IF(ISNUMBER(C839),C839^2,"")</x:f>
      </x:c>
      <x:c r="F839" s="16" t="str">
        <x:f>IF(AND(ISNUMBER(C839),ISNUMBER($J$6),$J$6&gt;0),(C839-$J$5)/$J$6,"")</x:f>
      </x:c>
      <x:c r="G839" s="1" t="str">
        <x:f>IF(ISNUMBER(F839),IF(ABS(F839)&gt;3,1,0),"")</x:f>
      </x:c>
      <x:c r="H839" s="1" t="str">
        <x:f>IF(ISNUMBER(F839),F839^4,"")</x:f>
      </x:c>
      <x:c r="I839" s="1"/>
      <x:c r="J839" s="1"/>
      <x:c r="K839" s="1"/>
      <x:c r="L839" s="1"/>
      <x:c r="M839" s="1"/>
      <x:c r="N839" s="1"/>
    </x:row>
    <x:row r="840" ht="22" customHeight="1">
      <x:c r="A840" s="14"/>
      <x:c r="B840" s="15"/>
      <x:c r="C840" s="16" t="str">
        <x:f>IF(AND(ISNUMBER(B840),ISNUMBER(B839),B840&gt;0,B839&gt;0),LN(B840/B839),"")</x:f>
      </x:c>
      <x:c r="D840" s="16" t="str">
        <x:f>IF(ISNUMBER(C840),ABS(C840),"")</x:f>
      </x:c>
      <x:c r="E840" s="16" t="str">
        <x:f>IF(ISNUMBER(C840),C840^2,"")</x:f>
      </x:c>
      <x:c r="F840" s="16" t="str">
        <x:f>IF(AND(ISNUMBER(C840),ISNUMBER($J$6),$J$6&gt;0),(C840-$J$5)/$J$6,"")</x:f>
      </x:c>
      <x:c r="G840" s="1" t="str">
        <x:f>IF(ISNUMBER(F840),IF(ABS(F840)&gt;3,1,0),"")</x:f>
      </x:c>
      <x:c r="H840" s="1" t="str">
        <x:f>IF(ISNUMBER(F840),F840^4,"")</x:f>
      </x:c>
      <x:c r="I840" s="1"/>
      <x:c r="J840" s="1"/>
      <x:c r="K840" s="1"/>
      <x:c r="L840" s="1"/>
      <x:c r="M840" s="1"/>
      <x:c r="N840" s="1"/>
    </x:row>
    <x:row r="841" ht="22" customHeight="1">
      <x:c r="A841" s="14"/>
      <x:c r="B841" s="15"/>
      <x:c r="C841" s="16" t="str">
        <x:f>IF(AND(ISNUMBER(B841),ISNUMBER(B840),B841&gt;0,B840&gt;0),LN(B841/B840),"")</x:f>
      </x:c>
      <x:c r="D841" s="16" t="str">
        <x:f>IF(ISNUMBER(C841),ABS(C841),"")</x:f>
      </x:c>
      <x:c r="E841" s="16" t="str">
        <x:f>IF(ISNUMBER(C841),C841^2,"")</x:f>
      </x:c>
      <x:c r="F841" s="16" t="str">
        <x:f>IF(AND(ISNUMBER(C841),ISNUMBER($J$6),$J$6&gt;0),(C841-$J$5)/$J$6,"")</x:f>
      </x:c>
      <x:c r="G841" s="1" t="str">
        <x:f>IF(ISNUMBER(F841),IF(ABS(F841)&gt;3,1,0),"")</x:f>
      </x:c>
      <x:c r="H841" s="1" t="str">
        <x:f>IF(ISNUMBER(F841),F841^4,"")</x:f>
      </x:c>
      <x:c r="I841" s="1"/>
      <x:c r="J841" s="1"/>
      <x:c r="K841" s="1"/>
      <x:c r="L841" s="1"/>
      <x:c r="M841" s="1"/>
      <x:c r="N841" s="1"/>
    </x:row>
    <x:row r="842" ht="22" customHeight="1">
      <x:c r="A842" s="14"/>
      <x:c r="B842" s="15"/>
      <x:c r="C842" s="16" t="str">
        <x:f>IF(AND(ISNUMBER(B842),ISNUMBER(B841),B842&gt;0,B841&gt;0),LN(B842/B841),"")</x:f>
      </x:c>
      <x:c r="D842" s="16" t="str">
        <x:f>IF(ISNUMBER(C842),ABS(C842),"")</x:f>
      </x:c>
      <x:c r="E842" s="16" t="str">
        <x:f>IF(ISNUMBER(C842),C842^2,"")</x:f>
      </x:c>
      <x:c r="F842" s="16" t="str">
        <x:f>IF(AND(ISNUMBER(C842),ISNUMBER($J$6),$J$6&gt;0),(C842-$J$5)/$J$6,"")</x:f>
      </x:c>
      <x:c r="G842" s="1" t="str">
        <x:f>IF(ISNUMBER(F842),IF(ABS(F842)&gt;3,1,0),"")</x:f>
      </x:c>
      <x:c r="H842" s="1" t="str">
        <x:f>IF(ISNUMBER(F842),F842^4,"")</x:f>
      </x:c>
      <x:c r="I842" s="1"/>
      <x:c r="J842" s="1"/>
      <x:c r="K842" s="1"/>
      <x:c r="L842" s="1"/>
      <x:c r="M842" s="1"/>
      <x:c r="N842" s="1"/>
    </x:row>
    <x:row r="843" ht="22" customHeight="1">
      <x:c r="A843" s="14"/>
      <x:c r="B843" s="15"/>
      <x:c r="C843" s="16" t="str">
        <x:f>IF(AND(ISNUMBER(B843),ISNUMBER(B842),B843&gt;0,B842&gt;0),LN(B843/B842),"")</x:f>
      </x:c>
      <x:c r="D843" s="16" t="str">
        <x:f>IF(ISNUMBER(C843),ABS(C843),"")</x:f>
      </x:c>
      <x:c r="E843" s="16" t="str">
        <x:f>IF(ISNUMBER(C843),C843^2,"")</x:f>
      </x:c>
      <x:c r="F843" s="16" t="str">
        <x:f>IF(AND(ISNUMBER(C843),ISNUMBER($J$6),$J$6&gt;0),(C843-$J$5)/$J$6,"")</x:f>
      </x:c>
      <x:c r="G843" s="1" t="str">
        <x:f>IF(ISNUMBER(F843),IF(ABS(F843)&gt;3,1,0),"")</x:f>
      </x:c>
      <x:c r="H843" s="1" t="str">
        <x:f>IF(ISNUMBER(F843),F843^4,"")</x:f>
      </x:c>
      <x:c r="I843" s="1"/>
      <x:c r="J843" s="1"/>
      <x:c r="K843" s="1"/>
      <x:c r="L843" s="1"/>
      <x:c r="M843" s="1"/>
      <x:c r="N843" s="1"/>
    </x:row>
    <x:row r="844" ht="22" customHeight="1">
      <x:c r="A844" s="14"/>
      <x:c r="B844" s="15"/>
      <x:c r="C844" s="16" t="str">
        <x:f>IF(AND(ISNUMBER(B844),ISNUMBER(B843),B844&gt;0,B843&gt;0),LN(B844/B843),"")</x:f>
      </x:c>
      <x:c r="D844" s="16" t="str">
        <x:f>IF(ISNUMBER(C844),ABS(C844),"")</x:f>
      </x:c>
      <x:c r="E844" s="16" t="str">
        <x:f>IF(ISNUMBER(C844),C844^2,"")</x:f>
      </x:c>
      <x:c r="F844" s="16" t="str">
        <x:f>IF(AND(ISNUMBER(C844),ISNUMBER($J$6),$J$6&gt;0),(C844-$J$5)/$J$6,"")</x:f>
      </x:c>
      <x:c r="G844" s="1" t="str">
        <x:f>IF(ISNUMBER(F844),IF(ABS(F844)&gt;3,1,0),"")</x:f>
      </x:c>
      <x:c r="H844" s="1" t="str">
        <x:f>IF(ISNUMBER(F844),F844^4,"")</x:f>
      </x:c>
      <x:c r="I844" s="1"/>
      <x:c r="J844" s="1"/>
      <x:c r="K844" s="1"/>
      <x:c r="L844" s="1"/>
      <x:c r="M844" s="1"/>
      <x:c r="N844" s="1"/>
    </x:row>
    <x:row r="845" ht="22" customHeight="1">
      <x:c r="A845" s="14"/>
      <x:c r="B845" s="15"/>
      <x:c r="C845" s="16" t="str">
        <x:f>IF(AND(ISNUMBER(B845),ISNUMBER(B844),B845&gt;0,B844&gt;0),LN(B845/B844),"")</x:f>
      </x:c>
      <x:c r="D845" s="16" t="str">
        <x:f>IF(ISNUMBER(C845),ABS(C845),"")</x:f>
      </x:c>
      <x:c r="E845" s="16" t="str">
        <x:f>IF(ISNUMBER(C845),C845^2,"")</x:f>
      </x:c>
      <x:c r="F845" s="16" t="str">
        <x:f>IF(AND(ISNUMBER(C845),ISNUMBER($J$6),$J$6&gt;0),(C845-$J$5)/$J$6,"")</x:f>
      </x:c>
      <x:c r="G845" s="1" t="str">
        <x:f>IF(ISNUMBER(F845),IF(ABS(F845)&gt;3,1,0),"")</x:f>
      </x:c>
      <x:c r="H845" s="1" t="str">
        <x:f>IF(ISNUMBER(F845),F845^4,"")</x:f>
      </x:c>
      <x:c r="I845" s="1"/>
      <x:c r="J845" s="1"/>
      <x:c r="K845" s="1"/>
      <x:c r="L845" s="1"/>
      <x:c r="M845" s="1"/>
      <x:c r="N845" s="1"/>
    </x:row>
    <x:row r="846" ht="22" customHeight="1">
      <x:c r="A846" s="14"/>
      <x:c r="B846" s="15"/>
      <x:c r="C846" s="16" t="str">
        <x:f>IF(AND(ISNUMBER(B846),ISNUMBER(B845),B846&gt;0,B845&gt;0),LN(B846/B845),"")</x:f>
      </x:c>
      <x:c r="D846" s="16" t="str">
        <x:f>IF(ISNUMBER(C846),ABS(C846),"")</x:f>
      </x:c>
      <x:c r="E846" s="16" t="str">
        <x:f>IF(ISNUMBER(C846),C846^2,"")</x:f>
      </x:c>
      <x:c r="F846" s="16" t="str">
        <x:f>IF(AND(ISNUMBER(C846),ISNUMBER($J$6),$J$6&gt;0),(C846-$J$5)/$J$6,"")</x:f>
      </x:c>
      <x:c r="G846" s="1" t="str">
        <x:f>IF(ISNUMBER(F846),IF(ABS(F846)&gt;3,1,0),"")</x:f>
      </x:c>
      <x:c r="H846" s="1" t="str">
        <x:f>IF(ISNUMBER(F846),F846^4,"")</x:f>
      </x:c>
      <x:c r="I846" s="1"/>
      <x:c r="J846" s="1"/>
      <x:c r="K846" s="1"/>
      <x:c r="L846" s="1"/>
      <x:c r="M846" s="1"/>
      <x:c r="N846" s="1"/>
    </x:row>
    <x:row r="847" ht="22" customHeight="1">
      <x:c r="A847" s="14"/>
      <x:c r="B847" s="15"/>
      <x:c r="C847" s="16" t="str">
        <x:f>IF(AND(ISNUMBER(B847),ISNUMBER(B846),B847&gt;0,B846&gt;0),LN(B847/B846),"")</x:f>
      </x:c>
      <x:c r="D847" s="16" t="str">
        <x:f>IF(ISNUMBER(C847),ABS(C847),"")</x:f>
      </x:c>
      <x:c r="E847" s="16" t="str">
        <x:f>IF(ISNUMBER(C847),C847^2,"")</x:f>
      </x:c>
      <x:c r="F847" s="16" t="str">
        <x:f>IF(AND(ISNUMBER(C847),ISNUMBER($J$6),$J$6&gt;0),(C847-$J$5)/$J$6,"")</x:f>
      </x:c>
      <x:c r="G847" s="1" t="str">
        <x:f>IF(ISNUMBER(F847),IF(ABS(F847)&gt;3,1,0),"")</x:f>
      </x:c>
      <x:c r="H847" s="1" t="str">
        <x:f>IF(ISNUMBER(F847),F847^4,"")</x:f>
      </x:c>
      <x:c r="I847" s="1"/>
      <x:c r="J847" s="1"/>
      <x:c r="K847" s="1"/>
      <x:c r="L847" s="1"/>
      <x:c r="M847" s="1"/>
      <x:c r="N847" s="1"/>
    </x:row>
    <x:row r="848" ht="22" customHeight="1">
      <x:c r="A848" s="14"/>
      <x:c r="B848" s="15"/>
      <x:c r="C848" s="16" t="str">
        <x:f>IF(AND(ISNUMBER(B848),ISNUMBER(B847),B848&gt;0,B847&gt;0),LN(B848/B847),"")</x:f>
      </x:c>
      <x:c r="D848" s="16" t="str">
        <x:f>IF(ISNUMBER(C848),ABS(C848),"")</x:f>
      </x:c>
      <x:c r="E848" s="16" t="str">
        <x:f>IF(ISNUMBER(C848),C848^2,"")</x:f>
      </x:c>
      <x:c r="F848" s="16" t="str">
        <x:f>IF(AND(ISNUMBER(C848),ISNUMBER($J$6),$J$6&gt;0),(C848-$J$5)/$J$6,"")</x:f>
      </x:c>
      <x:c r="G848" s="1" t="str">
        <x:f>IF(ISNUMBER(F848),IF(ABS(F848)&gt;3,1,0),"")</x:f>
      </x:c>
      <x:c r="H848" s="1" t="str">
        <x:f>IF(ISNUMBER(F848),F848^4,"")</x:f>
      </x:c>
      <x:c r="I848" s="1"/>
      <x:c r="J848" s="1"/>
      <x:c r="K848" s="1"/>
      <x:c r="L848" s="1"/>
      <x:c r="M848" s="1"/>
      <x:c r="N848" s="1"/>
    </x:row>
    <x:row r="849" ht="22" customHeight="1">
      <x:c r="A849" s="14"/>
      <x:c r="B849" s="15"/>
      <x:c r="C849" s="16" t="str">
        <x:f>IF(AND(ISNUMBER(B849),ISNUMBER(B848),B849&gt;0,B848&gt;0),LN(B849/B848),"")</x:f>
      </x:c>
      <x:c r="D849" s="16" t="str">
        <x:f>IF(ISNUMBER(C849),ABS(C849),"")</x:f>
      </x:c>
      <x:c r="E849" s="16" t="str">
        <x:f>IF(ISNUMBER(C849),C849^2,"")</x:f>
      </x:c>
      <x:c r="F849" s="16" t="str">
        <x:f>IF(AND(ISNUMBER(C849),ISNUMBER($J$6),$J$6&gt;0),(C849-$J$5)/$J$6,"")</x:f>
      </x:c>
      <x:c r="G849" s="1" t="str">
        <x:f>IF(ISNUMBER(F849),IF(ABS(F849)&gt;3,1,0),"")</x:f>
      </x:c>
      <x:c r="H849" s="1" t="str">
        <x:f>IF(ISNUMBER(F849),F849^4,"")</x:f>
      </x:c>
      <x:c r="I849" s="1"/>
      <x:c r="J849" s="1"/>
      <x:c r="K849" s="1"/>
      <x:c r="L849" s="1"/>
      <x:c r="M849" s="1"/>
      <x:c r="N849" s="1"/>
    </x:row>
    <x:row r="850" ht="22" customHeight="1">
      <x:c r="A850" s="14"/>
      <x:c r="B850" s="15"/>
      <x:c r="C850" s="16" t="str">
        <x:f>IF(AND(ISNUMBER(B850),ISNUMBER(B849),B850&gt;0,B849&gt;0),LN(B850/B849),"")</x:f>
      </x:c>
      <x:c r="D850" s="16" t="str">
        <x:f>IF(ISNUMBER(C850),ABS(C850),"")</x:f>
      </x:c>
      <x:c r="E850" s="16" t="str">
        <x:f>IF(ISNUMBER(C850),C850^2,"")</x:f>
      </x:c>
      <x:c r="F850" s="16" t="str">
        <x:f>IF(AND(ISNUMBER(C850),ISNUMBER($J$6),$J$6&gt;0),(C850-$J$5)/$J$6,"")</x:f>
      </x:c>
      <x:c r="G850" s="1" t="str">
        <x:f>IF(ISNUMBER(F850),IF(ABS(F850)&gt;3,1,0),"")</x:f>
      </x:c>
      <x:c r="H850" s="1" t="str">
        <x:f>IF(ISNUMBER(F850),F850^4,"")</x:f>
      </x:c>
      <x:c r="I850" s="1"/>
      <x:c r="J850" s="1"/>
      <x:c r="K850" s="1"/>
      <x:c r="L850" s="1"/>
      <x:c r="M850" s="1"/>
      <x:c r="N850" s="1"/>
    </x:row>
    <x:row r="851" ht="22" customHeight="1">
      <x:c r="A851" s="14"/>
      <x:c r="B851" s="15"/>
      <x:c r="C851" s="16" t="str">
        <x:f>IF(AND(ISNUMBER(B851),ISNUMBER(B850),B851&gt;0,B850&gt;0),LN(B851/B850),"")</x:f>
      </x:c>
      <x:c r="D851" s="16" t="str">
        <x:f>IF(ISNUMBER(C851),ABS(C851),"")</x:f>
      </x:c>
      <x:c r="E851" s="16" t="str">
        <x:f>IF(ISNUMBER(C851),C851^2,"")</x:f>
      </x:c>
      <x:c r="F851" s="16" t="str">
        <x:f>IF(AND(ISNUMBER(C851),ISNUMBER($J$6),$J$6&gt;0),(C851-$J$5)/$J$6,"")</x:f>
      </x:c>
      <x:c r="G851" s="1" t="str">
        <x:f>IF(ISNUMBER(F851),IF(ABS(F851)&gt;3,1,0),"")</x:f>
      </x:c>
      <x:c r="H851" s="1" t="str">
        <x:f>IF(ISNUMBER(F851),F851^4,"")</x:f>
      </x:c>
      <x:c r="I851" s="1"/>
      <x:c r="J851" s="1"/>
      <x:c r="K851" s="1"/>
      <x:c r="L851" s="1"/>
      <x:c r="M851" s="1"/>
      <x:c r="N851" s="1"/>
    </x:row>
    <x:row r="852" ht="22" customHeight="1">
      <x:c r="A852" s="14"/>
      <x:c r="B852" s="15"/>
      <x:c r="C852" s="16" t="str">
        <x:f>IF(AND(ISNUMBER(B852),ISNUMBER(B851),B852&gt;0,B851&gt;0),LN(B852/B851),"")</x:f>
      </x:c>
      <x:c r="D852" s="16" t="str">
        <x:f>IF(ISNUMBER(C852),ABS(C852),"")</x:f>
      </x:c>
      <x:c r="E852" s="16" t="str">
        <x:f>IF(ISNUMBER(C852),C852^2,"")</x:f>
      </x:c>
      <x:c r="F852" s="16" t="str">
        <x:f>IF(AND(ISNUMBER(C852),ISNUMBER($J$6),$J$6&gt;0),(C852-$J$5)/$J$6,"")</x:f>
      </x:c>
      <x:c r="G852" s="1" t="str">
        <x:f>IF(ISNUMBER(F852),IF(ABS(F852)&gt;3,1,0),"")</x:f>
      </x:c>
      <x:c r="H852" s="1" t="str">
        <x:f>IF(ISNUMBER(F852),F852^4,"")</x:f>
      </x:c>
      <x:c r="I852" s="1"/>
      <x:c r="J852" s="1"/>
      <x:c r="K852" s="1"/>
      <x:c r="L852" s="1"/>
      <x:c r="M852" s="1"/>
      <x:c r="N852" s="1"/>
    </x:row>
    <x:row r="853" ht="22" customHeight="1">
      <x:c r="A853" s="14"/>
      <x:c r="B853" s="15"/>
      <x:c r="C853" s="16" t="str">
        <x:f>IF(AND(ISNUMBER(B853),ISNUMBER(B852),B853&gt;0,B852&gt;0),LN(B853/B852),"")</x:f>
      </x:c>
      <x:c r="D853" s="16" t="str">
        <x:f>IF(ISNUMBER(C853),ABS(C853),"")</x:f>
      </x:c>
      <x:c r="E853" s="16" t="str">
        <x:f>IF(ISNUMBER(C853),C853^2,"")</x:f>
      </x:c>
      <x:c r="F853" s="16" t="str">
        <x:f>IF(AND(ISNUMBER(C853),ISNUMBER($J$6),$J$6&gt;0),(C853-$J$5)/$J$6,"")</x:f>
      </x:c>
      <x:c r="G853" s="1" t="str">
        <x:f>IF(ISNUMBER(F853),IF(ABS(F853)&gt;3,1,0),"")</x:f>
      </x:c>
      <x:c r="H853" s="1" t="str">
        <x:f>IF(ISNUMBER(F853),F853^4,"")</x:f>
      </x:c>
      <x:c r="I853" s="1"/>
      <x:c r="J853" s="1"/>
      <x:c r="K853" s="1"/>
      <x:c r="L853" s="1"/>
      <x:c r="M853" s="1"/>
      <x:c r="N853" s="1"/>
    </x:row>
    <x:row r="854" ht="22" customHeight="1">
      <x:c r="A854" s="14"/>
      <x:c r="B854" s="15"/>
      <x:c r="C854" s="16" t="str">
        <x:f>IF(AND(ISNUMBER(B854),ISNUMBER(B853),B854&gt;0,B853&gt;0),LN(B854/B853),"")</x:f>
      </x:c>
      <x:c r="D854" s="16" t="str">
        <x:f>IF(ISNUMBER(C854),ABS(C854),"")</x:f>
      </x:c>
      <x:c r="E854" s="16" t="str">
        <x:f>IF(ISNUMBER(C854),C854^2,"")</x:f>
      </x:c>
      <x:c r="F854" s="16" t="str">
        <x:f>IF(AND(ISNUMBER(C854),ISNUMBER($J$6),$J$6&gt;0),(C854-$J$5)/$J$6,"")</x:f>
      </x:c>
      <x:c r="G854" s="1" t="str">
        <x:f>IF(ISNUMBER(F854),IF(ABS(F854)&gt;3,1,0),"")</x:f>
      </x:c>
      <x:c r="H854" s="1" t="str">
        <x:f>IF(ISNUMBER(F854),F854^4,"")</x:f>
      </x:c>
      <x:c r="I854" s="1"/>
      <x:c r="J854" s="1"/>
      <x:c r="K854" s="1"/>
      <x:c r="L854" s="1"/>
      <x:c r="M854" s="1"/>
      <x:c r="N854" s="1"/>
    </x:row>
    <x:row r="855" ht="22" customHeight="1">
      <x:c r="A855" s="14"/>
      <x:c r="B855" s="15"/>
      <x:c r="C855" s="16" t="str">
        <x:f>IF(AND(ISNUMBER(B855),ISNUMBER(B854),B855&gt;0,B854&gt;0),LN(B855/B854),"")</x:f>
      </x:c>
      <x:c r="D855" s="16" t="str">
        <x:f>IF(ISNUMBER(C855),ABS(C855),"")</x:f>
      </x:c>
      <x:c r="E855" s="16" t="str">
        <x:f>IF(ISNUMBER(C855),C855^2,"")</x:f>
      </x:c>
      <x:c r="F855" s="16" t="str">
        <x:f>IF(AND(ISNUMBER(C855),ISNUMBER($J$6),$J$6&gt;0),(C855-$J$5)/$J$6,"")</x:f>
      </x:c>
      <x:c r="G855" s="1" t="str">
        <x:f>IF(ISNUMBER(F855),IF(ABS(F855)&gt;3,1,0),"")</x:f>
      </x:c>
      <x:c r="H855" s="1" t="str">
        <x:f>IF(ISNUMBER(F855),F855^4,"")</x:f>
      </x:c>
      <x:c r="I855" s="1"/>
      <x:c r="J855" s="1"/>
      <x:c r="K855" s="1"/>
      <x:c r="L855" s="1"/>
      <x:c r="M855" s="1"/>
      <x:c r="N855" s="1"/>
    </x:row>
    <x:row r="856" ht="22" customHeight="1">
      <x:c r="A856" s="14"/>
      <x:c r="B856" s="15"/>
      <x:c r="C856" s="16" t="str">
        <x:f>IF(AND(ISNUMBER(B856),ISNUMBER(B855),B856&gt;0,B855&gt;0),LN(B856/B855),"")</x:f>
      </x:c>
      <x:c r="D856" s="16" t="str">
        <x:f>IF(ISNUMBER(C856),ABS(C856),"")</x:f>
      </x:c>
      <x:c r="E856" s="16" t="str">
        <x:f>IF(ISNUMBER(C856),C856^2,"")</x:f>
      </x:c>
      <x:c r="F856" s="16" t="str">
        <x:f>IF(AND(ISNUMBER(C856),ISNUMBER($J$6),$J$6&gt;0),(C856-$J$5)/$J$6,"")</x:f>
      </x:c>
      <x:c r="G856" s="1" t="str">
        <x:f>IF(ISNUMBER(F856),IF(ABS(F856)&gt;3,1,0),"")</x:f>
      </x:c>
      <x:c r="H856" s="1" t="str">
        <x:f>IF(ISNUMBER(F856),F856^4,"")</x:f>
      </x:c>
      <x:c r="I856" s="1"/>
      <x:c r="J856" s="1"/>
      <x:c r="K856" s="1"/>
      <x:c r="L856" s="1"/>
      <x:c r="M856" s="1"/>
      <x:c r="N856" s="1"/>
    </x:row>
    <x:row r="857" ht="22" customHeight="1">
      <x:c r="A857" s="14"/>
      <x:c r="B857" s="15"/>
      <x:c r="C857" s="16" t="str">
        <x:f>IF(AND(ISNUMBER(B857),ISNUMBER(B856),B857&gt;0,B856&gt;0),LN(B857/B856),"")</x:f>
      </x:c>
      <x:c r="D857" s="16" t="str">
        <x:f>IF(ISNUMBER(C857),ABS(C857),"")</x:f>
      </x:c>
      <x:c r="E857" s="16" t="str">
        <x:f>IF(ISNUMBER(C857),C857^2,"")</x:f>
      </x:c>
      <x:c r="F857" s="16" t="str">
        <x:f>IF(AND(ISNUMBER(C857),ISNUMBER($J$6),$J$6&gt;0),(C857-$J$5)/$J$6,"")</x:f>
      </x:c>
      <x:c r="G857" s="1" t="str">
        <x:f>IF(ISNUMBER(F857),IF(ABS(F857)&gt;3,1,0),"")</x:f>
      </x:c>
      <x:c r="H857" s="1" t="str">
        <x:f>IF(ISNUMBER(F857),F857^4,"")</x:f>
      </x:c>
      <x:c r="I857" s="1"/>
      <x:c r="J857" s="1"/>
      <x:c r="K857" s="1"/>
      <x:c r="L857" s="1"/>
      <x:c r="M857" s="1"/>
      <x:c r="N857" s="1"/>
    </x:row>
    <x:row r="858" ht="22" customHeight="1">
      <x:c r="A858" s="14"/>
      <x:c r="B858" s="15"/>
      <x:c r="C858" s="16" t="str">
        <x:f>IF(AND(ISNUMBER(B858),ISNUMBER(B857),B858&gt;0,B857&gt;0),LN(B858/B857),"")</x:f>
      </x:c>
      <x:c r="D858" s="16" t="str">
        <x:f>IF(ISNUMBER(C858),ABS(C858),"")</x:f>
      </x:c>
      <x:c r="E858" s="16" t="str">
        <x:f>IF(ISNUMBER(C858),C858^2,"")</x:f>
      </x:c>
      <x:c r="F858" s="16" t="str">
        <x:f>IF(AND(ISNUMBER(C858),ISNUMBER($J$6),$J$6&gt;0),(C858-$J$5)/$J$6,"")</x:f>
      </x:c>
      <x:c r="G858" s="1" t="str">
        <x:f>IF(ISNUMBER(F858),IF(ABS(F858)&gt;3,1,0),"")</x:f>
      </x:c>
      <x:c r="H858" s="1" t="str">
        <x:f>IF(ISNUMBER(F858),F858^4,"")</x:f>
      </x:c>
      <x:c r="I858" s="1"/>
      <x:c r="J858" s="1"/>
      <x:c r="K858" s="1"/>
      <x:c r="L858" s="1"/>
      <x:c r="M858" s="1"/>
      <x:c r="N858" s="1"/>
    </x:row>
    <x:row r="859" ht="22" customHeight="1">
      <x:c r="A859" s="14"/>
      <x:c r="B859" s="15"/>
      <x:c r="C859" s="16" t="str">
        <x:f>IF(AND(ISNUMBER(B859),ISNUMBER(B858),B859&gt;0,B858&gt;0),LN(B859/B858),"")</x:f>
      </x:c>
      <x:c r="D859" s="16" t="str">
        <x:f>IF(ISNUMBER(C859),ABS(C859),"")</x:f>
      </x:c>
      <x:c r="E859" s="16" t="str">
        <x:f>IF(ISNUMBER(C859),C859^2,"")</x:f>
      </x:c>
      <x:c r="F859" s="16" t="str">
        <x:f>IF(AND(ISNUMBER(C859),ISNUMBER($J$6),$J$6&gt;0),(C859-$J$5)/$J$6,"")</x:f>
      </x:c>
      <x:c r="G859" s="1" t="str">
        <x:f>IF(ISNUMBER(F859),IF(ABS(F859)&gt;3,1,0),"")</x:f>
      </x:c>
      <x:c r="H859" s="1" t="str">
        <x:f>IF(ISNUMBER(F859),F859^4,"")</x:f>
      </x:c>
      <x:c r="I859" s="1"/>
      <x:c r="J859" s="1"/>
      <x:c r="K859" s="1"/>
      <x:c r="L859" s="1"/>
      <x:c r="M859" s="1"/>
      <x:c r="N859" s="1"/>
    </x:row>
    <x:row r="860" ht="22" customHeight="1">
      <x:c r="A860" s="14"/>
      <x:c r="B860" s="15"/>
      <x:c r="C860" s="16" t="str">
        <x:f>IF(AND(ISNUMBER(B860),ISNUMBER(B859),B860&gt;0,B859&gt;0),LN(B860/B859),"")</x:f>
      </x:c>
      <x:c r="D860" s="16" t="str">
        <x:f>IF(ISNUMBER(C860),ABS(C860),"")</x:f>
      </x:c>
      <x:c r="E860" s="16" t="str">
        <x:f>IF(ISNUMBER(C860),C860^2,"")</x:f>
      </x:c>
      <x:c r="F860" s="16" t="str">
        <x:f>IF(AND(ISNUMBER(C860),ISNUMBER($J$6),$J$6&gt;0),(C860-$J$5)/$J$6,"")</x:f>
      </x:c>
      <x:c r="G860" s="1" t="str">
        <x:f>IF(ISNUMBER(F860),IF(ABS(F860)&gt;3,1,0),"")</x:f>
      </x:c>
      <x:c r="H860" s="1" t="str">
        <x:f>IF(ISNUMBER(F860),F860^4,"")</x:f>
      </x:c>
      <x:c r="I860" s="1"/>
      <x:c r="J860" s="1"/>
      <x:c r="K860" s="1"/>
      <x:c r="L860" s="1"/>
      <x:c r="M860" s="1"/>
      <x:c r="N860" s="1"/>
    </x:row>
    <x:row r="861" ht="22" customHeight="1">
      <x:c r="A861" s="14"/>
      <x:c r="B861" s="15"/>
      <x:c r="C861" s="16" t="str">
        <x:f>IF(AND(ISNUMBER(B861),ISNUMBER(B860),B861&gt;0,B860&gt;0),LN(B861/B860),"")</x:f>
      </x:c>
      <x:c r="D861" s="16" t="str">
        <x:f>IF(ISNUMBER(C861),ABS(C861),"")</x:f>
      </x:c>
      <x:c r="E861" s="16" t="str">
        <x:f>IF(ISNUMBER(C861),C861^2,"")</x:f>
      </x:c>
      <x:c r="F861" s="16" t="str">
        <x:f>IF(AND(ISNUMBER(C861),ISNUMBER($J$6),$J$6&gt;0),(C861-$J$5)/$J$6,"")</x:f>
      </x:c>
      <x:c r="G861" s="1" t="str">
        <x:f>IF(ISNUMBER(F861),IF(ABS(F861)&gt;3,1,0),"")</x:f>
      </x:c>
      <x:c r="H861" s="1" t="str">
        <x:f>IF(ISNUMBER(F861),F861^4,"")</x:f>
      </x:c>
      <x:c r="I861" s="1"/>
      <x:c r="J861" s="1"/>
      <x:c r="K861" s="1"/>
      <x:c r="L861" s="1"/>
      <x:c r="M861" s="1"/>
      <x:c r="N861" s="1"/>
    </x:row>
    <x:row r="862" ht="22" customHeight="1">
      <x:c r="A862" s="14"/>
      <x:c r="B862" s="15"/>
      <x:c r="C862" s="16" t="str">
        <x:f>IF(AND(ISNUMBER(B862),ISNUMBER(B861),B862&gt;0,B861&gt;0),LN(B862/B861),"")</x:f>
      </x:c>
      <x:c r="D862" s="16" t="str">
        <x:f>IF(ISNUMBER(C862),ABS(C862),"")</x:f>
      </x:c>
      <x:c r="E862" s="16" t="str">
        <x:f>IF(ISNUMBER(C862),C862^2,"")</x:f>
      </x:c>
      <x:c r="F862" s="16" t="str">
        <x:f>IF(AND(ISNUMBER(C862),ISNUMBER($J$6),$J$6&gt;0),(C862-$J$5)/$J$6,"")</x:f>
      </x:c>
      <x:c r="G862" s="1" t="str">
        <x:f>IF(ISNUMBER(F862),IF(ABS(F862)&gt;3,1,0),"")</x:f>
      </x:c>
      <x:c r="H862" s="1" t="str">
        <x:f>IF(ISNUMBER(F862),F862^4,"")</x:f>
      </x:c>
      <x:c r="I862" s="1"/>
      <x:c r="J862" s="1"/>
      <x:c r="K862" s="1"/>
      <x:c r="L862" s="1"/>
      <x:c r="M862" s="1"/>
      <x:c r="N862" s="1"/>
    </x:row>
    <x:row r="863" ht="22" customHeight="1">
      <x:c r="A863" s="14"/>
      <x:c r="B863" s="15"/>
      <x:c r="C863" s="16" t="str">
        <x:f>IF(AND(ISNUMBER(B863),ISNUMBER(B862),B863&gt;0,B862&gt;0),LN(B863/B862),"")</x:f>
      </x:c>
      <x:c r="D863" s="16" t="str">
        <x:f>IF(ISNUMBER(C863),ABS(C863),"")</x:f>
      </x:c>
      <x:c r="E863" s="16" t="str">
        <x:f>IF(ISNUMBER(C863),C863^2,"")</x:f>
      </x:c>
      <x:c r="F863" s="16" t="str">
        <x:f>IF(AND(ISNUMBER(C863),ISNUMBER($J$6),$J$6&gt;0),(C863-$J$5)/$J$6,"")</x:f>
      </x:c>
      <x:c r="G863" s="1" t="str">
        <x:f>IF(ISNUMBER(F863),IF(ABS(F863)&gt;3,1,0),"")</x:f>
      </x:c>
      <x:c r="H863" s="1" t="str">
        <x:f>IF(ISNUMBER(F863),F863^4,"")</x:f>
      </x:c>
      <x:c r="I863" s="1"/>
      <x:c r="J863" s="1"/>
      <x:c r="K863" s="1"/>
      <x:c r="L863" s="1"/>
      <x:c r="M863" s="1"/>
      <x:c r="N863" s="1"/>
    </x:row>
    <x:row r="864" ht="22" customHeight="1">
      <x:c r="A864" s="14"/>
      <x:c r="B864" s="15"/>
      <x:c r="C864" s="16" t="str">
        <x:f>IF(AND(ISNUMBER(B864),ISNUMBER(B863),B864&gt;0,B863&gt;0),LN(B864/B863),"")</x:f>
      </x:c>
      <x:c r="D864" s="16" t="str">
        <x:f>IF(ISNUMBER(C864),ABS(C864),"")</x:f>
      </x:c>
      <x:c r="E864" s="16" t="str">
        <x:f>IF(ISNUMBER(C864),C864^2,"")</x:f>
      </x:c>
      <x:c r="F864" s="16" t="str">
        <x:f>IF(AND(ISNUMBER(C864),ISNUMBER($J$6),$J$6&gt;0),(C864-$J$5)/$J$6,"")</x:f>
      </x:c>
      <x:c r="G864" s="1" t="str">
        <x:f>IF(ISNUMBER(F864),IF(ABS(F864)&gt;3,1,0),"")</x:f>
      </x:c>
      <x:c r="H864" s="1" t="str">
        <x:f>IF(ISNUMBER(F864),F864^4,"")</x:f>
      </x:c>
      <x:c r="I864" s="1"/>
      <x:c r="J864" s="1"/>
      <x:c r="K864" s="1"/>
      <x:c r="L864" s="1"/>
      <x:c r="M864" s="1"/>
      <x:c r="N864" s="1"/>
    </x:row>
    <x:row r="865" ht="22" customHeight="1">
      <x:c r="A865" s="14"/>
      <x:c r="B865" s="15"/>
      <x:c r="C865" s="16" t="str">
        <x:f>IF(AND(ISNUMBER(B865),ISNUMBER(B864),B865&gt;0,B864&gt;0),LN(B865/B864),"")</x:f>
      </x:c>
      <x:c r="D865" s="16" t="str">
        <x:f>IF(ISNUMBER(C865),ABS(C865),"")</x:f>
      </x:c>
      <x:c r="E865" s="16" t="str">
        <x:f>IF(ISNUMBER(C865),C865^2,"")</x:f>
      </x:c>
      <x:c r="F865" s="16" t="str">
        <x:f>IF(AND(ISNUMBER(C865),ISNUMBER($J$6),$J$6&gt;0),(C865-$J$5)/$J$6,"")</x:f>
      </x:c>
      <x:c r="G865" s="1" t="str">
        <x:f>IF(ISNUMBER(F865),IF(ABS(F865)&gt;3,1,0),"")</x:f>
      </x:c>
      <x:c r="H865" s="1" t="str">
        <x:f>IF(ISNUMBER(F865),F865^4,"")</x:f>
      </x:c>
      <x:c r="I865" s="1"/>
      <x:c r="J865" s="1"/>
      <x:c r="K865" s="1"/>
      <x:c r="L865" s="1"/>
      <x:c r="M865" s="1"/>
      <x:c r="N865" s="1"/>
    </x:row>
    <x:row r="866" ht="22" customHeight="1">
      <x:c r="A866" s="14"/>
      <x:c r="B866" s="15"/>
      <x:c r="C866" s="16" t="str">
        <x:f>IF(AND(ISNUMBER(B866),ISNUMBER(B865),B866&gt;0,B865&gt;0),LN(B866/B865),"")</x:f>
      </x:c>
      <x:c r="D866" s="16" t="str">
        <x:f>IF(ISNUMBER(C866),ABS(C866),"")</x:f>
      </x:c>
      <x:c r="E866" s="16" t="str">
        <x:f>IF(ISNUMBER(C866),C866^2,"")</x:f>
      </x:c>
      <x:c r="F866" s="16" t="str">
        <x:f>IF(AND(ISNUMBER(C866),ISNUMBER($J$6),$J$6&gt;0),(C866-$J$5)/$J$6,"")</x:f>
      </x:c>
      <x:c r="G866" s="1" t="str">
        <x:f>IF(ISNUMBER(F866),IF(ABS(F866)&gt;3,1,0),"")</x:f>
      </x:c>
      <x:c r="H866" s="1" t="str">
        <x:f>IF(ISNUMBER(F866),F866^4,"")</x:f>
      </x:c>
      <x:c r="I866" s="1"/>
      <x:c r="J866" s="1"/>
      <x:c r="K866" s="1"/>
      <x:c r="L866" s="1"/>
      <x:c r="M866" s="1"/>
      <x:c r="N866" s="1"/>
    </x:row>
    <x:row r="867" ht="22" customHeight="1">
      <x:c r="A867" s="14"/>
      <x:c r="B867" s="15"/>
      <x:c r="C867" s="16" t="str">
        <x:f>IF(AND(ISNUMBER(B867),ISNUMBER(B866),B867&gt;0,B866&gt;0),LN(B867/B866),"")</x:f>
      </x:c>
      <x:c r="D867" s="16" t="str">
        <x:f>IF(ISNUMBER(C867),ABS(C867),"")</x:f>
      </x:c>
      <x:c r="E867" s="16" t="str">
        <x:f>IF(ISNUMBER(C867),C867^2,"")</x:f>
      </x:c>
      <x:c r="F867" s="16" t="str">
        <x:f>IF(AND(ISNUMBER(C867),ISNUMBER($J$6),$J$6&gt;0),(C867-$J$5)/$J$6,"")</x:f>
      </x:c>
      <x:c r="G867" s="1" t="str">
        <x:f>IF(ISNUMBER(F867),IF(ABS(F867)&gt;3,1,0),"")</x:f>
      </x:c>
      <x:c r="H867" s="1" t="str">
        <x:f>IF(ISNUMBER(F867),F867^4,"")</x:f>
      </x:c>
      <x:c r="I867" s="1"/>
      <x:c r="J867" s="1"/>
      <x:c r="K867" s="1"/>
      <x:c r="L867" s="1"/>
      <x:c r="M867" s="1"/>
      <x:c r="N867" s="1"/>
    </x:row>
    <x:row r="868" ht="22" customHeight="1">
      <x:c r="A868" s="14"/>
      <x:c r="B868" s="15"/>
      <x:c r="C868" s="16" t="str">
        <x:f>IF(AND(ISNUMBER(B868),ISNUMBER(B867),B868&gt;0,B867&gt;0),LN(B868/B867),"")</x:f>
      </x:c>
      <x:c r="D868" s="16" t="str">
        <x:f>IF(ISNUMBER(C868),ABS(C868),"")</x:f>
      </x:c>
      <x:c r="E868" s="16" t="str">
        <x:f>IF(ISNUMBER(C868),C868^2,"")</x:f>
      </x:c>
      <x:c r="F868" s="16" t="str">
        <x:f>IF(AND(ISNUMBER(C868),ISNUMBER($J$6),$J$6&gt;0),(C868-$J$5)/$J$6,"")</x:f>
      </x:c>
      <x:c r="G868" s="1" t="str">
        <x:f>IF(ISNUMBER(F868),IF(ABS(F868)&gt;3,1,0),"")</x:f>
      </x:c>
      <x:c r="H868" s="1" t="str">
        <x:f>IF(ISNUMBER(F868),F868^4,"")</x:f>
      </x:c>
      <x:c r="I868" s="1"/>
      <x:c r="J868" s="1"/>
      <x:c r="K868" s="1"/>
      <x:c r="L868" s="1"/>
      <x:c r="M868" s="1"/>
      <x:c r="N868" s="1"/>
    </x:row>
    <x:row r="869" ht="22" customHeight="1">
      <x:c r="A869" s="14"/>
      <x:c r="B869" s="15"/>
      <x:c r="C869" s="16" t="str">
        <x:f>IF(AND(ISNUMBER(B869),ISNUMBER(B868),B869&gt;0,B868&gt;0),LN(B869/B868),"")</x:f>
      </x:c>
      <x:c r="D869" s="16" t="str">
        <x:f>IF(ISNUMBER(C869),ABS(C869),"")</x:f>
      </x:c>
      <x:c r="E869" s="16" t="str">
        <x:f>IF(ISNUMBER(C869),C869^2,"")</x:f>
      </x:c>
      <x:c r="F869" s="16" t="str">
        <x:f>IF(AND(ISNUMBER(C869),ISNUMBER($J$6),$J$6&gt;0),(C869-$J$5)/$J$6,"")</x:f>
      </x:c>
      <x:c r="G869" s="1" t="str">
        <x:f>IF(ISNUMBER(F869),IF(ABS(F869)&gt;3,1,0),"")</x:f>
      </x:c>
      <x:c r="H869" s="1" t="str">
        <x:f>IF(ISNUMBER(F869),F869^4,"")</x:f>
      </x:c>
      <x:c r="I869" s="1"/>
      <x:c r="J869" s="1"/>
      <x:c r="K869" s="1"/>
      <x:c r="L869" s="1"/>
      <x:c r="M869" s="1"/>
      <x:c r="N869" s="1"/>
    </x:row>
    <x:row r="870" ht="22" customHeight="1">
      <x:c r="A870" s="14"/>
      <x:c r="B870" s="15"/>
      <x:c r="C870" s="16" t="str">
        <x:f>IF(AND(ISNUMBER(B870),ISNUMBER(B869),B870&gt;0,B869&gt;0),LN(B870/B869),"")</x:f>
      </x:c>
      <x:c r="D870" s="16" t="str">
        <x:f>IF(ISNUMBER(C870),ABS(C870),"")</x:f>
      </x:c>
      <x:c r="E870" s="16" t="str">
        <x:f>IF(ISNUMBER(C870),C870^2,"")</x:f>
      </x:c>
      <x:c r="F870" s="16" t="str">
        <x:f>IF(AND(ISNUMBER(C870),ISNUMBER($J$6),$J$6&gt;0),(C870-$J$5)/$J$6,"")</x:f>
      </x:c>
      <x:c r="G870" s="1" t="str">
        <x:f>IF(ISNUMBER(F870),IF(ABS(F870)&gt;3,1,0),"")</x:f>
      </x:c>
      <x:c r="H870" s="1" t="str">
        <x:f>IF(ISNUMBER(F870),F870^4,"")</x:f>
      </x:c>
      <x:c r="I870" s="1"/>
      <x:c r="J870" s="1"/>
      <x:c r="K870" s="1"/>
      <x:c r="L870" s="1"/>
      <x:c r="M870" s="1"/>
      <x:c r="N870" s="1"/>
    </x:row>
    <x:row r="871" ht="22" customHeight="1">
      <x:c r="A871" s="14"/>
      <x:c r="B871" s="15"/>
      <x:c r="C871" s="16" t="str">
        <x:f>IF(AND(ISNUMBER(B871),ISNUMBER(B870),B871&gt;0,B870&gt;0),LN(B871/B870),"")</x:f>
      </x:c>
      <x:c r="D871" s="16" t="str">
        <x:f>IF(ISNUMBER(C871),ABS(C871),"")</x:f>
      </x:c>
      <x:c r="E871" s="16" t="str">
        <x:f>IF(ISNUMBER(C871),C871^2,"")</x:f>
      </x:c>
      <x:c r="F871" s="16" t="str">
        <x:f>IF(AND(ISNUMBER(C871),ISNUMBER($J$6),$J$6&gt;0),(C871-$J$5)/$J$6,"")</x:f>
      </x:c>
      <x:c r="G871" s="1" t="str">
        <x:f>IF(ISNUMBER(F871),IF(ABS(F871)&gt;3,1,0),"")</x:f>
      </x:c>
      <x:c r="H871" s="1" t="str">
        <x:f>IF(ISNUMBER(F871),F871^4,"")</x:f>
      </x:c>
      <x:c r="I871" s="1"/>
      <x:c r="J871" s="1"/>
      <x:c r="K871" s="1"/>
      <x:c r="L871" s="1"/>
      <x:c r="M871" s="1"/>
      <x:c r="N871" s="1"/>
    </x:row>
    <x:row r="872" ht="22" customHeight="1">
      <x:c r="A872" s="14"/>
      <x:c r="B872" s="15"/>
      <x:c r="C872" s="16" t="str">
        <x:f>IF(AND(ISNUMBER(B872),ISNUMBER(B871),B872&gt;0,B871&gt;0),LN(B872/B871),"")</x:f>
      </x:c>
      <x:c r="D872" s="16" t="str">
        <x:f>IF(ISNUMBER(C872),ABS(C872),"")</x:f>
      </x:c>
      <x:c r="E872" s="16" t="str">
        <x:f>IF(ISNUMBER(C872),C872^2,"")</x:f>
      </x:c>
      <x:c r="F872" s="16" t="str">
        <x:f>IF(AND(ISNUMBER(C872),ISNUMBER($J$6),$J$6&gt;0),(C872-$J$5)/$J$6,"")</x:f>
      </x:c>
      <x:c r="G872" s="1" t="str">
        <x:f>IF(ISNUMBER(F872),IF(ABS(F872)&gt;3,1,0),"")</x:f>
      </x:c>
      <x:c r="H872" s="1" t="str">
        <x:f>IF(ISNUMBER(F872),F872^4,"")</x:f>
      </x:c>
      <x:c r="I872" s="1"/>
      <x:c r="J872" s="1"/>
      <x:c r="K872" s="1"/>
      <x:c r="L872" s="1"/>
      <x:c r="M872" s="1"/>
      <x:c r="N872" s="1"/>
    </x:row>
    <x:row r="873" ht="22" customHeight="1">
      <x:c r="A873" s="14"/>
      <x:c r="B873" s="15"/>
      <x:c r="C873" s="16" t="str">
        <x:f>IF(AND(ISNUMBER(B873),ISNUMBER(B872),B873&gt;0,B872&gt;0),LN(B873/B872),"")</x:f>
      </x:c>
      <x:c r="D873" s="16" t="str">
        <x:f>IF(ISNUMBER(C873),ABS(C873),"")</x:f>
      </x:c>
      <x:c r="E873" s="16" t="str">
        <x:f>IF(ISNUMBER(C873),C873^2,"")</x:f>
      </x:c>
      <x:c r="F873" s="16" t="str">
        <x:f>IF(AND(ISNUMBER(C873),ISNUMBER($J$6),$J$6&gt;0),(C873-$J$5)/$J$6,"")</x:f>
      </x:c>
      <x:c r="G873" s="1" t="str">
        <x:f>IF(ISNUMBER(F873),IF(ABS(F873)&gt;3,1,0),"")</x:f>
      </x:c>
      <x:c r="H873" s="1" t="str">
        <x:f>IF(ISNUMBER(F873),F873^4,"")</x:f>
      </x:c>
      <x:c r="I873" s="1"/>
      <x:c r="J873" s="1"/>
      <x:c r="K873" s="1"/>
      <x:c r="L873" s="1"/>
      <x:c r="M873" s="1"/>
      <x:c r="N873" s="1"/>
    </x:row>
    <x:row r="874" ht="22" customHeight="1">
      <x:c r="A874" s="14"/>
      <x:c r="B874" s="15"/>
      <x:c r="C874" s="16" t="str">
        <x:f>IF(AND(ISNUMBER(B874),ISNUMBER(B873),B874&gt;0,B873&gt;0),LN(B874/B873),"")</x:f>
      </x:c>
      <x:c r="D874" s="16" t="str">
        <x:f>IF(ISNUMBER(C874),ABS(C874),"")</x:f>
      </x:c>
      <x:c r="E874" s="16" t="str">
        <x:f>IF(ISNUMBER(C874),C874^2,"")</x:f>
      </x:c>
      <x:c r="F874" s="16" t="str">
        <x:f>IF(AND(ISNUMBER(C874),ISNUMBER($J$6),$J$6&gt;0),(C874-$J$5)/$J$6,"")</x:f>
      </x:c>
      <x:c r="G874" s="1" t="str">
        <x:f>IF(ISNUMBER(F874),IF(ABS(F874)&gt;3,1,0),"")</x:f>
      </x:c>
      <x:c r="H874" s="1" t="str">
        <x:f>IF(ISNUMBER(F874),F874^4,"")</x:f>
      </x:c>
      <x:c r="I874" s="1"/>
      <x:c r="J874" s="1"/>
      <x:c r="K874" s="1"/>
      <x:c r="L874" s="1"/>
      <x:c r="M874" s="1"/>
      <x:c r="N874" s="1"/>
    </x:row>
    <x:row r="875" ht="22" customHeight="1">
      <x:c r="A875" s="14"/>
      <x:c r="B875" s="15"/>
      <x:c r="C875" s="16" t="str">
        <x:f>IF(AND(ISNUMBER(B875),ISNUMBER(B874),B875&gt;0,B874&gt;0),LN(B875/B874),"")</x:f>
      </x:c>
      <x:c r="D875" s="16" t="str">
        <x:f>IF(ISNUMBER(C875),ABS(C875),"")</x:f>
      </x:c>
      <x:c r="E875" s="16" t="str">
        <x:f>IF(ISNUMBER(C875),C875^2,"")</x:f>
      </x:c>
      <x:c r="F875" s="16" t="str">
        <x:f>IF(AND(ISNUMBER(C875),ISNUMBER($J$6),$J$6&gt;0),(C875-$J$5)/$J$6,"")</x:f>
      </x:c>
      <x:c r="G875" s="1" t="str">
        <x:f>IF(ISNUMBER(F875),IF(ABS(F875)&gt;3,1,0),"")</x:f>
      </x:c>
      <x:c r="H875" s="1" t="str">
        <x:f>IF(ISNUMBER(F875),F875^4,"")</x:f>
      </x:c>
      <x:c r="I875" s="1"/>
      <x:c r="J875" s="1"/>
      <x:c r="K875" s="1"/>
      <x:c r="L875" s="1"/>
      <x:c r="M875" s="1"/>
      <x:c r="N875" s="1"/>
    </x:row>
    <x:row r="876" ht="22" customHeight="1">
      <x:c r="A876" s="14"/>
      <x:c r="B876" s="15"/>
      <x:c r="C876" s="16" t="str">
        <x:f>IF(AND(ISNUMBER(B876),ISNUMBER(B875),B876&gt;0,B875&gt;0),LN(B876/B875),"")</x:f>
      </x:c>
      <x:c r="D876" s="16" t="str">
        <x:f>IF(ISNUMBER(C876),ABS(C876),"")</x:f>
      </x:c>
      <x:c r="E876" s="16" t="str">
        <x:f>IF(ISNUMBER(C876),C876^2,"")</x:f>
      </x:c>
      <x:c r="F876" s="16" t="str">
        <x:f>IF(AND(ISNUMBER(C876),ISNUMBER($J$6),$J$6&gt;0),(C876-$J$5)/$J$6,"")</x:f>
      </x:c>
      <x:c r="G876" s="1" t="str">
        <x:f>IF(ISNUMBER(F876),IF(ABS(F876)&gt;3,1,0),"")</x:f>
      </x:c>
      <x:c r="H876" s="1" t="str">
        <x:f>IF(ISNUMBER(F876),F876^4,"")</x:f>
      </x:c>
      <x:c r="I876" s="1"/>
      <x:c r="J876" s="1"/>
      <x:c r="K876" s="1"/>
      <x:c r="L876" s="1"/>
      <x:c r="M876" s="1"/>
      <x:c r="N876" s="1"/>
    </x:row>
    <x:row r="877" ht="22" customHeight="1">
      <x:c r="A877" s="14"/>
      <x:c r="B877" s="15"/>
      <x:c r="C877" s="16" t="str">
        <x:f>IF(AND(ISNUMBER(B877),ISNUMBER(B876),B877&gt;0,B876&gt;0),LN(B877/B876),"")</x:f>
      </x:c>
      <x:c r="D877" s="16" t="str">
        <x:f>IF(ISNUMBER(C877),ABS(C877),"")</x:f>
      </x:c>
      <x:c r="E877" s="16" t="str">
        <x:f>IF(ISNUMBER(C877),C877^2,"")</x:f>
      </x:c>
      <x:c r="F877" s="16" t="str">
        <x:f>IF(AND(ISNUMBER(C877),ISNUMBER($J$6),$J$6&gt;0),(C877-$J$5)/$J$6,"")</x:f>
      </x:c>
      <x:c r="G877" s="1" t="str">
        <x:f>IF(ISNUMBER(F877),IF(ABS(F877)&gt;3,1,0),"")</x:f>
      </x:c>
      <x:c r="H877" s="1" t="str">
        <x:f>IF(ISNUMBER(F877),F877^4,"")</x:f>
      </x:c>
      <x:c r="I877" s="1"/>
      <x:c r="J877" s="1"/>
      <x:c r="K877" s="1"/>
      <x:c r="L877" s="1"/>
      <x:c r="M877" s="1"/>
      <x:c r="N877" s="1"/>
    </x:row>
    <x:row r="878" ht="22" customHeight="1">
      <x:c r="A878" s="14"/>
      <x:c r="B878" s="15"/>
      <x:c r="C878" s="16" t="str">
        <x:f>IF(AND(ISNUMBER(B878),ISNUMBER(B877),B878&gt;0,B877&gt;0),LN(B878/B877),"")</x:f>
      </x:c>
      <x:c r="D878" s="16" t="str">
        <x:f>IF(ISNUMBER(C878),ABS(C878),"")</x:f>
      </x:c>
      <x:c r="E878" s="16" t="str">
        <x:f>IF(ISNUMBER(C878),C878^2,"")</x:f>
      </x:c>
      <x:c r="F878" s="16" t="str">
        <x:f>IF(AND(ISNUMBER(C878),ISNUMBER($J$6),$J$6&gt;0),(C878-$J$5)/$J$6,"")</x:f>
      </x:c>
      <x:c r="G878" s="1" t="str">
        <x:f>IF(ISNUMBER(F878),IF(ABS(F878)&gt;3,1,0),"")</x:f>
      </x:c>
      <x:c r="H878" s="1" t="str">
        <x:f>IF(ISNUMBER(F878),F878^4,"")</x:f>
      </x:c>
      <x:c r="I878" s="1"/>
      <x:c r="J878" s="1"/>
      <x:c r="K878" s="1"/>
      <x:c r="L878" s="1"/>
      <x:c r="M878" s="1"/>
      <x:c r="N878" s="1"/>
    </x:row>
    <x:row r="879" ht="22" customHeight="1">
      <x:c r="A879" s="14"/>
      <x:c r="B879" s="15"/>
      <x:c r="C879" s="16" t="str">
        <x:f>IF(AND(ISNUMBER(B879),ISNUMBER(B878),B879&gt;0,B878&gt;0),LN(B879/B878),"")</x:f>
      </x:c>
      <x:c r="D879" s="16" t="str">
        <x:f>IF(ISNUMBER(C879),ABS(C879),"")</x:f>
      </x:c>
      <x:c r="E879" s="16" t="str">
        <x:f>IF(ISNUMBER(C879),C879^2,"")</x:f>
      </x:c>
      <x:c r="F879" s="16" t="str">
        <x:f>IF(AND(ISNUMBER(C879),ISNUMBER($J$6),$J$6&gt;0),(C879-$J$5)/$J$6,"")</x:f>
      </x:c>
      <x:c r="G879" s="1" t="str">
        <x:f>IF(ISNUMBER(F879),IF(ABS(F879)&gt;3,1,0),"")</x:f>
      </x:c>
      <x:c r="H879" s="1" t="str">
        <x:f>IF(ISNUMBER(F879),F879^4,"")</x:f>
      </x:c>
      <x:c r="I879" s="1"/>
      <x:c r="J879" s="1"/>
      <x:c r="K879" s="1"/>
      <x:c r="L879" s="1"/>
      <x:c r="M879" s="1"/>
      <x:c r="N879" s="1"/>
    </x:row>
    <x:row r="880" ht="22" customHeight="1">
      <x:c r="A880" s="14"/>
      <x:c r="B880" s="15"/>
      <x:c r="C880" s="16" t="str">
        <x:f>IF(AND(ISNUMBER(B880),ISNUMBER(B879),B880&gt;0,B879&gt;0),LN(B880/B879),"")</x:f>
      </x:c>
      <x:c r="D880" s="16" t="str">
        <x:f>IF(ISNUMBER(C880),ABS(C880),"")</x:f>
      </x:c>
      <x:c r="E880" s="16" t="str">
        <x:f>IF(ISNUMBER(C880),C880^2,"")</x:f>
      </x:c>
      <x:c r="F880" s="16" t="str">
        <x:f>IF(AND(ISNUMBER(C880),ISNUMBER($J$6),$J$6&gt;0),(C880-$J$5)/$J$6,"")</x:f>
      </x:c>
      <x:c r="G880" s="1" t="str">
        <x:f>IF(ISNUMBER(F880),IF(ABS(F880)&gt;3,1,0),"")</x:f>
      </x:c>
      <x:c r="H880" s="1" t="str">
        <x:f>IF(ISNUMBER(F880),F880^4,"")</x:f>
      </x:c>
      <x:c r="I880" s="1"/>
      <x:c r="J880" s="1"/>
      <x:c r="K880" s="1"/>
      <x:c r="L880" s="1"/>
      <x:c r="M880" s="1"/>
      <x:c r="N880" s="1"/>
    </x:row>
    <x:row r="881" ht="22" customHeight="1">
      <x:c r="A881" s="14"/>
      <x:c r="B881" s="15"/>
      <x:c r="C881" s="16" t="str">
        <x:f>IF(AND(ISNUMBER(B881),ISNUMBER(B880),B881&gt;0,B880&gt;0),LN(B881/B880),"")</x:f>
      </x:c>
      <x:c r="D881" s="16" t="str">
        <x:f>IF(ISNUMBER(C881),ABS(C881),"")</x:f>
      </x:c>
      <x:c r="E881" s="16" t="str">
        <x:f>IF(ISNUMBER(C881),C881^2,"")</x:f>
      </x:c>
      <x:c r="F881" s="16" t="str">
        <x:f>IF(AND(ISNUMBER(C881),ISNUMBER($J$6),$J$6&gt;0),(C881-$J$5)/$J$6,"")</x:f>
      </x:c>
      <x:c r="G881" s="1" t="str">
        <x:f>IF(ISNUMBER(F881),IF(ABS(F881)&gt;3,1,0),"")</x:f>
      </x:c>
      <x:c r="H881" s="1" t="str">
        <x:f>IF(ISNUMBER(F881),F881^4,"")</x:f>
      </x:c>
      <x:c r="I881" s="1"/>
      <x:c r="J881" s="1"/>
      <x:c r="K881" s="1"/>
      <x:c r="L881" s="1"/>
      <x:c r="M881" s="1"/>
      <x:c r="N881" s="1"/>
    </x:row>
    <x:row r="882" ht="22" customHeight="1">
      <x:c r="A882" s="14"/>
      <x:c r="B882" s="15"/>
      <x:c r="C882" s="16" t="str">
        <x:f>IF(AND(ISNUMBER(B882),ISNUMBER(B881),B882&gt;0,B881&gt;0),LN(B882/B881),"")</x:f>
      </x:c>
      <x:c r="D882" s="16" t="str">
        <x:f>IF(ISNUMBER(C882),ABS(C882),"")</x:f>
      </x:c>
      <x:c r="E882" s="16" t="str">
        <x:f>IF(ISNUMBER(C882),C882^2,"")</x:f>
      </x:c>
      <x:c r="F882" s="16" t="str">
        <x:f>IF(AND(ISNUMBER(C882),ISNUMBER($J$6),$J$6&gt;0),(C882-$J$5)/$J$6,"")</x:f>
      </x:c>
      <x:c r="G882" s="1" t="str">
        <x:f>IF(ISNUMBER(F882),IF(ABS(F882)&gt;3,1,0),"")</x:f>
      </x:c>
      <x:c r="H882" s="1" t="str">
        <x:f>IF(ISNUMBER(F882),F882^4,"")</x:f>
      </x:c>
      <x:c r="I882" s="1"/>
      <x:c r="J882" s="1"/>
      <x:c r="K882" s="1"/>
      <x:c r="L882" s="1"/>
      <x:c r="M882" s="1"/>
      <x:c r="N882" s="1"/>
    </x:row>
    <x:row r="883" ht="22" customHeight="1">
      <x:c r="A883" s="14"/>
      <x:c r="B883" s="15"/>
      <x:c r="C883" s="16" t="str">
        <x:f>IF(AND(ISNUMBER(B883),ISNUMBER(B882),B883&gt;0,B882&gt;0),LN(B883/B882),"")</x:f>
      </x:c>
      <x:c r="D883" s="16" t="str">
        <x:f>IF(ISNUMBER(C883),ABS(C883),"")</x:f>
      </x:c>
      <x:c r="E883" s="16" t="str">
        <x:f>IF(ISNUMBER(C883),C883^2,"")</x:f>
      </x:c>
      <x:c r="F883" s="16" t="str">
        <x:f>IF(AND(ISNUMBER(C883),ISNUMBER($J$6),$J$6&gt;0),(C883-$J$5)/$J$6,"")</x:f>
      </x:c>
      <x:c r="G883" s="1" t="str">
        <x:f>IF(ISNUMBER(F883),IF(ABS(F883)&gt;3,1,0),"")</x:f>
      </x:c>
      <x:c r="H883" s="1" t="str">
        <x:f>IF(ISNUMBER(F883),F883^4,"")</x:f>
      </x:c>
      <x:c r="I883" s="1"/>
      <x:c r="J883" s="1"/>
      <x:c r="K883" s="1"/>
      <x:c r="L883" s="1"/>
      <x:c r="M883" s="1"/>
      <x:c r="N883" s="1"/>
    </x:row>
    <x:row r="884" ht="22" customHeight="1">
      <x:c r="A884" s="14"/>
      <x:c r="B884" s="15"/>
      <x:c r="C884" s="16" t="str">
        <x:f>IF(AND(ISNUMBER(B884),ISNUMBER(B883),B884&gt;0,B883&gt;0),LN(B884/B883),"")</x:f>
      </x:c>
      <x:c r="D884" s="16" t="str">
        <x:f>IF(ISNUMBER(C884),ABS(C884),"")</x:f>
      </x:c>
      <x:c r="E884" s="16" t="str">
        <x:f>IF(ISNUMBER(C884),C884^2,"")</x:f>
      </x:c>
      <x:c r="F884" s="16" t="str">
        <x:f>IF(AND(ISNUMBER(C884),ISNUMBER($J$6),$J$6&gt;0),(C884-$J$5)/$J$6,"")</x:f>
      </x:c>
      <x:c r="G884" s="1" t="str">
        <x:f>IF(ISNUMBER(F884),IF(ABS(F884)&gt;3,1,0),"")</x:f>
      </x:c>
      <x:c r="H884" s="1" t="str">
        <x:f>IF(ISNUMBER(F884),F884^4,"")</x:f>
      </x:c>
      <x:c r="I884" s="1"/>
      <x:c r="J884" s="1"/>
      <x:c r="K884" s="1"/>
      <x:c r="L884" s="1"/>
      <x:c r="M884" s="1"/>
      <x:c r="N884" s="1"/>
    </x:row>
    <x:row r="885" ht="22" customHeight="1">
      <x:c r="A885" s="14"/>
      <x:c r="B885" s="15"/>
      <x:c r="C885" s="16" t="str">
        <x:f>IF(AND(ISNUMBER(B885),ISNUMBER(B884),B885&gt;0,B884&gt;0),LN(B885/B884),"")</x:f>
      </x:c>
      <x:c r="D885" s="16" t="str">
        <x:f>IF(ISNUMBER(C885),ABS(C885),"")</x:f>
      </x:c>
      <x:c r="E885" s="16" t="str">
        <x:f>IF(ISNUMBER(C885),C885^2,"")</x:f>
      </x:c>
      <x:c r="F885" s="16" t="str">
        <x:f>IF(AND(ISNUMBER(C885),ISNUMBER($J$6),$J$6&gt;0),(C885-$J$5)/$J$6,"")</x:f>
      </x:c>
      <x:c r="G885" s="1" t="str">
        <x:f>IF(ISNUMBER(F885),IF(ABS(F885)&gt;3,1,0),"")</x:f>
      </x:c>
      <x:c r="H885" s="1" t="str">
        <x:f>IF(ISNUMBER(F885),F885^4,"")</x:f>
      </x:c>
      <x:c r="I885" s="1"/>
      <x:c r="J885" s="1"/>
      <x:c r="K885" s="1"/>
      <x:c r="L885" s="1"/>
      <x:c r="M885" s="1"/>
      <x:c r="N885" s="1"/>
    </x:row>
    <x:row r="886" ht="22" customHeight="1">
      <x:c r="A886" s="14"/>
      <x:c r="B886" s="15"/>
      <x:c r="C886" s="16" t="str">
        <x:f>IF(AND(ISNUMBER(B886),ISNUMBER(B885),B886&gt;0,B885&gt;0),LN(B886/B885),"")</x:f>
      </x:c>
      <x:c r="D886" s="16" t="str">
        <x:f>IF(ISNUMBER(C886),ABS(C886),"")</x:f>
      </x:c>
      <x:c r="E886" s="16" t="str">
        <x:f>IF(ISNUMBER(C886),C886^2,"")</x:f>
      </x:c>
      <x:c r="F886" s="16" t="str">
        <x:f>IF(AND(ISNUMBER(C886),ISNUMBER($J$6),$J$6&gt;0),(C886-$J$5)/$J$6,"")</x:f>
      </x:c>
      <x:c r="G886" s="1" t="str">
        <x:f>IF(ISNUMBER(F886),IF(ABS(F886)&gt;3,1,0),"")</x:f>
      </x:c>
      <x:c r="H886" s="1" t="str">
        <x:f>IF(ISNUMBER(F886),F886^4,"")</x:f>
      </x:c>
      <x:c r="I886" s="1"/>
      <x:c r="J886" s="1"/>
      <x:c r="K886" s="1"/>
      <x:c r="L886" s="1"/>
      <x:c r="M886" s="1"/>
      <x:c r="N886" s="1"/>
    </x:row>
    <x:row r="887" ht="22" customHeight="1">
      <x:c r="A887" s="14"/>
      <x:c r="B887" s="15"/>
      <x:c r="C887" s="16" t="str">
        <x:f>IF(AND(ISNUMBER(B887),ISNUMBER(B886),B887&gt;0,B886&gt;0),LN(B887/B886),"")</x:f>
      </x:c>
      <x:c r="D887" s="16" t="str">
        <x:f>IF(ISNUMBER(C887),ABS(C887),"")</x:f>
      </x:c>
      <x:c r="E887" s="16" t="str">
        <x:f>IF(ISNUMBER(C887),C887^2,"")</x:f>
      </x:c>
      <x:c r="F887" s="16" t="str">
        <x:f>IF(AND(ISNUMBER(C887),ISNUMBER($J$6),$J$6&gt;0),(C887-$J$5)/$J$6,"")</x:f>
      </x:c>
      <x:c r="G887" s="1" t="str">
        <x:f>IF(ISNUMBER(F887),IF(ABS(F887)&gt;3,1,0),"")</x:f>
      </x:c>
      <x:c r="H887" s="1" t="str">
        <x:f>IF(ISNUMBER(F887),F887^4,"")</x:f>
      </x:c>
      <x:c r="I887" s="1"/>
      <x:c r="J887" s="1"/>
      <x:c r="K887" s="1"/>
      <x:c r="L887" s="1"/>
      <x:c r="M887" s="1"/>
      <x:c r="N887" s="1"/>
    </x:row>
    <x:row r="888" ht="22" customHeight="1">
      <x:c r="A888" s="14"/>
      <x:c r="B888" s="15"/>
      <x:c r="C888" s="16" t="str">
        <x:f>IF(AND(ISNUMBER(B888),ISNUMBER(B887),B888&gt;0,B887&gt;0),LN(B888/B887),"")</x:f>
      </x:c>
      <x:c r="D888" s="16" t="str">
        <x:f>IF(ISNUMBER(C888),ABS(C888),"")</x:f>
      </x:c>
      <x:c r="E888" s="16" t="str">
        <x:f>IF(ISNUMBER(C888),C888^2,"")</x:f>
      </x:c>
      <x:c r="F888" s="16" t="str">
        <x:f>IF(AND(ISNUMBER(C888),ISNUMBER($J$6),$J$6&gt;0),(C888-$J$5)/$J$6,"")</x:f>
      </x:c>
      <x:c r="G888" s="1" t="str">
        <x:f>IF(ISNUMBER(F888),IF(ABS(F888)&gt;3,1,0),"")</x:f>
      </x:c>
      <x:c r="H888" s="1" t="str">
        <x:f>IF(ISNUMBER(F888),F888^4,"")</x:f>
      </x:c>
      <x:c r="I888" s="1"/>
      <x:c r="J888" s="1"/>
      <x:c r="K888" s="1"/>
      <x:c r="L888" s="1"/>
      <x:c r="M888" s="1"/>
      <x:c r="N888" s="1"/>
    </x:row>
    <x:row r="889" ht="22" customHeight="1">
      <x:c r="A889" s="14"/>
      <x:c r="B889" s="15"/>
      <x:c r="C889" s="16" t="str">
        <x:f>IF(AND(ISNUMBER(B889),ISNUMBER(B888),B889&gt;0,B888&gt;0),LN(B889/B888),"")</x:f>
      </x:c>
      <x:c r="D889" s="16" t="str">
        <x:f>IF(ISNUMBER(C889),ABS(C889),"")</x:f>
      </x:c>
      <x:c r="E889" s="16" t="str">
        <x:f>IF(ISNUMBER(C889),C889^2,"")</x:f>
      </x:c>
      <x:c r="F889" s="16" t="str">
        <x:f>IF(AND(ISNUMBER(C889),ISNUMBER($J$6),$J$6&gt;0),(C889-$J$5)/$J$6,"")</x:f>
      </x:c>
      <x:c r="G889" s="1" t="str">
        <x:f>IF(ISNUMBER(F889),IF(ABS(F889)&gt;3,1,0),"")</x:f>
      </x:c>
      <x:c r="H889" s="1" t="str">
        <x:f>IF(ISNUMBER(F889),F889^4,"")</x:f>
      </x:c>
      <x:c r="I889" s="1"/>
      <x:c r="J889" s="1"/>
      <x:c r="K889" s="1"/>
      <x:c r="L889" s="1"/>
      <x:c r="M889" s="1"/>
      <x:c r="N889" s="1"/>
    </x:row>
    <x:row r="890" ht="22" customHeight="1">
      <x:c r="A890" s="14"/>
      <x:c r="B890" s="15"/>
      <x:c r="C890" s="16" t="str">
        <x:f>IF(AND(ISNUMBER(B890),ISNUMBER(B889),B890&gt;0,B889&gt;0),LN(B890/B889),"")</x:f>
      </x:c>
      <x:c r="D890" s="16" t="str">
        <x:f>IF(ISNUMBER(C890),ABS(C890),"")</x:f>
      </x:c>
      <x:c r="E890" s="16" t="str">
        <x:f>IF(ISNUMBER(C890),C890^2,"")</x:f>
      </x:c>
      <x:c r="F890" s="16" t="str">
        <x:f>IF(AND(ISNUMBER(C890),ISNUMBER($J$6),$J$6&gt;0),(C890-$J$5)/$J$6,"")</x:f>
      </x:c>
      <x:c r="G890" s="1" t="str">
        <x:f>IF(ISNUMBER(F890),IF(ABS(F890)&gt;3,1,0),"")</x:f>
      </x:c>
      <x:c r="H890" s="1" t="str">
        <x:f>IF(ISNUMBER(F890),F890^4,"")</x:f>
      </x:c>
      <x:c r="I890" s="1"/>
      <x:c r="J890" s="1"/>
      <x:c r="K890" s="1"/>
      <x:c r="L890" s="1"/>
      <x:c r="M890" s="1"/>
      <x:c r="N890" s="1"/>
    </x:row>
    <x:row r="891" ht="22" customHeight="1">
      <x:c r="A891" s="14"/>
      <x:c r="B891" s="15"/>
      <x:c r="C891" s="16" t="str">
        <x:f>IF(AND(ISNUMBER(B891),ISNUMBER(B890),B891&gt;0,B890&gt;0),LN(B891/B890),"")</x:f>
      </x:c>
      <x:c r="D891" s="16" t="str">
        <x:f>IF(ISNUMBER(C891),ABS(C891),"")</x:f>
      </x:c>
      <x:c r="E891" s="16" t="str">
        <x:f>IF(ISNUMBER(C891),C891^2,"")</x:f>
      </x:c>
      <x:c r="F891" s="16" t="str">
        <x:f>IF(AND(ISNUMBER(C891),ISNUMBER($J$6),$J$6&gt;0),(C891-$J$5)/$J$6,"")</x:f>
      </x:c>
      <x:c r="G891" s="1" t="str">
        <x:f>IF(ISNUMBER(F891),IF(ABS(F891)&gt;3,1,0),"")</x:f>
      </x:c>
      <x:c r="H891" s="1" t="str">
        <x:f>IF(ISNUMBER(F891),F891^4,"")</x:f>
      </x:c>
      <x:c r="I891" s="1"/>
      <x:c r="J891" s="1"/>
      <x:c r="K891" s="1"/>
      <x:c r="L891" s="1"/>
      <x:c r="M891" s="1"/>
      <x:c r="N891" s="1"/>
    </x:row>
    <x:row r="892" ht="22" customHeight="1">
      <x:c r="A892" s="14"/>
      <x:c r="B892" s="15"/>
      <x:c r="C892" s="16" t="str">
        <x:f>IF(AND(ISNUMBER(B892),ISNUMBER(B891),B892&gt;0,B891&gt;0),LN(B892/B891),"")</x:f>
      </x:c>
      <x:c r="D892" s="16" t="str">
        <x:f>IF(ISNUMBER(C892),ABS(C892),"")</x:f>
      </x:c>
      <x:c r="E892" s="16" t="str">
        <x:f>IF(ISNUMBER(C892),C892^2,"")</x:f>
      </x:c>
      <x:c r="F892" s="16" t="str">
        <x:f>IF(AND(ISNUMBER(C892),ISNUMBER($J$6),$J$6&gt;0),(C892-$J$5)/$J$6,"")</x:f>
      </x:c>
      <x:c r="G892" s="1" t="str">
        <x:f>IF(ISNUMBER(F892),IF(ABS(F892)&gt;3,1,0),"")</x:f>
      </x:c>
      <x:c r="H892" s="1" t="str">
        <x:f>IF(ISNUMBER(F892),F892^4,"")</x:f>
      </x:c>
      <x:c r="I892" s="1"/>
      <x:c r="J892" s="1"/>
      <x:c r="K892" s="1"/>
      <x:c r="L892" s="1"/>
      <x:c r="M892" s="1"/>
      <x:c r="N892" s="1"/>
    </x:row>
    <x:row r="893" ht="22" customHeight="1">
      <x:c r="A893" s="14"/>
      <x:c r="B893" s="15"/>
      <x:c r="C893" s="16" t="str">
        <x:f>IF(AND(ISNUMBER(B893),ISNUMBER(B892),B893&gt;0,B892&gt;0),LN(B893/B892),"")</x:f>
      </x:c>
      <x:c r="D893" s="16" t="str">
        <x:f>IF(ISNUMBER(C893),ABS(C893),"")</x:f>
      </x:c>
      <x:c r="E893" s="16" t="str">
        <x:f>IF(ISNUMBER(C893),C893^2,"")</x:f>
      </x:c>
      <x:c r="F893" s="16" t="str">
        <x:f>IF(AND(ISNUMBER(C893),ISNUMBER($J$6),$J$6&gt;0),(C893-$J$5)/$J$6,"")</x:f>
      </x:c>
      <x:c r="G893" s="1" t="str">
        <x:f>IF(ISNUMBER(F893),IF(ABS(F893)&gt;3,1,0),"")</x:f>
      </x:c>
      <x:c r="H893" s="1" t="str">
        <x:f>IF(ISNUMBER(F893),F893^4,"")</x:f>
      </x:c>
      <x:c r="I893" s="1"/>
      <x:c r="J893" s="1"/>
      <x:c r="K893" s="1"/>
      <x:c r="L893" s="1"/>
      <x:c r="M893" s="1"/>
      <x:c r="N893" s="1"/>
    </x:row>
    <x:row r="894" ht="22" customHeight="1">
      <x:c r="A894" s="14"/>
      <x:c r="B894" s="15"/>
      <x:c r="C894" s="16" t="str">
        <x:f>IF(AND(ISNUMBER(B894),ISNUMBER(B893),B894&gt;0,B893&gt;0),LN(B894/B893),"")</x:f>
      </x:c>
      <x:c r="D894" s="16" t="str">
        <x:f>IF(ISNUMBER(C894),ABS(C894),"")</x:f>
      </x:c>
      <x:c r="E894" s="16" t="str">
        <x:f>IF(ISNUMBER(C894),C894^2,"")</x:f>
      </x:c>
      <x:c r="F894" s="16" t="str">
        <x:f>IF(AND(ISNUMBER(C894),ISNUMBER($J$6),$J$6&gt;0),(C894-$J$5)/$J$6,"")</x:f>
      </x:c>
      <x:c r="G894" s="1" t="str">
        <x:f>IF(ISNUMBER(F894),IF(ABS(F894)&gt;3,1,0),"")</x:f>
      </x:c>
      <x:c r="H894" s="1" t="str">
        <x:f>IF(ISNUMBER(F894),F894^4,"")</x:f>
      </x:c>
      <x:c r="I894" s="1"/>
      <x:c r="J894" s="1"/>
      <x:c r="K894" s="1"/>
      <x:c r="L894" s="1"/>
      <x:c r="M894" s="1"/>
      <x:c r="N894" s="1"/>
    </x:row>
    <x:row r="895" ht="22" customHeight="1">
      <x:c r="A895" s="14"/>
      <x:c r="B895" s="15"/>
      <x:c r="C895" s="16" t="str">
        <x:f>IF(AND(ISNUMBER(B895),ISNUMBER(B894),B895&gt;0,B894&gt;0),LN(B895/B894),"")</x:f>
      </x:c>
      <x:c r="D895" s="16" t="str">
        <x:f>IF(ISNUMBER(C895),ABS(C895),"")</x:f>
      </x:c>
      <x:c r="E895" s="16" t="str">
        <x:f>IF(ISNUMBER(C895),C895^2,"")</x:f>
      </x:c>
      <x:c r="F895" s="16" t="str">
        <x:f>IF(AND(ISNUMBER(C895),ISNUMBER($J$6),$J$6&gt;0),(C895-$J$5)/$J$6,"")</x:f>
      </x:c>
      <x:c r="G895" s="1" t="str">
        <x:f>IF(ISNUMBER(F895),IF(ABS(F895)&gt;3,1,0),"")</x:f>
      </x:c>
      <x:c r="H895" s="1" t="str">
        <x:f>IF(ISNUMBER(F895),F895^4,"")</x:f>
      </x:c>
      <x:c r="I895" s="1"/>
      <x:c r="J895" s="1"/>
      <x:c r="K895" s="1"/>
      <x:c r="L895" s="1"/>
      <x:c r="M895" s="1"/>
      <x:c r="N895" s="1"/>
    </x:row>
    <x:row r="896" ht="22" customHeight="1">
      <x:c r="A896" s="14"/>
      <x:c r="B896" s="15"/>
      <x:c r="C896" s="16" t="str">
        <x:f>IF(AND(ISNUMBER(B896),ISNUMBER(B895),B896&gt;0,B895&gt;0),LN(B896/B895),"")</x:f>
      </x:c>
      <x:c r="D896" s="16" t="str">
        <x:f>IF(ISNUMBER(C896),ABS(C896),"")</x:f>
      </x:c>
      <x:c r="E896" s="16" t="str">
        <x:f>IF(ISNUMBER(C896),C896^2,"")</x:f>
      </x:c>
      <x:c r="F896" s="16" t="str">
        <x:f>IF(AND(ISNUMBER(C896),ISNUMBER($J$6),$J$6&gt;0),(C896-$J$5)/$J$6,"")</x:f>
      </x:c>
      <x:c r="G896" s="1" t="str">
        <x:f>IF(ISNUMBER(F896),IF(ABS(F896)&gt;3,1,0),"")</x:f>
      </x:c>
      <x:c r="H896" s="1" t="str">
        <x:f>IF(ISNUMBER(F896),F896^4,"")</x:f>
      </x:c>
      <x:c r="I896" s="1"/>
      <x:c r="J896" s="1"/>
      <x:c r="K896" s="1"/>
      <x:c r="L896" s="1"/>
      <x:c r="M896" s="1"/>
      <x:c r="N896" s="1"/>
    </x:row>
    <x:row r="897" ht="22" customHeight="1">
      <x:c r="A897" s="14"/>
      <x:c r="B897" s="15"/>
      <x:c r="C897" s="16" t="str">
        <x:f>IF(AND(ISNUMBER(B897),ISNUMBER(B896),B897&gt;0,B896&gt;0),LN(B897/B896),"")</x:f>
      </x:c>
      <x:c r="D897" s="16" t="str">
        <x:f>IF(ISNUMBER(C897),ABS(C897),"")</x:f>
      </x:c>
      <x:c r="E897" s="16" t="str">
        <x:f>IF(ISNUMBER(C897),C897^2,"")</x:f>
      </x:c>
      <x:c r="F897" s="16" t="str">
        <x:f>IF(AND(ISNUMBER(C897),ISNUMBER($J$6),$J$6&gt;0),(C897-$J$5)/$J$6,"")</x:f>
      </x:c>
      <x:c r="G897" s="1" t="str">
        <x:f>IF(ISNUMBER(F897),IF(ABS(F897)&gt;3,1,0),"")</x:f>
      </x:c>
      <x:c r="H897" s="1" t="str">
        <x:f>IF(ISNUMBER(F897),F897^4,"")</x:f>
      </x:c>
      <x:c r="I897" s="1"/>
      <x:c r="J897" s="1"/>
      <x:c r="K897" s="1"/>
      <x:c r="L897" s="1"/>
      <x:c r="M897" s="1"/>
      <x:c r="N897" s="1"/>
    </x:row>
    <x:row r="898" ht="22" customHeight="1">
      <x:c r="A898" s="14"/>
      <x:c r="B898" s="15"/>
      <x:c r="C898" s="16" t="str">
        <x:f>IF(AND(ISNUMBER(B898),ISNUMBER(B897),B898&gt;0,B897&gt;0),LN(B898/B897),"")</x:f>
      </x:c>
      <x:c r="D898" s="16" t="str">
        <x:f>IF(ISNUMBER(C898),ABS(C898),"")</x:f>
      </x:c>
      <x:c r="E898" s="16" t="str">
        <x:f>IF(ISNUMBER(C898),C898^2,"")</x:f>
      </x:c>
      <x:c r="F898" s="16" t="str">
        <x:f>IF(AND(ISNUMBER(C898),ISNUMBER($J$6),$J$6&gt;0),(C898-$J$5)/$J$6,"")</x:f>
      </x:c>
      <x:c r="G898" s="1" t="str">
        <x:f>IF(ISNUMBER(F898),IF(ABS(F898)&gt;3,1,0),"")</x:f>
      </x:c>
      <x:c r="H898" s="1" t="str">
        <x:f>IF(ISNUMBER(F898),F898^4,"")</x:f>
      </x:c>
      <x:c r="I898" s="1"/>
      <x:c r="J898" s="1"/>
      <x:c r="K898" s="1"/>
      <x:c r="L898" s="1"/>
      <x:c r="M898" s="1"/>
      <x:c r="N898" s="1"/>
    </x:row>
    <x:row r="899" ht="22" customHeight="1">
      <x:c r="A899" s="14"/>
      <x:c r="B899" s="15"/>
      <x:c r="C899" s="16" t="str">
        <x:f>IF(AND(ISNUMBER(B899),ISNUMBER(B898),B899&gt;0,B898&gt;0),LN(B899/B898),"")</x:f>
      </x:c>
      <x:c r="D899" s="16" t="str">
        <x:f>IF(ISNUMBER(C899),ABS(C899),"")</x:f>
      </x:c>
      <x:c r="E899" s="16" t="str">
        <x:f>IF(ISNUMBER(C899),C899^2,"")</x:f>
      </x:c>
      <x:c r="F899" s="16" t="str">
        <x:f>IF(AND(ISNUMBER(C899),ISNUMBER($J$6),$J$6&gt;0),(C899-$J$5)/$J$6,"")</x:f>
      </x:c>
      <x:c r="G899" s="1" t="str">
        <x:f>IF(ISNUMBER(F899),IF(ABS(F899)&gt;3,1,0),"")</x:f>
      </x:c>
      <x:c r="H899" s="1" t="str">
        <x:f>IF(ISNUMBER(F899),F899^4,"")</x:f>
      </x:c>
      <x:c r="I899" s="1"/>
      <x:c r="J899" s="1"/>
      <x:c r="K899" s="1"/>
      <x:c r="L899" s="1"/>
      <x:c r="M899" s="1"/>
      <x:c r="N899" s="1"/>
    </x:row>
    <x:row r="900" ht="22" customHeight="1">
      <x:c r="A900" s="14"/>
      <x:c r="B900" s="15"/>
      <x:c r="C900" s="16" t="str">
        <x:f>IF(AND(ISNUMBER(B900),ISNUMBER(B899),B900&gt;0,B899&gt;0),LN(B900/B899),"")</x:f>
      </x:c>
      <x:c r="D900" s="16" t="str">
        <x:f>IF(ISNUMBER(C900),ABS(C900),"")</x:f>
      </x:c>
      <x:c r="E900" s="16" t="str">
        <x:f>IF(ISNUMBER(C900),C900^2,"")</x:f>
      </x:c>
      <x:c r="F900" s="16" t="str">
        <x:f>IF(AND(ISNUMBER(C900),ISNUMBER($J$6),$J$6&gt;0),(C900-$J$5)/$J$6,"")</x:f>
      </x:c>
      <x:c r="G900" s="1" t="str">
        <x:f>IF(ISNUMBER(F900),IF(ABS(F900)&gt;3,1,0),"")</x:f>
      </x:c>
      <x:c r="H900" s="1" t="str">
        <x:f>IF(ISNUMBER(F900),F900^4,"")</x:f>
      </x:c>
      <x:c r="I900" s="1"/>
      <x:c r="J900" s="1"/>
      <x:c r="K900" s="1"/>
      <x:c r="L900" s="1"/>
      <x:c r="M900" s="1"/>
      <x:c r="N900" s="1"/>
    </x:row>
    <x:row r="901" ht="22" customHeight="1">
      <x:c r="A901" s="14"/>
      <x:c r="B901" s="15"/>
      <x:c r="C901" s="16" t="str">
        <x:f>IF(AND(ISNUMBER(B901),ISNUMBER(B900),B901&gt;0,B900&gt;0),LN(B901/B900),"")</x:f>
      </x:c>
      <x:c r="D901" s="16" t="str">
        <x:f>IF(ISNUMBER(C901),ABS(C901),"")</x:f>
      </x:c>
      <x:c r="E901" s="16" t="str">
        <x:f>IF(ISNUMBER(C901),C901^2,"")</x:f>
      </x:c>
      <x:c r="F901" s="16" t="str">
        <x:f>IF(AND(ISNUMBER(C901),ISNUMBER($J$6),$J$6&gt;0),(C901-$J$5)/$J$6,"")</x:f>
      </x:c>
      <x:c r="G901" s="1" t="str">
        <x:f>IF(ISNUMBER(F901),IF(ABS(F901)&gt;3,1,0),"")</x:f>
      </x:c>
      <x:c r="H901" s="1" t="str">
        <x:f>IF(ISNUMBER(F901),F901^4,"")</x:f>
      </x:c>
      <x:c r="I901" s="1"/>
      <x:c r="J901" s="1"/>
      <x:c r="K901" s="1"/>
      <x:c r="L901" s="1"/>
      <x:c r="M901" s="1"/>
      <x:c r="N901" s="1"/>
    </x:row>
    <x:row r="902" ht="22" customHeight="1">
      <x:c r="A902" s="14"/>
      <x:c r="B902" s="15"/>
      <x:c r="C902" s="16" t="str">
        <x:f>IF(AND(ISNUMBER(B902),ISNUMBER(B901),B902&gt;0,B901&gt;0),LN(B902/B901),"")</x:f>
      </x:c>
      <x:c r="D902" s="16" t="str">
        <x:f>IF(ISNUMBER(C902),ABS(C902),"")</x:f>
      </x:c>
      <x:c r="E902" s="16" t="str">
        <x:f>IF(ISNUMBER(C902),C902^2,"")</x:f>
      </x:c>
      <x:c r="F902" s="16" t="str">
        <x:f>IF(AND(ISNUMBER(C902),ISNUMBER($J$6),$J$6&gt;0),(C902-$J$5)/$J$6,"")</x:f>
      </x:c>
      <x:c r="G902" s="1" t="str">
        <x:f>IF(ISNUMBER(F902),IF(ABS(F902)&gt;3,1,0),"")</x:f>
      </x:c>
      <x:c r="H902" s="1" t="str">
        <x:f>IF(ISNUMBER(F902),F902^4,"")</x:f>
      </x:c>
      <x:c r="I902" s="1"/>
      <x:c r="J902" s="1"/>
      <x:c r="K902" s="1"/>
      <x:c r="L902" s="1"/>
      <x:c r="M902" s="1"/>
      <x:c r="N902" s="1"/>
    </x:row>
    <x:row r="903" ht="22" customHeight="1">
      <x:c r="A903" s="14"/>
      <x:c r="B903" s="15"/>
      <x:c r="C903" s="16" t="str">
        <x:f>IF(AND(ISNUMBER(B903),ISNUMBER(B902),B903&gt;0,B902&gt;0),LN(B903/B902),"")</x:f>
      </x:c>
      <x:c r="D903" s="16" t="str">
        <x:f>IF(ISNUMBER(C903),ABS(C903),"")</x:f>
      </x:c>
      <x:c r="E903" s="16" t="str">
        <x:f>IF(ISNUMBER(C903),C903^2,"")</x:f>
      </x:c>
      <x:c r="F903" s="16" t="str">
        <x:f>IF(AND(ISNUMBER(C903),ISNUMBER($J$6),$J$6&gt;0),(C903-$J$5)/$J$6,"")</x:f>
      </x:c>
      <x:c r="G903" s="1" t="str">
        <x:f>IF(ISNUMBER(F903),IF(ABS(F903)&gt;3,1,0),"")</x:f>
      </x:c>
      <x:c r="H903" s="1" t="str">
        <x:f>IF(ISNUMBER(F903),F903^4,"")</x:f>
      </x:c>
      <x:c r="I903" s="1"/>
      <x:c r="J903" s="1"/>
      <x:c r="K903" s="1"/>
      <x:c r="L903" s="1"/>
      <x:c r="M903" s="1"/>
      <x:c r="N903" s="1"/>
    </x:row>
    <x:row r="904" ht="22" customHeight="1">
      <x:c r="A904" s="14"/>
      <x:c r="B904" s="15"/>
      <x:c r="C904" s="16" t="str">
        <x:f>IF(AND(ISNUMBER(B904),ISNUMBER(B903),B904&gt;0,B903&gt;0),LN(B904/B903),"")</x:f>
      </x:c>
      <x:c r="D904" s="16" t="str">
        <x:f>IF(ISNUMBER(C904),ABS(C904),"")</x:f>
      </x:c>
      <x:c r="E904" s="16" t="str">
        <x:f>IF(ISNUMBER(C904),C904^2,"")</x:f>
      </x:c>
      <x:c r="F904" s="16" t="str">
        <x:f>IF(AND(ISNUMBER(C904),ISNUMBER($J$6),$J$6&gt;0),(C904-$J$5)/$J$6,"")</x:f>
      </x:c>
      <x:c r="G904" s="1" t="str">
        <x:f>IF(ISNUMBER(F904),IF(ABS(F904)&gt;3,1,0),"")</x:f>
      </x:c>
      <x:c r="H904" s="1" t="str">
        <x:f>IF(ISNUMBER(F904),F904^4,"")</x:f>
      </x:c>
      <x:c r="I904" s="1"/>
      <x:c r="J904" s="1"/>
      <x:c r="K904" s="1"/>
      <x:c r="L904" s="1"/>
      <x:c r="M904" s="1"/>
      <x:c r="N904" s="1"/>
    </x:row>
    <x:row r="905" ht="22" customHeight="1">
      <x:c r="A905" s="14"/>
      <x:c r="B905" s="15"/>
      <x:c r="C905" s="16" t="str">
        <x:f>IF(AND(ISNUMBER(B905),ISNUMBER(B904),B905&gt;0,B904&gt;0),LN(B905/B904),"")</x:f>
      </x:c>
      <x:c r="D905" s="16" t="str">
        <x:f>IF(ISNUMBER(C905),ABS(C905),"")</x:f>
      </x:c>
      <x:c r="E905" s="16" t="str">
        <x:f>IF(ISNUMBER(C905),C905^2,"")</x:f>
      </x:c>
      <x:c r="F905" s="16" t="str">
        <x:f>IF(AND(ISNUMBER(C905),ISNUMBER($J$6),$J$6&gt;0),(C905-$J$5)/$J$6,"")</x:f>
      </x:c>
      <x:c r="G905" s="1" t="str">
        <x:f>IF(ISNUMBER(F905),IF(ABS(F905)&gt;3,1,0),"")</x:f>
      </x:c>
      <x:c r="H905" s="1" t="str">
        <x:f>IF(ISNUMBER(F905),F905^4,"")</x:f>
      </x:c>
      <x:c r="I905" s="1"/>
      <x:c r="J905" s="1"/>
      <x:c r="K905" s="1"/>
      <x:c r="L905" s="1"/>
      <x:c r="M905" s="1"/>
      <x:c r="N905" s="1"/>
    </x:row>
    <x:row r="906" ht="22" customHeight="1">
      <x:c r="A906" s="14"/>
      <x:c r="B906" s="15"/>
      <x:c r="C906" s="16" t="str">
        <x:f>IF(AND(ISNUMBER(B906),ISNUMBER(B905),B906&gt;0,B905&gt;0),LN(B906/B905),"")</x:f>
      </x:c>
      <x:c r="D906" s="16" t="str">
        <x:f>IF(ISNUMBER(C906),ABS(C906),"")</x:f>
      </x:c>
      <x:c r="E906" s="16" t="str">
        <x:f>IF(ISNUMBER(C906),C906^2,"")</x:f>
      </x:c>
      <x:c r="F906" s="16" t="str">
        <x:f>IF(AND(ISNUMBER(C906),ISNUMBER($J$6),$J$6&gt;0),(C906-$J$5)/$J$6,"")</x:f>
      </x:c>
      <x:c r="G906" s="1" t="str">
        <x:f>IF(ISNUMBER(F906),IF(ABS(F906)&gt;3,1,0),"")</x:f>
      </x:c>
      <x:c r="H906" s="1" t="str">
        <x:f>IF(ISNUMBER(F906),F906^4,"")</x:f>
      </x:c>
      <x:c r="I906" s="1"/>
      <x:c r="J906" s="1"/>
      <x:c r="K906" s="1"/>
      <x:c r="L906" s="1"/>
      <x:c r="M906" s="1"/>
      <x:c r="N906" s="1"/>
    </x:row>
    <x:row r="907" ht="22" customHeight="1">
      <x:c r="A907" s="14"/>
      <x:c r="B907" s="15"/>
      <x:c r="C907" s="16" t="str">
        <x:f>IF(AND(ISNUMBER(B907),ISNUMBER(B906),B907&gt;0,B906&gt;0),LN(B907/B906),"")</x:f>
      </x:c>
      <x:c r="D907" s="16" t="str">
        <x:f>IF(ISNUMBER(C907),ABS(C907),"")</x:f>
      </x:c>
      <x:c r="E907" s="16" t="str">
        <x:f>IF(ISNUMBER(C907),C907^2,"")</x:f>
      </x:c>
      <x:c r="F907" s="16" t="str">
        <x:f>IF(AND(ISNUMBER(C907),ISNUMBER($J$6),$J$6&gt;0),(C907-$J$5)/$J$6,"")</x:f>
      </x:c>
      <x:c r="G907" s="1" t="str">
        <x:f>IF(ISNUMBER(F907),IF(ABS(F907)&gt;3,1,0),"")</x:f>
      </x:c>
      <x:c r="H907" s="1" t="str">
        <x:f>IF(ISNUMBER(F907),F907^4,"")</x:f>
      </x:c>
      <x:c r="I907" s="1"/>
      <x:c r="J907" s="1"/>
      <x:c r="K907" s="1"/>
      <x:c r="L907" s="1"/>
      <x:c r="M907" s="1"/>
      <x:c r="N907" s="1"/>
    </x:row>
    <x:row r="908" ht="22" customHeight="1">
      <x:c r="A908" s="14"/>
      <x:c r="B908" s="15"/>
      <x:c r="C908" s="16" t="str">
        <x:f>IF(AND(ISNUMBER(B908),ISNUMBER(B907),B908&gt;0,B907&gt;0),LN(B908/B907),"")</x:f>
      </x:c>
      <x:c r="D908" s="16" t="str">
        <x:f>IF(ISNUMBER(C908),ABS(C908),"")</x:f>
      </x:c>
      <x:c r="E908" s="16" t="str">
        <x:f>IF(ISNUMBER(C908),C908^2,"")</x:f>
      </x:c>
      <x:c r="F908" s="16" t="str">
        <x:f>IF(AND(ISNUMBER(C908),ISNUMBER($J$6),$J$6&gt;0),(C908-$J$5)/$J$6,"")</x:f>
      </x:c>
      <x:c r="G908" s="1" t="str">
        <x:f>IF(ISNUMBER(F908),IF(ABS(F908)&gt;3,1,0),"")</x:f>
      </x:c>
      <x:c r="H908" s="1" t="str">
        <x:f>IF(ISNUMBER(F908),F908^4,"")</x:f>
      </x:c>
      <x:c r="I908" s="1"/>
      <x:c r="J908" s="1"/>
      <x:c r="K908" s="1"/>
      <x:c r="L908" s="1"/>
      <x:c r="M908" s="1"/>
      <x:c r="N908" s="1"/>
    </x:row>
    <x:row r="909" ht="22" customHeight="1">
      <x:c r="A909" s="14"/>
      <x:c r="B909" s="15"/>
      <x:c r="C909" s="16" t="str">
        <x:f>IF(AND(ISNUMBER(B909),ISNUMBER(B908),B909&gt;0,B908&gt;0),LN(B909/B908),"")</x:f>
      </x:c>
      <x:c r="D909" s="16" t="str">
        <x:f>IF(ISNUMBER(C909),ABS(C909),"")</x:f>
      </x:c>
      <x:c r="E909" s="16" t="str">
        <x:f>IF(ISNUMBER(C909),C909^2,"")</x:f>
      </x:c>
      <x:c r="F909" s="16" t="str">
        <x:f>IF(AND(ISNUMBER(C909),ISNUMBER($J$6),$J$6&gt;0),(C909-$J$5)/$J$6,"")</x:f>
      </x:c>
      <x:c r="G909" s="1" t="str">
        <x:f>IF(ISNUMBER(F909),IF(ABS(F909)&gt;3,1,0),"")</x:f>
      </x:c>
      <x:c r="H909" s="1" t="str">
        <x:f>IF(ISNUMBER(F909),F909^4,"")</x:f>
      </x:c>
      <x:c r="I909" s="1"/>
      <x:c r="J909" s="1"/>
      <x:c r="K909" s="1"/>
      <x:c r="L909" s="1"/>
      <x:c r="M909" s="1"/>
      <x:c r="N909" s="1"/>
    </x:row>
    <x:row r="910" ht="22" customHeight="1">
      <x:c r="A910" s="14"/>
      <x:c r="B910" s="15"/>
      <x:c r="C910" s="16" t="str">
        <x:f>IF(AND(ISNUMBER(B910),ISNUMBER(B909),B910&gt;0,B909&gt;0),LN(B910/B909),"")</x:f>
      </x:c>
      <x:c r="D910" s="16" t="str">
        <x:f>IF(ISNUMBER(C910),ABS(C910),"")</x:f>
      </x:c>
      <x:c r="E910" s="16" t="str">
        <x:f>IF(ISNUMBER(C910),C910^2,"")</x:f>
      </x:c>
      <x:c r="F910" s="16" t="str">
        <x:f>IF(AND(ISNUMBER(C910),ISNUMBER($J$6),$J$6&gt;0),(C910-$J$5)/$J$6,"")</x:f>
      </x:c>
      <x:c r="G910" s="1" t="str">
        <x:f>IF(ISNUMBER(F910),IF(ABS(F910)&gt;3,1,0),"")</x:f>
      </x:c>
      <x:c r="H910" s="1" t="str">
        <x:f>IF(ISNUMBER(F910),F910^4,"")</x:f>
      </x:c>
      <x:c r="I910" s="1"/>
      <x:c r="J910" s="1"/>
      <x:c r="K910" s="1"/>
      <x:c r="L910" s="1"/>
      <x:c r="M910" s="1"/>
      <x:c r="N910" s="1"/>
    </x:row>
    <x:row r="911" ht="22" customHeight="1">
      <x:c r="A911" s="14"/>
      <x:c r="B911" s="15"/>
      <x:c r="C911" s="16" t="str">
        <x:f>IF(AND(ISNUMBER(B911),ISNUMBER(B910),B911&gt;0,B910&gt;0),LN(B911/B910),"")</x:f>
      </x:c>
      <x:c r="D911" s="16" t="str">
        <x:f>IF(ISNUMBER(C911),ABS(C911),"")</x:f>
      </x:c>
      <x:c r="E911" s="16" t="str">
        <x:f>IF(ISNUMBER(C911),C911^2,"")</x:f>
      </x:c>
      <x:c r="F911" s="16" t="str">
        <x:f>IF(AND(ISNUMBER(C911),ISNUMBER($J$6),$J$6&gt;0),(C911-$J$5)/$J$6,"")</x:f>
      </x:c>
      <x:c r="G911" s="1" t="str">
        <x:f>IF(ISNUMBER(F911),IF(ABS(F911)&gt;3,1,0),"")</x:f>
      </x:c>
      <x:c r="H911" s="1" t="str">
        <x:f>IF(ISNUMBER(F911),F911^4,"")</x:f>
      </x:c>
      <x:c r="I911" s="1"/>
      <x:c r="J911" s="1"/>
      <x:c r="K911" s="1"/>
      <x:c r="L911" s="1"/>
      <x:c r="M911" s="1"/>
      <x:c r="N911" s="1"/>
    </x:row>
    <x:row r="912" ht="22" customHeight="1">
      <x:c r="A912" s="14"/>
      <x:c r="B912" s="15"/>
      <x:c r="C912" s="16" t="str">
        <x:f>IF(AND(ISNUMBER(B912),ISNUMBER(B911),B912&gt;0,B911&gt;0),LN(B912/B911),"")</x:f>
      </x:c>
      <x:c r="D912" s="16" t="str">
        <x:f>IF(ISNUMBER(C912),ABS(C912),"")</x:f>
      </x:c>
      <x:c r="E912" s="16" t="str">
        <x:f>IF(ISNUMBER(C912),C912^2,"")</x:f>
      </x:c>
      <x:c r="F912" s="16" t="str">
        <x:f>IF(AND(ISNUMBER(C912),ISNUMBER($J$6),$J$6&gt;0),(C912-$J$5)/$J$6,"")</x:f>
      </x:c>
      <x:c r="G912" s="1" t="str">
        <x:f>IF(ISNUMBER(F912),IF(ABS(F912)&gt;3,1,0),"")</x:f>
      </x:c>
      <x:c r="H912" s="1" t="str">
        <x:f>IF(ISNUMBER(F912),F912^4,"")</x:f>
      </x:c>
      <x:c r="I912" s="1"/>
      <x:c r="J912" s="1"/>
      <x:c r="K912" s="1"/>
      <x:c r="L912" s="1"/>
      <x:c r="M912" s="1"/>
      <x:c r="N912" s="1"/>
    </x:row>
    <x:row r="913" ht="22" customHeight="1">
      <x:c r="A913" s="14"/>
      <x:c r="B913" s="15"/>
      <x:c r="C913" s="16" t="str">
        <x:f>IF(AND(ISNUMBER(B913),ISNUMBER(B912),B913&gt;0,B912&gt;0),LN(B913/B912),"")</x:f>
      </x:c>
      <x:c r="D913" s="16" t="str">
        <x:f>IF(ISNUMBER(C913),ABS(C913),"")</x:f>
      </x:c>
      <x:c r="E913" s="16" t="str">
        <x:f>IF(ISNUMBER(C913),C913^2,"")</x:f>
      </x:c>
      <x:c r="F913" s="16" t="str">
        <x:f>IF(AND(ISNUMBER(C913),ISNUMBER($J$6),$J$6&gt;0),(C913-$J$5)/$J$6,"")</x:f>
      </x:c>
      <x:c r="G913" s="1" t="str">
        <x:f>IF(ISNUMBER(F913),IF(ABS(F913)&gt;3,1,0),"")</x:f>
      </x:c>
      <x:c r="H913" s="1" t="str">
        <x:f>IF(ISNUMBER(F913),F913^4,"")</x:f>
      </x:c>
      <x:c r="I913" s="1"/>
      <x:c r="J913" s="1"/>
      <x:c r="K913" s="1"/>
      <x:c r="L913" s="1"/>
      <x:c r="M913" s="1"/>
      <x:c r="N913" s="1"/>
    </x:row>
    <x:row r="914" ht="22" customHeight="1">
      <x:c r="A914" s="14"/>
      <x:c r="B914" s="15"/>
      <x:c r="C914" s="16" t="str">
        <x:f>IF(AND(ISNUMBER(B914),ISNUMBER(B913),B914&gt;0,B913&gt;0),LN(B914/B913),"")</x:f>
      </x:c>
      <x:c r="D914" s="16" t="str">
        <x:f>IF(ISNUMBER(C914),ABS(C914),"")</x:f>
      </x:c>
      <x:c r="E914" s="16" t="str">
        <x:f>IF(ISNUMBER(C914),C914^2,"")</x:f>
      </x:c>
      <x:c r="F914" s="16" t="str">
        <x:f>IF(AND(ISNUMBER(C914),ISNUMBER($J$6),$J$6&gt;0),(C914-$J$5)/$J$6,"")</x:f>
      </x:c>
      <x:c r="G914" s="1" t="str">
        <x:f>IF(ISNUMBER(F914),IF(ABS(F914)&gt;3,1,0),"")</x:f>
      </x:c>
      <x:c r="H914" s="1" t="str">
        <x:f>IF(ISNUMBER(F914),F914^4,"")</x:f>
      </x:c>
      <x:c r="I914" s="1"/>
      <x:c r="J914" s="1"/>
      <x:c r="K914" s="1"/>
      <x:c r="L914" s="1"/>
      <x:c r="M914" s="1"/>
      <x:c r="N914" s="1"/>
    </x:row>
    <x:row r="915" ht="22" customHeight="1">
      <x:c r="A915" s="14"/>
      <x:c r="B915" s="15"/>
      <x:c r="C915" s="16" t="str">
        <x:f>IF(AND(ISNUMBER(B915),ISNUMBER(B914),B915&gt;0,B914&gt;0),LN(B915/B914),"")</x:f>
      </x:c>
      <x:c r="D915" s="16" t="str">
        <x:f>IF(ISNUMBER(C915),ABS(C915),"")</x:f>
      </x:c>
      <x:c r="E915" s="16" t="str">
        <x:f>IF(ISNUMBER(C915),C915^2,"")</x:f>
      </x:c>
      <x:c r="F915" s="16" t="str">
        <x:f>IF(AND(ISNUMBER(C915),ISNUMBER($J$6),$J$6&gt;0),(C915-$J$5)/$J$6,"")</x:f>
      </x:c>
      <x:c r="G915" s="1" t="str">
        <x:f>IF(ISNUMBER(F915),IF(ABS(F915)&gt;3,1,0),"")</x:f>
      </x:c>
      <x:c r="H915" s="1" t="str">
        <x:f>IF(ISNUMBER(F915),F915^4,"")</x:f>
      </x:c>
      <x:c r="I915" s="1"/>
      <x:c r="J915" s="1"/>
      <x:c r="K915" s="1"/>
      <x:c r="L915" s="1"/>
      <x:c r="M915" s="1"/>
      <x:c r="N915" s="1"/>
    </x:row>
    <x:row r="916" ht="22" customHeight="1">
      <x:c r="A916" s="14"/>
      <x:c r="B916" s="15"/>
      <x:c r="C916" s="16" t="str">
        <x:f>IF(AND(ISNUMBER(B916),ISNUMBER(B915),B916&gt;0,B915&gt;0),LN(B916/B915),"")</x:f>
      </x:c>
      <x:c r="D916" s="16" t="str">
        <x:f>IF(ISNUMBER(C916),ABS(C916),"")</x:f>
      </x:c>
      <x:c r="E916" s="16" t="str">
        <x:f>IF(ISNUMBER(C916),C916^2,"")</x:f>
      </x:c>
      <x:c r="F916" s="16" t="str">
        <x:f>IF(AND(ISNUMBER(C916),ISNUMBER($J$6),$J$6&gt;0),(C916-$J$5)/$J$6,"")</x:f>
      </x:c>
      <x:c r="G916" s="1" t="str">
        <x:f>IF(ISNUMBER(F916),IF(ABS(F916)&gt;3,1,0),"")</x:f>
      </x:c>
      <x:c r="H916" s="1" t="str">
        <x:f>IF(ISNUMBER(F916),F916^4,"")</x:f>
      </x:c>
      <x:c r="I916" s="1"/>
      <x:c r="J916" s="1"/>
      <x:c r="K916" s="1"/>
      <x:c r="L916" s="1"/>
      <x:c r="M916" s="1"/>
      <x:c r="N916" s="1"/>
    </x:row>
    <x:row r="917" ht="22" customHeight="1">
      <x:c r="A917" s="14"/>
      <x:c r="B917" s="15"/>
      <x:c r="C917" s="16" t="str">
        <x:f>IF(AND(ISNUMBER(B917),ISNUMBER(B916),B917&gt;0,B916&gt;0),LN(B917/B916),"")</x:f>
      </x:c>
      <x:c r="D917" s="16" t="str">
        <x:f>IF(ISNUMBER(C917),ABS(C917),"")</x:f>
      </x:c>
      <x:c r="E917" s="16" t="str">
        <x:f>IF(ISNUMBER(C917),C917^2,"")</x:f>
      </x:c>
      <x:c r="F917" s="16" t="str">
        <x:f>IF(AND(ISNUMBER(C917),ISNUMBER($J$6),$J$6&gt;0),(C917-$J$5)/$J$6,"")</x:f>
      </x:c>
      <x:c r="G917" s="1" t="str">
        <x:f>IF(ISNUMBER(F917),IF(ABS(F917)&gt;3,1,0),"")</x:f>
      </x:c>
      <x:c r="H917" s="1" t="str">
        <x:f>IF(ISNUMBER(F917),F917^4,"")</x:f>
      </x:c>
      <x:c r="I917" s="1"/>
      <x:c r="J917" s="1"/>
      <x:c r="K917" s="1"/>
      <x:c r="L917" s="1"/>
      <x:c r="M917" s="1"/>
      <x:c r="N917" s="1"/>
    </x:row>
    <x:row r="918" ht="22" customHeight="1">
      <x:c r="A918" s="14"/>
      <x:c r="B918" s="15"/>
      <x:c r="C918" s="16" t="str">
        <x:f>IF(AND(ISNUMBER(B918),ISNUMBER(B917),B918&gt;0,B917&gt;0),LN(B918/B917),"")</x:f>
      </x:c>
      <x:c r="D918" s="16" t="str">
        <x:f>IF(ISNUMBER(C918),ABS(C918),"")</x:f>
      </x:c>
      <x:c r="E918" s="16" t="str">
        <x:f>IF(ISNUMBER(C918),C918^2,"")</x:f>
      </x:c>
      <x:c r="F918" s="16" t="str">
        <x:f>IF(AND(ISNUMBER(C918),ISNUMBER($J$6),$J$6&gt;0),(C918-$J$5)/$J$6,"")</x:f>
      </x:c>
      <x:c r="G918" s="1" t="str">
        <x:f>IF(ISNUMBER(F918),IF(ABS(F918)&gt;3,1,0),"")</x:f>
      </x:c>
      <x:c r="H918" s="1" t="str">
        <x:f>IF(ISNUMBER(F918),F918^4,"")</x:f>
      </x:c>
      <x:c r="I918" s="1"/>
      <x:c r="J918" s="1"/>
      <x:c r="K918" s="1"/>
      <x:c r="L918" s="1"/>
      <x:c r="M918" s="1"/>
      <x:c r="N918" s="1"/>
    </x:row>
    <x:row r="919" ht="22" customHeight="1">
      <x:c r="A919" s="14"/>
      <x:c r="B919" s="15"/>
      <x:c r="C919" s="16" t="str">
        <x:f>IF(AND(ISNUMBER(B919),ISNUMBER(B918),B919&gt;0,B918&gt;0),LN(B919/B918),"")</x:f>
      </x:c>
      <x:c r="D919" s="16" t="str">
        <x:f>IF(ISNUMBER(C919),ABS(C919),"")</x:f>
      </x:c>
      <x:c r="E919" s="16" t="str">
        <x:f>IF(ISNUMBER(C919),C919^2,"")</x:f>
      </x:c>
      <x:c r="F919" s="16" t="str">
        <x:f>IF(AND(ISNUMBER(C919),ISNUMBER($J$6),$J$6&gt;0),(C919-$J$5)/$J$6,"")</x:f>
      </x:c>
      <x:c r="G919" s="1" t="str">
        <x:f>IF(ISNUMBER(F919),IF(ABS(F919)&gt;3,1,0),"")</x:f>
      </x:c>
      <x:c r="H919" s="1" t="str">
        <x:f>IF(ISNUMBER(F919),F919^4,"")</x:f>
      </x:c>
      <x:c r="I919" s="1"/>
      <x:c r="J919" s="1"/>
      <x:c r="K919" s="1"/>
      <x:c r="L919" s="1"/>
      <x:c r="M919" s="1"/>
      <x:c r="N919" s="1"/>
    </x:row>
    <x:row r="920" ht="22" customHeight="1">
      <x:c r="A920" s="14"/>
      <x:c r="B920" s="15"/>
      <x:c r="C920" s="16" t="str">
        <x:f>IF(AND(ISNUMBER(B920),ISNUMBER(B919),B920&gt;0,B919&gt;0),LN(B920/B919),"")</x:f>
      </x:c>
      <x:c r="D920" s="16" t="str">
        <x:f>IF(ISNUMBER(C920),ABS(C920),"")</x:f>
      </x:c>
      <x:c r="E920" s="16" t="str">
        <x:f>IF(ISNUMBER(C920),C920^2,"")</x:f>
      </x:c>
      <x:c r="F920" s="16" t="str">
        <x:f>IF(AND(ISNUMBER(C920),ISNUMBER($J$6),$J$6&gt;0),(C920-$J$5)/$J$6,"")</x:f>
      </x:c>
      <x:c r="G920" s="1" t="str">
        <x:f>IF(ISNUMBER(F920),IF(ABS(F920)&gt;3,1,0),"")</x:f>
      </x:c>
      <x:c r="H920" s="1" t="str">
        <x:f>IF(ISNUMBER(F920),F920^4,"")</x:f>
      </x:c>
      <x:c r="I920" s="1"/>
      <x:c r="J920" s="1"/>
      <x:c r="K920" s="1"/>
      <x:c r="L920" s="1"/>
      <x:c r="M920" s="1"/>
      <x:c r="N920" s="1"/>
    </x:row>
    <x:row r="921" ht="22" customHeight="1">
      <x:c r="A921" s="14"/>
      <x:c r="B921" s="15"/>
      <x:c r="C921" s="16" t="str">
        <x:f>IF(AND(ISNUMBER(B921),ISNUMBER(B920),B921&gt;0,B920&gt;0),LN(B921/B920),"")</x:f>
      </x:c>
      <x:c r="D921" s="16" t="str">
        <x:f>IF(ISNUMBER(C921),ABS(C921),"")</x:f>
      </x:c>
      <x:c r="E921" s="16" t="str">
        <x:f>IF(ISNUMBER(C921),C921^2,"")</x:f>
      </x:c>
      <x:c r="F921" s="16" t="str">
        <x:f>IF(AND(ISNUMBER(C921),ISNUMBER($J$6),$J$6&gt;0),(C921-$J$5)/$J$6,"")</x:f>
      </x:c>
      <x:c r="G921" s="1" t="str">
        <x:f>IF(ISNUMBER(F921),IF(ABS(F921)&gt;3,1,0),"")</x:f>
      </x:c>
      <x:c r="H921" s="1" t="str">
        <x:f>IF(ISNUMBER(F921),F921^4,"")</x:f>
      </x:c>
      <x:c r="I921" s="1"/>
      <x:c r="J921" s="1"/>
      <x:c r="K921" s="1"/>
      <x:c r="L921" s="1"/>
      <x:c r="M921" s="1"/>
      <x:c r="N921" s="1"/>
    </x:row>
    <x:row r="922" ht="22" customHeight="1">
      <x:c r="A922" s="14"/>
      <x:c r="B922" s="15"/>
      <x:c r="C922" s="16" t="str">
        <x:f>IF(AND(ISNUMBER(B922),ISNUMBER(B921),B922&gt;0,B921&gt;0),LN(B922/B921),"")</x:f>
      </x:c>
      <x:c r="D922" s="16" t="str">
        <x:f>IF(ISNUMBER(C922),ABS(C922),"")</x:f>
      </x:c>
      <x:c r="E922" s="16" t="str">
        <x:f>IF(ISNUMBER(C922),C922^2,"")</x:f>
      </x:c>
      <x:c r="F922" s="16" t="str">
        <x:f>IF(AND(ISNUMBER(C922),ISNUMBER($J$6),$J$6&gt;0),(C922-$J$5)/$J$6,"")</x:f>
      </x:c>
      <x:c r="G922" s="1" t="str">
        <x:f>IF(ISNUMBER(F922),IF(ABS(F922)&gt;3,1,0),"")</x:f>
      </x:c>
      <x:c r="H922" s="1" t="str">
        <x:f>IF(ISNUMBER(F922),F922^4,"")</x:f>
      </x:c>
      <x:c r="I922" s="1"/>
      <x:c r="J922" s="1"/>
      <x:c r="K922" s="1"/>
      <x:c r="L922" s="1"/>
      <x:c r="M922" s="1"/>
      <x:c r="N922" s="1"/>
    </x:row>
    <x:row r="923" ht="22" customHeight="1">
      <x:c r="A923" s="14"/>
      <x:c r="B923" s="15"/>
      <x:c r="C923" s="16" t="str">
        <x:f>IF(AND(ISNUMBER(B923),ISNUMBER(B922),B923&gt;0,B922&gt;0),LN(B923/B922),"")</x:f>
      </x:c>
      <x:c r="D923" s="16" t="str">
        <x:f>IF(ISNUMBER(C923),ABS(C923),"")</x:f>
      </x:c>
      <x:c r="E923" s="16" t="str">
        <x:f>IF(ISNUMBER(C923),C923^2,"")</x:f>
      </x:c>
      <x:c r="F923" s="16" t="str">
        <x:f>IF(AND(ISNUMBER(C923),ISNUMBER($J$6),$J$6&gt;0),(C923-$J$5)/$J$6,"")</x:f>
      </x:c>
      <x:c r="G923" s="1" t="str">
        <x:f>IF(ISNUMBER(F923),IF(ABS(F923)&gt;3,1,0),"")</x:f>
      </x:c>
      <x:c r="H923" s="1" t="str">
        <x:f>IF(ISNUMBER(F923),F923^4,"")</x:f>
      </x:c>
      <x:c r="I923" s="1"/>
      <x:c r="J923" s="1"/>
      <x:c r="K923" s="1"/>
      <x:c r="L923" s="1"/>
      <x:c r="M923" s="1"/>
      <x:c r="N923" s="1"/>
    </x:row>
    <x:row r="924" ht="22" customHeight="1">
      <x:c r="A924" s="14"/>
      <x:c r="B924" s="15"/>
      <x:c r="C924" s="16" t="str">
        <x:f>IF(AND(ISNUMBER(B924),ISNUMBER(B923),B924&gt;0,B923&gt;0),LN(B924/B923),"")</x:f>
      </x:c>
      <x:c r="D924" s="16" t="str">
        <x:f>IF(ISNUMBER(C924),ABS(C924),"")</x:f>
      </x:c>
      <x:c r="E924" s="16" t="str">
        <x:f>IF(ISNUMBER(C924),C924^2,"")</x:f>
      </x:c>
      <x:c r="F924" s="16" t="str">
        <x:f>IF(AND(ISNUMBER(C924),ISNUMBER($J$6),$J$6&gt;0),(C924-$J$5)/$J$6,"")</x:f>
      </x:c>
      <x:c r="G924" s="1" t="str">
        <x:f>IF(ISNUMBER(F924),IF(ABS(F924)&gt;3,1,0),"")</x:f>
      </x:c>
      <x:c r="H924" s="1" t="str">
        <x:f>IF(ISNUMBER(F924),F924^4,"")</x:f>
      </x:c>
      <x:c r="I924" s="1"/>
      <x:c r="J924" s="1"/>
      <x:c r="K924" s="1"/>
      <x:c r="L924" s="1"/>
      <x:c r="M924" s="1"/>
      <x:c r="N924" s="1"/>
    </x:row>
    <x:row r="925" ht="22" customHeight="1">
      <x:c r="A925" s="14"/>
      <x:c r="B925" s="15"/>
      <x:c r="C925" s="16" t="str">
        <x:f>IF(AND(ISNUMBER(B925),ISNUMBER(B924),B925&gt;0,B924&gt;0),LN(B925/B924),"")</x:f>
      </x:c>
      <x:c r="D925" s="16" t="str">
        <x:f>IF(ISNUMBER(C925),ABS(C925),"")</x:f>
      </x:c>
      <x:c r="E925" s="16" t="str">
        <x:f>IF(ISNUMBER(C925),C925^2,"")</x:f>
      </x:c>
      <x:c r="F925" s="16" t="str">
        <x:f>IF(AND(ISNUMBER(C925),ISNUMBER($J$6),$J$6&gt;0),(C925-$J$5)/$J$6,"")</x:f>
      </x:c>
      <x:c r="G925" s="1" t="str">
        <x:f>IF(ISNUMBER(F925),IF(ABS(F925)&gt;3,1,0),"")</x:f>
      </x:c>
      <x:c r="H925" s="1" t="str">
        <x:f>IF(ISNUMBER(F925),F925^4,"")</x:f>
      </x:c>
      <x:c r="I925" s="1"/>
      <x:c r="J925" s="1"/>
      <x:c r="K925" s="1"/>
      <x:c r="L925" s="1"/>
      <x:c r="M925" s="1"/>
      <x:c r="N925" s="1"/>
    </x:row>
    <x:row r="926" ht="22" customHeight="1">
      <x:c r="A926" s="14"/>
      <x:c r="B926" s="15"/>
      <x:c r="C926" s="16" t="str">
        <x:f>IF(AND(ISNUMBER(B926),ISNUMBER(B925),B926&gt;0,B925&gt;0),LN(B926/B925),"")</x:f>
      </x:c>
      <x:c r="D926" s="16" t="str">
        <x:f>IF(ISNUMBER(C926),ABS(C926),"")</x:f>
      </x:c>
      <x:c r="E926" s="16" t="str">
        <x:f>IF(ISNUMBER(C926),C926^2,"")</x:f>
      </x:c>
      <x:c r="F926" s="16" t="str">
        <x:f>IF(AND(ISNUMBER(C926),ISNUMBER($J$6),$J$6&gt;0),(C926-$J$5)/$J$6,"")</x:f>
      </x:c>
      <x:c r="G926" s="1" t="str">
        <x:f>IF(ISNUMBER(F926),IF(ABS(F926)&gt;3,1,0),"")</x:f>
      </x:c>
      <x:c r="H926" s="1" t="str">
        <x:f>IF(ISNUMBER(F926),F926^4,"")</x:f>
      </x:c>
      <x:c r="I926" s="1"/>
      <x:c r="J926" s="1"/>
      <x:c r="K926" s="1"/>
      <x:c r="L926" s="1"/>
      <x:c r="M926" s="1"/>
      <x:c r="N926" s="1"/>
    </x:row>
    <x:row r="927" ht="22" customHeight="1">
      <x:c r="A927" s="14"/>
      <x:c r="B927" s="15"/>
      <x:c r="C927" s="16" t="str">
        <x:f>IF(AND(ISNUMBER(B927),ISNUMBER(B926),B927&gt;0,B926&gt;0),LN(B927/B926),"")</x:f>
      </x:c>
      <x:c r="D927" s="16" t="str">
        <x:f>IF(ISNUMBER(C927),ABS(C927),"")</x:f>
      </x:c>
      <x:c r="E927" s="16" t="str">
        <x:f>IF(ISNUMBER(C927),C927^2,"")</x:f>
      </x:c>
      <x:c r="F927" s="16" t="str">
        <x:f>IF(AND(ISNUMBER(C927),ISNUMBER($J$6),$J$6&gt;0),(C927-$J$5)/$J$6,"")</x:f>
      </x:c>
      <x:c r="G927" s="1" t="str">
        <x:f>IF(ISNUMBER(F927),IF(ABS(F927)&gt;3,1,0),"")</x:f>
      </x:c>
      <x:c r="H927" s="1" t="str">
        <x:f>IF(ISNUMBER(F927),F927^4,"")</x:f>
      </x:c>
      <x:c r="I927" s="1"/>
      <x:c r="J927" s="1"/>
      <x:c r="K927" s="1"/>
      <x:c r="L927" s="1"/>
      <x:c r="M927" s="1"/>
      <x:c r="N927" s="1"/>
    </x:row>
    <x:row r="928" ht="22" customHeight="1">
      <x:c r="A928" s="14"/>
      <x:c r="B928" s="15"/>
      <x:c r="C928" s="16" t="str">
        <x:f>IF(AND(ISNUMBER(B928),ISNUMBER(B927),B928&gt;0,B927&gt;0),LN(B928/B927),"")</x:f>
      </x:c>
      <x:c r="D928" s="16" t="str">
        <x:f>IF(ISNUMBER(C928),ABS(C928),"")</x:f>
      </x:c>
      <x:c r="E928" s="16" t="str">
        <x:f>IF(ISNUMBER(C928),C928^2,"")</x:f>
      </x:c>
      <x:c r="F928" s="16" t="str">
        <x:f>IF(AND(ISNUMBER(C928),ISNUMBER($J$6),$J$6&gt;0),(C928-$J$5)/$J$6,"")</x:f>
      </x:c>
      <x:c r="G928" s="1" t="str">
        <x:f>IF(ISNUMBER(F928),IF(ABS(F928)&gt;3,1,0),"")</x:f>
      </x:c>
      <x:c r="H928" s="1" t="str">
        <x:f>IF(ISNUMBER(F928),F928^4,"")</x:f>
      </x:c>
      <x:c r="I928" s="1"/>
      <x:c r="J928" s="1"/>
      <x:c r="K928" s="1"/>
      <x:c r="L928" s="1"/>
      <x:c r="M928" s="1"/>
      <x:c r="N928" s="1"/>
    </x:row>
    <x:row r="929" ht="22" customHeight="1">
      <x:c r="A929" s="14"/>
      <x:c r="B929" s="15"/>
      <x:c r="C929" s="16" t="str">
        <x:f>IF(AND(ISNUMBER(B929),ISNUMBER(B928),B929&gt;0,B928&gt;0),LN(B929/B928),"")</x:f>
      </x:c>
      <x:c r="D929" s="16" t="str">
        <x:f>IF(ISNUMBER(C929),ABS(C929),"")</x:f>
      </x:c>
      <x:c r="E929" s="16" t="str">
        <x:f>IF(ISNUMBER(C929),C929^2,"")</x:f>
      </x:c>
      <x:c r="F929" s="16" t="str">
        <x:f>IF(AND(ISNUMBER(C929),ISNUMBER($J$6),$J$6&gt;0),(C929-$J$5)/$J$6,"")</x:f>
      </x:c>
      <x:c r="G929" s="1" t="str">
        <x:f>IF(ISNUMBER(F929),IF(ABS(F929)&gt;3,1,0),"")</x:f>
      </x:c>
      <x:c r="H929" s="1" t="str">
        <x:f>IF(ISNUMBER(F929),F929^4,"")</x:f>
      </x:c>
      <x:c r="I929" s="1"/>
      <x:c r="J929" s="1"/>
      <x:c r="K929" s="1"/>
      <x:c r="L929" s="1"/>
      <x:c r="M929" s="1"/>
      <x:c r="N929" s="1"/>
    </x:row>
    <x:row r="930" ht="22" customHeight="1">
      <x:c r="A930" s="14"/>
      <x:c r="B930" s="15"/>
      <x:c r="C930" s="16" t="str">
        <x:f>IF(AND(ISNUMBER(B930),ISNUMBER(B929),B930&gt;0,B929&gt;0),LN(B930/B929),"")</x:f>
      </x:c>
      <x:c r="D930" s="16" t="str">
        <x:f>IF(ISNUMBER(C930),ABS(C930),"")</x:f>
      </x:c>
      <x:c r="E930" s="16" t="str">
        <x:f>IF(ISNUMBER(C930),C930^2,"")</x:f>
      </x:c>
      <x:c r="F930" s="16" t="str">
        <x:f>IF(AND(ISNUMBER(C930),ISNUMBER($J$6),$J$6&gt;0),(C930-$J$5)/$J$6,"")</x:f>
      </x:c>
      <x:c r="G930" s="1" t="str">
        <x:f>IF(ISNUMBER(F930),IF(ABS(F930)&gt;3,1,0),"")</x:f>
      </x:c>
      <x:c r="H930" s="1" t="str">
        <x:f>IF(ISNUMBER(F930),F930^4,"")</x:f>
      </x:c>
      <x:c r="I930" s="1"/>
      <x:c r="J930" s="1"/>
      <x:c r="K930" s="1"/>
      <x:c r="L930" s="1"/>
      <x:c r="M930" s="1"/>
      <x:c r="N930" s="1"/>
    </x:row>
    <x:row r="931" ht="22" customHeight="1">
      <x:c r="A931" s="14"/>
      <x:c r="B931" s="15"/>
      <x:c r="C931" s="16" t="str">
        <x:f>IF(AND(ISNUMBER(B931),ISNUMBER(B930),B931&gt;0,B930&gt;0),LN(B931/B930),"")</x:f>
      </x:c>
      <x:c r="D931" s="16" t="str">
        <x:f>IF(ISNUMBER(C931),ABS(C931),"")</x:f>
      </x:c>
      <x:c r="E931" s="16" t="str">
        <x:f>IF(ISNUMBER(C931),C931^2,"")</x:f>
      </x:c>
      <x:c r="F931" s="16" t="str">
        <x:f>IF(AND(ISNUMBER(C931),ISNUMBER($J$6),$J$6&gt;0),(C931-$J$5)/$J$6,"")</x:f>
      </x:c>
      <x:c r="G931" s="1" t="str">
        <x:f>IF(ISNUMBER(F931),IF(ABS(F931)&gt;3,1,0),"")</x:f>
      </x:c>
      <x:c r="H931" s="1" t="str">
        <x:f>IF(ISNUMBER(F931),F931^4,"")</x:f>
      </x:c>
      <x:c r="I931" s="1"/>
      <x:c r="J931" s="1"/>
      <x:c r="K931" s="1"/>
      <x:c r="L931" s="1"/>
      <x:c r="M931" s="1"/>
      <x:c r="N931" s="1"/>
    </x:row>
    <x:row r="932" ht="22" customHeight="1">
      <x:c r="A932" s="14"/>
      <x:c r="B932" s="15"/>
      <x:c r="C932" s="16" t="str">
        <x:f>IF(AND(ISNUMBER(B932),ISNUMBER(B931),B932&gt;0,B931&gt;0),LN(B932/B931),"")</x:f>
      </x:c>
      <x:c r="D932" s="16" t="str">
        <x:f>IF(ISNUMBER(C932),ABS(C932),"")</x:f>
      </x:c>
      <x:c r="E932" s="16" t="str">
        <x:f>IF(ISNUMBER(C932),C932^2,"")</x:f>
      </x:c>
      <x:c r="F932" s="16" t="str">
        <x:f>IF(AND(ISNUMBER(C932),ISNUMBER($J$6),$J$6&gt;0),(C932-$J$5)/$J$6,"")</x:f>
      </x:c>
      <x:c r="G932" s="1" t="str">
        <x:f>IF(ISNUMBER(F932),IF(ABS(F932)&gt;3,1,0),"")</x:f>
      </x:c>
      <x:c r="H932" s="1" t="str">
        <x:f>IF(ISNUMBER(F932),F932^4,"")</x:f>
      </x:c>
      <x:c r="I932" s="1"/>
      <x:c r="J932" s="1"/>
      <x:c r="K932" s="1"/>
      <x:c r="L932" s="1"/>
      <x:c r="M932" s="1"/>
      <x:c r="N932" s="1"/>
    </x:row>
    <x:row r="933" ht="22" customHeight="1">
      <x:c r="A933" s="14"/>
      <x:c r="B933" s="15"/>
      <x:c r="C933" s="16" t="str">
        <x:f>IF(AND(ISNUMBER(B933),ISNUMBER(B932),B933&gt;0,B932&gt;0),LN(B933/B932),"")</x:f>
      </x:c>
      <x:c r="D933" s="16" t="str">
        <x:f>IF(ISNUMBER(C933),ABS(C933),"")</x:f>
      </x:c>
      <x:c r="E933" s="16" t="str">
        <x:f>IF(ISNUMBER(C933),C933^2,"")</x:f>
      </x:c>
      <x:c r="F933" s="16" t="str">
        <x:f>IF(AND(ISNUMBER(C933),ISNUMBER($J$6),$J$6&gt;0),(C933-$J$5)/$J$6,"")</x:f>
      </x:c>
      <x:c r="G933" s="1" t="str">
        <x:f>IF(ISNUMBER(F933),IF(ABS(F933)&gt;3,1,0),"")</x:f>
      </x:c>
      <x:c r="H933" s="1" t="str">
        <x:f>IF(ISNUMBER(F933),F933^4,"")</x:f>
      </x:c>
      <x:c r="I933" s="1"/>
      <x:c r="J933" s="1"/>
      <x:c r="K933" s="1"/>
      <x:c r="L933" s="1"/>
      <x:c r="M933" s="1"/>
      <x:c r="N933" s="1"/>
    </x:row>
    <x:row r="934" ht="22" customHeight="1">
      <x:c r="A934" s="14"/>
      <x:c r="B934" s="15"/>
      <x:c r="C934" s="16" t="str">
        <x:f>IF(AND(ISNUMBER(B934),ISNUMBER(B933),B934&gt;0,B933&gt;0),LN(B934/B933),"")</x:f>
      </x:c>
      <x:c r="D934" s="16" t="str">
        <x:f>IF(ISNUMBER(C934),ABS(C934),"")</x:f>
      </x:c>
      <x:c r="E934" s="16" t="str">
        <x:f>IF(ISNUMBER(C934),C934^2,"")</x:f>
      </x:c>
      <x:c r="F934" s="16" t="str">
        <x:f>IF(AND(ISNUMBER(C934),ISNUMBER($J$6),$J$6&gt;0),(C934-$J$5)/$J$6,"")</x:f>
      </x:c>
      <x:c r="G934" s="1" t="str">
        <x:f>IF(ISNUMBER(F934),IF(ABS(F934)&gt;3,1,0),"")</x:f>
      </x:c>
      <x:c r="H934" s="1" t="str">
        <x:f>IF(ISNUMBER(F934),F934^4,"")</x:f>
      </x:c>
      <x:c r="I934" s="1"/>
      <x:c r="J934" s="1"/>
      <x:c r="K934" s="1"/>
      <x:c r="L934" s="1"/>
      <x:c r="M934" s="1"/>
      <x:c r="N934" s="1"/>
    </x:row>
    <x:row r="935" ht="22" customHeight="1">
      <x:c r="A935" s="14"/>
      <x:c r="B935" s="15"/>
      <x:c r="C935" s="16" t="str">
        <x:f>IF(AND(ISNUMBER(B935),ISNUMBER(B934),B935&gt;0,B934&gt;0),LN(B935/B934),"")</x:f>
      </x:c>
      <x:c r="D935" s="16" t="str">
        <x:f>IF(ISNUMBER(C935),ABS(C935),"")</x:f>
      </x:c>
      <x:c r="E935" s="16" t="str">
        <x:f>IF(ISNUMBER(C935),C935^2,"")</x:f>
      </x:c>
      <x:c r="F935" s="16" t="str">
        <x:f>IF(AND(ISNUMBER(C935),ISNUMBER($J$6),$J$6&gt;0),(C935-$J$5)/$J$6,"")</x:f>
      </x:c>
      <x:c r="G935" s="1" t="str">
        <x:f>IF(ISNUMBER(F935),IF(ABS(F935)&gt;3,1,0),"")</x:f>
      </x:c>
      <x:c r="H935" s="1" t="str">
        <x:f>IF(ISNUMBER(F935),F935^4,"")</x:f>
      </x:c>
      <x:c r="I935" s="1"/>
      <x:c r="J935" s="1"/>
      <x:c r="K935" s="1"/>
      <x:c r="L935" s="1"/>
      <x:c r="M935" s="1"/>
      <x:c r="N935" s="1"/>
    </x:row>
    <x:row r="936" ht="22" customHeight="1">
      <x:c r="A936" s="14"/>
      <x:c r="B936" s="15"/>
      <x:c r="C936" s="16" t="str">
        <x:f>IF(AND(ISNUMBER(B936),ISNUMBER(B935),B936&gt;0,B935&gt;0),LN(B936/B935),"")</x:f>
      </x:c>
      <x:c r="D936" s="16" t="str">
        <x:f>IF(ISNUMBER(C936),ABS(C936),"")</x:f>
      </x:c>
      <x:c r="E936" s="16" t="str">
        <x:f>IF(ISNUMBER(C936),C936^2,"")</x:f>
      </x:c>
      <x:c r="F936" s="16" t="str">
        <x:f>IF(AND(ISNUMBER(C936),ISNUMBER($J$6),$J$6&gt;0),(C936-$J$5)/$J$6,"")</x:f>
      </x:c>
      <x:c r="G936" s="1" t="str">
        <x:f>IF(ISNUMBER(F936),IF(ABS(F936)&gt;3,1,0),"")</x:f>
      </x:c>
      <x:c r="H936" s="1" t="str">
        <x:f>IF(ISNUMBER(F936),F936^4,"")</x:f>
      </x:c>
      <x:c r="I936" s="1"/>
      <x:c r="J936" s="1"/>
      <x:c r="K936" s="1"/>
      <x:c r="L936" s="1"/>
      <x:c r="M936" s="1"/>
      <x:c r="N936" s="1"/>
    </x:row>
    <x:row r="937" ht="22" customHeight="1">
      <x:c r="A937" s="14"/>
      <x:c r="B937" s="15"/>
      <x:c r="C937" s="16" t="str">
        <x:f>IF(AND(ISNUMBER(B937),ISNUMBER(B936),B937&gt;0,B936&gt;0),LN(B937/B936),"")</x:f>
      </x:c>
      <x:c r="D937" s="16" t="str">
        <x:f>IF(ISNUMBER(C937),ABS(C937),"")</x:f>
      </x:c>
      <x:c r="E937" s="16" t="str">
        <x:f>IF(ISNUMBER(C937),C937^2,"")</x:f>
      </x:c>
      <x:c r="F937" s="16" t="str">
        <x:f>IF(AND(ISNUMBER(C937),ISNUMBER($J$6),$J$6&gt;0),(C937-$J$5)/$J$6,"")</x:f>
      </x:c>
      <x:c r="G937" s="1" t="str">
        <x:f>IF(ISNUMBER(F937),IF(ABS(F937)&gt;3,1,0),"")</x:f>
      </x:c>
      <x:c r="H937" s="1" t="str">
        <x:f>IF(ISNUMBER(F937),F937^4,"")</x:f>
      </x:c>
      <x:c r="I937" s="1"/>
      <x:c r="J937" s="1"/>
      <x:c r="K937" s="1"/>
      <x:c r="L937" s="1"/>
      <x:c r="M937" s="1"/>
      <x:c r="N937" s="1"/>
    </x:row>
    <x:row r="938" ht="22" customHeight="1">
      <x:c r="A938" s="14"/>
      <x:c r="B938" s="15"/>
      <x:c r="C938" s="16" t="str">
        <x:f>IF(AND(ISNUMBER(B938),ISNUMBER(B937),B938&gt;0,B937&gt;0),LN(B938/B937),"")</x:f>
      </x:c>
      <x:c r="D938" s="16" t="str">
        <x:f>IF(ISNUMBER(C938),ABS(C938),"")</x:f>
      </x:c>
      <x:c r="E938" s="16" t="str">
        <x:f>IF(ISNUMBER(C938),C938^2,"")</x:f>
      </x:c>
      <x:c r="F938" s="16" t="str">
        <x:f>IF(AND(ISNUMBER(C938),ISNUMBER($J$6),$J$6&gt;0),(C938-$J$5)/$J$6,"")</x:f>
      </x:c>
      <x:c r="G938" s="1" t="str">
        <x:f>IF(ISNUMBER(F938),IF(ABS(F938)&gt;3,1,0),"")</x:f>
      </x:c>
      <x:c r="H938" s="1" t="str">
        <x:f>IF(ISNUMBER(F938),F938^4,"")</x:f>
      </x:c>
      <x:c r="I938" s="1"/>
      <x:c r="J938" s="1"/>
      <x:c r="K938" s="1"/>
      <x:c r="L938" s="1"/>
      <x:c r="M938" s="1"/>
      <x:c r="N938" s="1"/>
    </x:row>
    <x:row r="939" ht="22" customHeight="1">
      <x:c r="A939" s="14"/>
      <x:c r="B939" s="15"/>
      <x:c r="C939" s="16" t="str">
        <x:f>IF(AND(ISNUMBER(B939),ISNUMBER(B938),B939&gt;0,B938&gt;0),LN(B939/B938),"")</x:f>
      </x:c>
      <x:c r="D939" s="16" t="str">
        <x:f>IF(ISNUMBER(C939),ABS(C939),"")</x:f>
      </x:c>
      <x:c r="E939" s="16" t="str">
        <x:f>IF(ISNUMBER(C939),C939^2,"")</x:f>
      </x:c>
      <x:c r="F939" s="16" t="str">
        <x:f>IF(AND(ISNUMBER(C939),ISNUMBER($J$6),$J$6&gt;0),(C939-$J$5)/$J$6,"")</x:f>
      </x:c>
      <x:c r="G939" s="1" t="str">
        <x:f>IF(ISNUMBER(F939),IF(ABS(F939)&gt;3,1,0),"")</x:f>
      </x:c>
      <x:c r="H939" s="1" t="str">
        <x:f>IF(ISNUMBER(F939),F939^4,"")</x:f>
      </x:c>
      <x:c r="I939" s="1"/>
      <x:c r="J939" s="1"/>
      <x:c r="K939" s="1"/>
      <x:c r="L939" s="1"/>
      <x:c r="M939" s="1"/>
      <x:c r="N939" s="1"/>
    </x:row>
    <x:row r="940" ht="22" customHeight="1">
      <x:c r="A940" s="14"/>
      <x:c r="B940" s="15"/>
      <x:c r="C940" s="16" t="str">
        <x:f>IF(AND(ISNUMBER(B940),ISNUMBER(B939),B940&gt;0,B939&gt;0),LN(B940/B939),"")</x:f>
      </x:c>
      <x:c r="D940" s="16" t="str">
        <x:f>IF(ISNUMBER(C940),ABS(C940),"")</x:f>
      </x:c>
      <x:c r="E940" s="16" t="str">
        <x:f>IF(ISNUMBER(C940),C940^2,"")</x:f>
      </x:c>
      <x:c r="F940" s="16" t="str">
        <x:f>IF(AND(ISNUMBER(C940),ISNUMBER($J$6),$J$6&gt;0),(C940-$J$5)/$J$6,"")</x:f>
      </x:c>
      <x:c r="G940" s="1" t="str">
        <x:f>IF(ISNUMBER(F940),IF(ABS(F940)&gt;3,1,0),"")</x:f>
      </x:c>
      <x:c r="H940" s="1" t="str">
        <x:f>IF(ISNUMBER(F940),F940^4,"")</x:f>
      </x:c>
      <x:c r="I940" s="1"/>
      <x:c r="J940" s="1"/>
      <x:c r="K940" s="1"/>
      <x:c r="L940" s="1"/>
      <x:c r="M940" s="1"/>
      <x:c r="N940" s="1"/>
    </x:row>
    <x:row r="941" ht="22" customHeight="1">
      <x:c r="A941" s="14"/>
      <x:c r="B941" s="15"/>
      <x:c r="C941" s="16" t="str">
        <x:f>IF(AND(ISNUMBER(B941),ISNUMBER(B940),B941&gt;0,B940&gt;0),LN(B941/B940),"")</x:f>
      </x:c>
      <x:c r="D941" s="16" t="str">
        <x:f>IF(ISNUMBER(C941),ABS(C941),"")</x:f>
      </x:c>
      <x:c r="E941" s="16" t="str">
        <x:f>IF(ISNUMBER(C941),C941^2,"")</x:f>
      </x:c>
      <x:c r="F941" s="16" t="str">
        <x:f>IF(AND(ISNUMBER(C941),ISNUMBER($J$6),$J$6&gt;0),(C941-$J$5)/$J$6,"")</x:f>
      </x:c>
      <x:c r="G941" s="1" t="str">
        <x:f>IF(ISNUMBER(F941),IF(ABS(F941)&gt;3,1,0),"")</x:f>
      </x:c>
      <x:c r="H941" s="1" t="str">
        <x:f>IF(ISNUMBER(F941),F941^4,"")</x:f>
      </x:c>
      <x:c r="I941" s="1"/>
      <x:c r="J941" s="1"/>
      <x:c r="K941" s="1"/>
      <x:c r="L941" s="1"/>
      <x:c r="M941" s="1"/>
      <x:c r="N941" s="1"/>
    </x:row>
    <x:row r="942" ht="22" customHeight="1">
      <x:c r="A942" s="14"/>
      <x:c r="B942" s="15"/>
      <x:c r="C942" s="16" t="str">
        <x:f>IF(AND(ISNUMBER(B942),ISNUMBER(B941),B942&gt;0,B941&gt;0),LN(B942/B941),"")</x:f>
      </x:c>
      <x:c r="D942" s="16" t="str">
        <x:f>IF(ISNUMBER(C942),ABS(C942),"")</x:f>
      </x:c>
      <x:c r="E942" s="16" t="str">
        <x:f>IF(ISNUMBER(C942),C942^2,"")</x:f>
      </x:c>
      <x:c r="F942" s="16" t="str">
        <x:f>IF(AND(ISNUMBER(C942),ISNUMBER($J$6),$J$6&gt;0),(C942-$J$5)/$J$6,"")</x:f>
      </x:c>
      <x:c r="G942" s="1" t="str">
        <x:f>IF(ISNUMBER(F942),IF(ABS(F942)&gt;3,1,0),"")</x:f>
      </x:c>
      <x:c r="H942" s="1" t="str">
        <x:f>IF(ISNUMBER(F942),F942^4,"")</x:f>
      </x:c>
      <x:c r="I942" s="1"/>
      <x:c r="J942" s="1"/>
      <x:c r="K942" s="1"/>
      <x:c r="L942" s="1"/>
      <x:c r="M942" s="1"/>
      <x:c r="N942" s="1"/>
    </x:row>
    <x:row r="943" ht="22" customHeight="1">
      <x:c r="A943" s="14"/>
      <x:c r="B943" s="15"/>
      <x:c r="C943" s="16" t="str">
        <x:f>IF(AND(ISNUMBER(B943),ISNUMBER(B942),B943&gt;0,B942&gt;0),LN(B943/B942),"")</x:f>
      </x:c>
      <x:c r="D943" s="16" t="str">
        <x:f>IF(ISNUMBER(C943),ABS(C943),"")</x:f>
      </x:c>
      <x:c r="E943" s="16" t="str">
        <x:f>IF(ISNUMBER(C943),C943^2,"")</x:f>
      </x:c>
      <x:c r="F943" s="16" t="str">
        <x:f>IF(AND(ISNUMBER(C943),ISNUMBER($J$6),$J$6&gt;0),(C943-$J$5)/$J$6,"")</x:f>
      </x:c>
      <x:c r="G943" s="1" t="str">
        <x:f>IF(ISNUMBER(F943),IF(ABS(F943)&gt;3,1,0),"")</x:f>
      </x:c>
      <x:c r="H943" s="1" t="str">
        <x:f>IF(ISNUMBER(F943),F943^4,"")</x:f>
      </x:c>
      <x:c r="I943" s="1"/>
      <x:c r="J943" s="1"/>
      <x:c r="K943" s="1"/>
      <x:c r="L943" s="1"/>
      <x:c r="M943" s="1"/>
      <x:c r="N943" s="1"/>
    </x:row>
    <x:row r="944" ht="22" customHeight="1">
      <x:c r="A944" s="14"/>
      <x:c r="B944" s="15"/>
      <x:c r="C944" s="16" t="str">
        <x:f>IF(AND(ISNUMBER(B944),ISNUMBER(B943),B944&gt;0,B943&gt;0),LN(B944/B943),"")</x:f>
      </x:c>
      <x:c r="D944" s="16" t="str">
        <x:f>IF(ISNUMBER(C944),ABS(C944),"")</x:f>
      </x:c>
      <x:c r="E944" s="16" t="str">
        <x:f>IF(ISNUMBER(C944),C944^2,"")</x:f>
      </x:c>
      <x:c r="F944" s="16" t="str">
        <x:f>IF(AND(ISNUMBER(C944),ISNUMBER($J$6),$J$6&gt;0),(C944-$J$5)/$J$6,"")</x:f>
      </x:c>
      <x:c r="G944" s="1" t="str">
        <x:f>IF(ISNUMBER(F944),IF(ABS(F944)&gt;3,1,0),"")</x:f>
      </x:c>
      <x:c r="H944" s="1" t="str">
        <x:f>IF(ISNUMBER(F944),F944^4,"")</x:f>
      </x:c>
      <x:c r="I944" s="1"/>
      <x:c r="J944" s="1"/>
      <x:c r="K944" s="1"/>
      <x:c r="L944" s="1"/>
      <x:c r="M944" s="1"/>
      <x:c r="N944" s="1"/>
    </x:row>
    <x:row r="945" ht="22" customHeight="1">
      <x:c r="A945" s="14"/>
      <x:c r="B945" s="15"/>
      <x:c r="C945" s="16" t="str">
        <x:f>IF(AND(ISNUMBER(B945),ISNUMBER(B944),B945&gt;0,B944&gt;0),LN(B945/B944),"")</x:f>
      </x:c>
      <x:c r="D945" s="16" t="str">
        <x:f>IF(ISNUMBER(C945),ABS(C945),"")</x:f>
      </x:c>
      <x:c r="E945" s="16" t="str">
        <x:f>IF(ISNUMBER(C945),C945^2,"")</x:f>
      </x:c>
      <x:c r="F945" s="16" t="str">
        <x:f>IF(AND(ISNUMBER(C945),ISNUMBER($J$6),$J$6&gt;0),(C945-$J$5)/$J$6,"")</x:f>
      </x:c>
      <x:c r="G945" s="1" t="str">
        <x:f>IF(ISNUMBER(F945),IF(ABS(F945)&gt;3,1,0),"")</x:f>
      </x:c>
      <x:c r="H945" s="1" t="str">
        <x:f>IF(ISNUMBER(F945),F945^4,"")</x:f>
      </x:c>
      <x:c r="I945" s="1"/>
      <x:c r="J945" s="1"/>
      <x:c r="K945" s="1"/>
      <x:c r="L945" s="1"/>
      <x:c r="M945" s="1"/>
      <x:c r="N945" s="1"/>
    </x:row>
    <x:row r="946" ht="22" customHeight="1">
      <x:c r="A946" s="14"/>
      <x:c r="B946" s="15"/>
      <x:c r="C946" s="16" t="str">
        <x:f>IF(AND(ISNUMBER(B946),ISNUMBER(B945),B946&gt;0,B945&gt;0),LN(B946/B945),"")</x:f>
      </x:c>
      <x:c r="D946" s="16" t="str">
        <x:f>IF(ISNUMBER(C946),ABS(C946),"")</x:f>
      </x:c>
      <x:c r="E946" s="16" t="str">
        <x:f>IF(ISNUMBER(C946),C946^2,"")</x:f>
      </x:c>
      <x:c r="F946" s="16" t="str">
        <x:f>IF(AND(ISNUMBER(C946),ISNUMBER($J$6),$J$6&gt;0),(C946-$J$5)/$J$6,"")</x:f>
      </x:c>
      <x:c r="G946" s="1" t="str">
        <x:f>IF(ISNUMBER(F946),IF(ABS(F946)&gt;3,1,0),"")</x:f>
      </x:c>
      <x:c r="H946" s="1" t="str">
        <x:f>IF(ISNUMBER(F946),F946^4,"")</x:f>
      </x:c>
      <x:c r="I946" s="1"/>
      <x:c r="J946" s="1"/>
      <x:c r="K946" s="1"/>
      <x:c r="L946" s="1"/>
      <x:c r="M946" s="1"/>
      <x:c r="N946" s="1"/>
    </x:row>
    <x:row r="947" ht="22" customHeight="1">
      <x:c r="A947" s="14"/>
      <x:c r="B947" s="15"/>
      <x:c r="C947" s="16" t="str">
        <x:f>IF(AND(ISNUMBER(B947),ISNUMBER(B946),B947&gt;0,B946&gt;0),LN(B947/B946),"")</x:f>
      </x:c>
      <x:c r="D947" s="16" t="str">
        <x:f>IF(ISNUMBER(C947),ABS(C947),"")</x:f>
      </x:c>
      <x:c r="E947" s="16" t="str">
        <x:f>IF(ISNUMBER(C947),C947^2,"")</x:f>
      </x:c>
      <x:c r="F947" s="16" t="str">
        <x:f>IF(AND(ISNUMBER(C947),ISNUMBER($J$6),$J$6&gt;0),(C947-$J$5)/$J$6,"")</x:f>
      </x:c>
      <x:c r="G947" s="1" t="str">
        <x:f>IF(ISNUMBER(F947),IF(ABS(F947)&gt;3,1,0),"")</x:f>
      </x:c>
      <x:c r="H947" s="1" t="str">
        <x:f>IF(ISNUMBER(F947),F947^4,"")</x:f>
      </x:c>
      <x:c r="I947" s="1"/>
      <x:c r="J947" s="1"/>
      <x:c r="K947" s="1"/>
      <x:c r="L947" s="1"/>
      <x:c r="M947" s="1"/>
      <x:c r="N947" s="1"/>
    </x:row>
    <x:row r="948" ht="22" customHeight="1">
      <x:c r="A948" s="14"/>
      <x:c r="B948" s="15"/>
      <x:c r="C948" s="16" t="str">
        <x:f>IF(AND(ISNUMBER(B948),ISNUMBER(B947),B948&gt;0,B947&gt;0),LN(B948/B947),"")</x:f>
      </x:c>
      <x:c r="D948" s="16" t="str">
        <x:f>IF(ISNUMBER(C948),ABS(C948),"")</x:f>
      </x:c>
      <x:c r="E948" s="16" t="str">
        <x:f>IF(ISNUMBER(C948),C948^2,"")</x:f>
      </x:c>
      <x:c r="F948" s="16" t="str">
        <x:f>IF(AND(ISNUMBER(C948),ISNUMBER($J$6),$J$6&gt;0),(C948-$J$5)/$J$6,"")</x:f>
      </x:c>
      <x:c r="G948" s="1" t="str">
        <x:f>IF(ISNUMBER(F948),IF(ABS(F948)&gt;3,1,0),"")</x:f>
      </x:c>
      <x:c r="H948" s="1" t="str">
        <x:f>IF(ISNUMBER(F948),F948^4,"")</x:f>
      </x:c>
      <x:c r="I948" s="1"/>
      <x:c r="J948" s="1"/>
      <x:c r="K948" s="1"/>
      <x:c r="L948" s="1"/>
      <x:c r="M948" s="1"/>
      <x:c r="N948" s="1"/>
    </x:row>
    <x:row r="949" ht="22" customHeight="1">
      <x:c r="A949" s="14"/>
      <x:c r="B949" s="15"/>
      <x:c r="C949" s="16" t="str">
        <x:f>IF(AND(ISNUMBER(B949),ISNUMBER(B948),B949&gt;0,B948&gt;0),LN(B949/B948),"")</x:f>
      </x:c>
      <x:c r="D949" s="16" t="str">
        <x:f>IF(ISNUMBER(C949),ABS(C949),"")</x:f>
      </x:c>
      <x:c r="E949" s="16" t="str">
        <x:f>IF(ISNUMBER(C949),C949^2,"")</x:f>
      </x:c>
      <x:c r="F949" s="16" t="str">
        <x:f>IF(AND(ISNUMBER(C949),ISNUMBER($J$6),$J$6&gt;0),(C949-$J$5)/$J$6,"")</x:f>
      </x:c>
      <x:c r="G949" s="1" t="str">
        <x:f>IF(ISNUMBER(F949),IF(ABS(F949)&gt;3,1,0),"")</x:f>
      </x:c>
      <x:c r="H949" s="1" t="str">
        <x:f>IF(ISNUMBER(F949),F949^4,"")</x:f>
      </x:c>
      <x:c r="I949" s="1"/>
      <x:c r="J949" s="1"/>
      <x:c r="K949" s="1"/>
      <x:c r="L949" s="1"/>
      <x:c r="M949" s="1"/>
      <x:c r="N949" s="1"/>
    </x:row>
    <x:row r="950" ht="22" customHeight="1">
      <x:c r="A950" s="14"/>
      <x:c r="B950" s="15"/>
      <x:c r="C950" s="16" t="str">
        <x:f>IF(AND(ISNUMBER(B950),ISNUMBER(B949),B950&gt;0,B949&gt;0),LN(B950/B949),"")</x:f>
      </x:c>
      <x:c r="D950" s="16" t="str">
        <x:f>IF(ISNUMBER(C950),ABS(C950),"")</x:f>
      </x:c>
      <x:c r="E950" s="16" t="str">
        <x:f>IF(ISNUMBER(C950),C950^2,"")</x:f>
      </x:c>
      <x:c r="F950" s="16" t="str">
        <x:f>IF(AND(ISNUMBER(C950),ISNUMBER($J$6),$J$6&gt;0),(C950-$J$5)/$J$6,"")</x:f>
      </x:c>
      <x:c r="G950" s="1" t="str">
        <x:f>IF(ISNUMBER(F950),IF(ABS(F950)&gt;3,1,0),"")</x:f>
      </x:c>
      <x:c r="H950" s="1" t="str">
        <x:f>IF(ISNUMBER(F950),F950^4,"")</x:f>
      </x:c>
      <x:c r="I950" s="1"/>
      <x:c r="J950" s="1"/>
      <x:c r="K950" s="1"/>
      <x:c r="L950" s="1"/>
      <x:c r="M950" s="1"/>
      <x:c r="N950" s="1"/>
    </x:row>
    <x:row r="951" ht="22" customHeight="1">
      <x:c r="A951" s="14"/>
      <x:c r="B951" s="15"/>
      <x:c r="C951" s="16" t="str">
        <x:f>IF(AND(ISNUMBER(B951),ISNUMBER(B950),B951&gt;0,B950&gt;0),LN(B951/B950),"")</x:f>
      </x:c>
      <x:c r="D951" s="16" t="str">
        <x:f>IF(ISNUMBER(C951),ABS(C951),"")</x:f>
      </x:c>
      <x:c r="E951" s="16" t="str">
        <x:f>IF(ISNUMBER(C951),C951^2,"")</x:f>
      </x:c>
      <x:c r="F951" s="16" t="str">
        <x:f>IF(AND(ISNUMBER(C951),ISNUMBER($J$6),$J$6&gt;0),(C951-$J$5)/$J$6,"")</x:f>
      </x:c>
      <x:c r="G951" s="1" t="str">
        <x:f>IF(ISNUMBER(F951),IF(ABS(F951)&gt;3,1,0),"")</x:f>
      </x:c>
      <x:c r="H951" s="1" t="str">
        <x:f>IF(ISNUMBER(F951),F951^4,"")</x:f>
      </x:c>
      <x:c r="I951" s="1"/>
      <x:c r="J951" s="1"/>
      <x:c r="K951" s="1"/>
      <x:c r="L951" s="1"/>
      <x:c r="M951" s="1"/>
      <x:c r="N951" s="1"/>
    </x:row>
    <x:row r="952" ht="22" customHeight="1">
      <x:c r="A952" s="14"/>
      <x:c r="B952" s="15"/>
      <x:c r="C952" s="16" t="str">
        <x:f>IF(AND(ISNUMBER(B952),ISNUMBER(B951),B952&gt;0,B951&gt;0),LN(B952/B951),"")</x:f>
      </x:c>
      <x:c r="D952" s="16" t="str">
        <x:f>IF(ISNUMBER(C952),ABS(C952),"")</x:f>
      </x:c>
      <x:c r="E952" s="16" t="str">
        <x:f>IF(ISNUMBER(C952),C952^2,"")</x:f>
      </x:c>
      <x:c r="F952" s="16" t="str">
        <x:f>IF(AND(ISNUMBER(C952),ISNUMBER($J$6),$J$6&gt;0),(C952-$J$5)/$J$6,"")</x:f>
      </x:c>
      <x:c r="G952" s="1" t="str">
        <x:f>IF(ISNUMBER(F952),IF(ABS(F952)&gt;3,1,0),"")</x:f>
      </x:c>
      <x:c r="H952" s="1" t="str">
        <x:f>IF(ISNUMBER(F952),F952^4,"")</x:f>
      </x:c>
      <x:c r="I952" s="1"/>
      <x:c r="J952" s="1"/>
      <x:c r="K952" s="1"/>
      <x:c r="L952" s="1"/>
      <x:c r="M952" s="1"/>
      <x:c r="N952" s="1"/>
    </x:row>
    <x:row r="953" ht="22" customHeight="1">
      <x:c r="A953" s="14"/>
      <x:c r="B953" s="15"/>
      <x:c r="C953" s="16" t="str">
        <x:f>IF(AND(ISNUMBER(B953),ISNUMBER(B952),B953&gt;0,B952&gt;0),LN(B953/B952),"")</x:f>
      </x:c>
      <x:c r="D953" s="16" t="str">
        <x:f>IF(ISNUMBER(C953),ABS(C953),"")</x:f>
      </x:c>
      <x:c r="E953" s="16" t="str">
        <x:f>IF(ISNUMBER(C953),C953^2,"")</x:f>
      </x:c>
      <x:c r="F953" s="16" t="str">
        <x:f>IF(AND(ISNUMBER(C953),ISNUMBER($J$6),$J$6&gt;0),(C953-$J$5)/$J$6,"")</x:f>
      </x:c>
      <x:c r="G953" s="1" t="str">
        <x:f>IF(ISNUMBER(F953),IF(ABS(F953)&gt;3,1,0),"")</x:f>
      </x:c>
      <x:c r="H953" s="1" t="str">
        <x:f>IF(ISNUMBER(F953),F953^4,"")</x:f>
      </x:c>
      <x:c r="I953" s="1"/>
      <x:c r="J953" s="1"/>
      <x:c r="K953" s="1"/>
      <x:c r="L953" s="1"/>
      <x:c r="M953" s="1"/>
      <x:c r="N953" s="1"/>
    </x:row>
    <x:row r="954" ht="22" customHeight="1">
      <x:c r="A954" s="14"/>
      <x:c r="B954" s="15"/>
      <x:c r="C954" s="16" t="str">
        <x:f>IF(AND(ISNUMBER(B954),ISNUMBER(B953),B954&gt;0,B953&gt;0),LN(B954/B953),"")</x:f>
      </x:c>
      <x:c r="D954" s="16" t="str">
        <x:f>IF(ISNUMBER(C954),ABS(C954),"")</x:f>
      </x:c>
      <x:c r="E954" s="16" t="str">
        <x:f>IF(ISNUMBER(C954),C954^2,"")</x:f>
      </x:c>
      <x:c r="F954" s="16" t="str">
        <x:f>IF(AND(ISNUMBER(C954),ISNUMBER($J$6),$J$6&gt;0),(C954-$J$5)/$J$6,"")</x:f>
      </x:c>
      <x:c r="G954" s="1" t="str">
        <x:f>IF(ISNUMBER(F954),IF(ABS(F954)&gt;3,1,0),"")</x:f>
      </x:c>
      <x:c r="H954" s="1" t="str">
        <x:f>IF(ISNUMBER(F954),F954^4,"")</x:f>
      </x:c>
      <x:c r="I954" s="1"/>
      <x:c r="J954" s="1"/>
      <x:c r="K954" s="1"/>
      <x:c r="L954" s="1"/>
      <x:c r="M954" s="1"/>
      <x:c r="N954" s="1"/>
    </x:row>
    <x:row r="955" ht="22" customHeight="1">
      <x:c r="A955" s="14"/>
      <x:c r="B955" s="15"/>
      <x:c r="C955" s="16" t="str">
        <x:f>IF(AND(ISNUMBER(B955),ISNUMBER(B954),B955&gt;0,B954&gt;0),LN(B955/B954),"")</x:f>
      </x:c>
      <x:c r="D955" s="16" t="str">
        <x:f>IF(ISNUMBER(C955),ABS(C955),"")</x:f>
      </x:c>
      <x:c r="E955" s="16" t="str">
        <x:f>IF(ISNUMBER(C955),C955^2,"")</x:f>
      </x:c>
      <x:c r="F955" s="16" t="str">
        <x:f>IF(AND(ISNUMBER(C955),ISNUMBER($J$6),$J$6&gt;0),(C955-$J$5)/$J$6,"")</x:f>
      </x:c>
      <x:c r="G955" s="1" t="str">
        <x:f>IF(ISNUMBER(F955),IF(ABS(F955)&gt;3,1,0),"")</x:f>
      </x:c>
      <x:c r="H955" s="1" t="str">
        <x:f>IF(ISNUMBER(F955),F955^4,"")</x:f>
      </x:c>
      <x:c r="I955" s="1"/>
      <x:c r="J955" s="1"/>
      <x:c r="K955" s="1"/>
      <x:c r="L955" s="1"/>
      <x:c r="M955" s="1"/>
      <x:c r="N955" s="1"/>
    </x:row>
    <x:row r="956" ht="22" customHeight="1">
      <x:c r="A956" s="14"/>
      <x:c r="B956" s="15"/>
      <x:c r="C956" s="16" t="str">
        <x:f>IF(AND(ISNUMBER(B956),ISNUMBER(B955),B956&gt;0,B955&gt;0),LN(B956/B955),"")</x:f>
      </x:c>
      <x:c r="D956" s="16" t="str">
        <x:f>IF(ISNUMBER(C956),ABS(C956),"")</x:f>
      </x:c>
      <x:c r="E956" s="16" t="str">
        <x:f>IF(ISNUMBER(C956),C956^2,"")</x:f>
      </x:c>
      <x:c r="F956" s="16" t="str">
        <x:f>IF(AND(ISNUMBER(C956),ISNUMBER($J$6),$J$6&gt;0),(C956-$J$5)/$J$6,"")</x:f>
      </x:c>
      <x:c r="G956" s="1" t="str">
        <x:f>IF(ISNUMBER(F956),IF(ABS(F956)&gt;3,1,0),"")</x:f>
      </x:c>
      <x:c r="H956" s="1" t="str">
        <x:f>IF(ISNUMBER(F956),F956^4,"")</x:f>
      </x:c>
      <x:c r="I956" s="1"/>
      <x:c r="J956" s="1"/>
      <x:c r="K956" s="1"/>
      <x:c r="L956" s="1"/>
      <x:c r="M956" s="1"/>
      <x:c r="N956" s="1"/>
    </x:row>
    <x:row r="957" ht="22" customHeight="1">
      <x:c r="A957" s="14"/>
      <x:c r="B957" s="15"/>
      <x:c r="C957" s="16" t="str">
        <x:f>IF(AND(ISNUMBER(B957),ISNUMBER(B956),B957&gt;0,B956&gt;0),LN(B957/B956),"")</x:f>
      </x:c>
      <x:c r="D957" s="16" t="str">
        <x:f>IF(ISNUMBER(C957),ABS(C957),"")</x:f>
      </x:c>
      <x:c r="E957" s="16" t="str">
        <x:f>IF(ISNUMBER(C957),C957^2,"")</x:f>
      </x:c>
      <x:c r="F957" s="16" t="str">
        <x:f>IF(AND(ISNUMBER(C957),ISNUMBER($J$6),$J$6&gt;0),(C957-$J$5)/$J$6,"")</x:f>
      </x:c>
      <x:c r="G957" s="1" t="str">
        <x:f>IF(ISNUMBER(F957),IF(ABS(F957)&gt;3,1,0),"")</x:f>
      </x:c>
      <x:c r="H957" s="1" t="str">
        <x:f>IF(ISNUMBER(F957),F957^4,"")</x:f>
      </x:c>
      <x:c r="I957" s="1"/>
      <x:c r="J957" s="1"/>
      <x:c r="K957" s="1"/>
      <x:c r="L957" s="1"/>
      <x:c r="M957" s="1"/>
      <x:c r="N957" s="1"/>
    </x:row>
    <x:row r="958" ht="22" customHeight="1">
      <x:c r="A958" s="14"/>
      <x:c r="B958" s="15"/>
      <x:c r="C958" s="16" t="str">
        <x:f>IF(AND(ISNUMBER(B958),ISNUMBER(B957),B958&gt;0,B957&gt;0),LN(B958/B957),"")</x:f>
      </x:c>
      <x:c r="D958" s="16" t="str">
        <x:f>IF(ISNUMBER(C958),ABS(C958),"")</x:f>
      </x:c>
      <x:c r="E958" s="16" t="str">
        <x:f>IF(ISNUMBER(C958),C958^2,"")</x:f>
      </x:c>
      <x:c r="F958" s="16" t="str">
        <x:f>IF(AND(ISNUMBER(C958),ISNUMBER($J$6),$J$6&gt;0),(C958-$J$5)/$J$6,"")</x:f>
      </x:c>
      <x:c r="G958" s="1" t="str">
        <x:f>IF(ISNUMBER(F958),IF(ABS(F958)&gt;3,1,0),"")</x:f>
      </x:c>
      <x:c r="H958" s="1" t="str">
        <x:f>IF(ISNUMBER(F958),F958^4,"")</x:f>
      </x:c>
      <x:c r="I958" s="1"/>
      <x:c r="J958" s="1"/>
      <x:c r="K958" s="1"/>
      <x:c r="L958" s="1"/>
      <x:c r="M958" s="1"/>
      <x:c r="N958" s="1"/>
    </x:row>
    <x:row r="959" ht="22" customHeight="1">
      <x:c r="A959" s="14"/>
      <x:c r="B959" s="15"/>
      <x:c r="C959" s="16" t="str">
        <x:f>IF(AND(ISNUMBER(B959),ISNUMBER(B958),B959&gt;0,B958&gt;0),LN(B959/B958),"")</x:f>
      </x:c>
      <x:c r="D959" s="16" t="str">
        <x:f>IF(ISNUMBER(C959),ABS(C959),"")</x:f>
      </x:c>
      <x:c r="E959" s="16" t="str">
        <x:f>IF(ISNUMBER(C959),C959^2,"")</x:f>
      </x:c>
      <x:c r="F959" s="16" t="str">
        <x:f>IF(AND(ISNUMBER(C959),ISNUMBER($J$6),$J$6&gt;0),(C959-$J$5)/$J$6,"")</x:f>
      </x:c>
      <x:c r="G959" s="1" t="str">
        <x:f>IF(ISNUMBER(F959),IF(ABS(F959)&gt;3,1,0),"")</x:f>
      </x:c>
      <x:c r="H959" s="1" t="str">
        <x:f>IF(ISNUMBER(F959),F959^4,"")</x:f>
      </x:c>
      <x:c r="I959" s="1"/>
      <x:c r="J959" s="1"/>
      <x:c r="K959" s="1"/>
      <x:c r="L959" s="1"/>
      <x:c r="M959" s="1"/>
      <x:c r="N959" s="1"/>
    </x:row>
    <x:row r="960" ht="22" customHeight="1">
      <x:c r="A960" s="14"/>
      <x:c r="B960" s="15"/>
      <x:c r="C960" s="16" t="str">
        <x:f>IF(AND(ISNUMBER(B960),ISNUMBER(B959),B960&gt;0,B959&gt;0),LN(B960/B959),"")</x:f>
      </x:c>
      <x:c r="D960" s="16" t="str">
        <x:f>IF(ISNUMBER(C960),ABS(C960),"")</x:f>
      </x:c>
      <x:c r="E960" s="16" t="str">
        <x:f>IF(ISNUMBER(C960),C960^2,"")</x:f>
      </x:c>
      <x:c r="F960" s="16" t="str">
        <x:f>IF(AND(ISNUMBER(C960),ISNUMBER($J$6),$J$6&gt;0),(C960-$J$5)/$J$6,"")</x:f>
      </x:c>
      <x:c r="G960" s="1" t="str">
        <x:f>IF(ISNUMBER(F960),IF(ABS(F960)&gt;3,1,0),"")</x:f>
      </x:c>
      <x:c r="H960" s="1" t="str">
        <x:f>IF(ISNUMBER(F960),F960^4,"")</x:f>
      </x:c>
      <x:c r="I960" s="1"/>
      <x:c r="J960" s="1"/>
      <x:c r="K960" s="1"/>
      <x:c r="L960" s="1"/>
      <x:c r="M960" s="1"/>
      <x:c r="N960" s="1"/>
    </x:row>
    <x:row r="961" ht="22" customHeight="1">
      <x:c r="A961" s="14"/>
      <x:c r="B961" s="15"/>
      <x:c r="C961" s="16" t="str">
        <x:f>IF(AND(ISNUMBER(B961),ISNUMBER(B960),B961&gt;0,B960&gt;0),LN(B961/B960),"")</x:f>
      </x:c>
      <x:c r="D961" s="16" t="str">
        <x:f>IF(ISNUMBER(C961),ABS(C961),"")</x:f>
      </x:c>
      <x:c r="E961" s="16" t="str">
        <x:f>IF(ISNUMBER(C961),C961^2,"")</x:f>
      </x:c>
      <x:c r="F961" s="16" t="str">
        <x:f>IF(AND(ISNUMBER(C961),ISNUMBER($J$6),$J$6&gt;0),(C961-$J$5)/$J$6,"")</x:f>
      </x:c>
      <x:c r="G961" s="1" t="str">
        <x:f>IF(ISNUMBER(F961),IF(ABS(F961)&gt;3,1,0),"")</x:f>
      </x:c>
      <x:c r="H961" s="1" t="str">
        <x:f>IF(ISNUMBER(F961),F961^4,"")</x:f>
      </x:c>
      <x:c r="I961" s="1"/>
      <x:c r="J961" s="1"/>
      <x:c r="K961" s="1"/>
      <x:c r="L961" s="1"/>
      <x:c r="M961" s="1"/>
      <x:c r="N961" s="1"/>
    </x:row>
    <x:row r="962" ht="22" customHeight="1">
      <x:c r="A962" s="14"/>
      <x:c r="B962" s="15"/>
      <x:c r="C962" s="16" t="str">
        <x:f>IF(AND(ISNUMBER(B962),ISNUMBER(B961),B962&gt;0,B961&gt;0),LN(B962/B961),"")</x:f>
      </x:c>
      <x:c r="D962" s="16" t="str">
        <x:f>IF(ISNUMBER(C962),ABS(C962),"")</x:f>
      </x:c>
      <x:c r="E962" s="16" t="str">
        <x:f>IF(ISNUMBER(C962),C962^2,"")</x:f>
      </x:c>
      <x:c r="F962" s="16" t="str">
        <x:f>IF(AND(ISNUMBER(C962),ISNUMBER($J$6),$J$6&gt;0),(C962-$J$5)/$J$6,"")</x:f>
      </x:c>
      <x:c r="G962" s="1" t="str">
        <x:f>IF(ISNUMBER(F962),IF(ABS(F962)&gt;3,1,0),"")</x:f>
      </x:c>
      <x:c r="H962" s="1" t="str">
        <x:f>IF(ISNUMBER(F962),F962^4,"")</x:f>
      </x:c>
      <x:c r="I962" s="1"/>
      <x:c r="J962" s="1"/>
      <x:c r="K962" s="1"/>
      <x:c r="L962" s="1"/>
      <x:c r="M962" s="1"/>
      <x:c r="N962" s="1"/>
    </x:row>
    <x:row r="963" ht="22" customHeight="1">
      <x:c r="A963" s="14"/>
      <x:c r="B963" s="15"/>
      <x:c r="C963" s="16" t="str">
        <x:f>IF(AND(ISNUMBER(B963),ISNUMBER(B962),B963&gt;0,B962&gt;0),LN(B963/B962),"")</x:f>
      </x:c>
      <x:c r="D963" s="16" t="str">
        <x:f>IF(ISNUMBER(C963),ABS(C963),"")</x:f>
      </x:c>
      <x:c r="E963" s="16" t="str">
        <x:f>IF(ISNUMBER(C963),C963^2,"")</x:f>
      </x:c>
      <x:c r="F963" s="16" t="str">
        <x:f>IF(AND(ISNUMBER(C963),ISNUMBER($J$6),$J$6&gt;0),(C963-$J$5)/$J$6,"")</x:f>
      </x:c>
      <x:c r="G963" s="1" t="str">
        <x:f>IF(ISNUMBER(F963),IF(ABS(F963)&gt;3,1,0),"")</x:f>
      </x:c>
      <x:c r="H963" s="1" t="str">
        <x:f>IF(ISNUMBER(F963),F963^4,"")</x:f>
      </x:c>
      <x:c r="I963" s="1"/>
      <x:c r="J963" s="1"/>
      <x:c r="K963" s="1"/>
      <x:c r="L963" s="1"/>
      <x:c r="M963" s="1"/>
      <x:c r="N963" s="1"/>
    </x:row>
    <x:row r="964" ht="22" customHeight="1">
      <x:c r="A964" s="14"/>
      <x:c r="B964" s="15"/>
      <x:c r="C964" s="16" t="str">
        <x:f>IF(AND(ISNUMBER(B964),ISNUMBER(B963),B964&gt;0,B963&gt;0),LN(B964/B963),"")</x:f>
      </x:c>
      <x:c r="D964" s="16" t="str">
        <x:f>IF(ISNUMBER(C964),ABS(C964),"")</x:f>
      </x:c>
      <x:c r="E964" s="16" t="str">
        <x:f>IF(ISNUMBER(C964),C964^2,"")</x:f>
      </x:c>
      <x:c r="F964" s="16" t="str">
        <x:f>IF(AND(ISNUMBER(C964),ISNUMBER($J$6),$J$6&gt;0),(C964-$J$5)/$J$6,"")</x:f>
      </x:c>
      <x:c r="G964" s="1" t="str">
        <x:f>IF(ISNUMBER(F964),IF(ABS(F964)&gt;3,1,0),"")</x:f>
      </x:c>
      <x:c r="H964" s="1" t="str">
        <x:f>IF(ISNUMBER(F964),F964^4,"")</x:f>
      </x:c>
      <x:c r="I964" s="1"/>
      <x:c r="J964" s="1"/>
      <x:c r="K964" s="1"/>
      <x:c r="L964" s="1"/>
      <x:c r="M964" s="1"/>
      <x:c r="N964" s="1"/>
    </x:row>
    <x:row r="965" ht="22" customHeight="1">
      <x:c r="A965" s="14"/>
      <x:c r="B965" s="15"/>
      <x:c r="C965" s="16" t="str">
        <x:f>IF(AND(ISNUMBER(B965),ISNUMBER(B964),B965&gt;0,B964&gt;0),LN(B965/B964),"")</x:f>
      </x:c>
      <x:c r="D965" s="16" t="str">
        <x:f>IF(ISNUMBER(C965),ABS(C965),"")</x:f>
      </x:c>
      <x:c r="E965" s="16" t="str">
        <x:f>IF(ISNUMBER(C965),C965^2,"")</x:f>
      </x:c>
      <x:c r="F965" s="16" t="str">
        <x:f>IF(AND(ISNUMBER(C965),ISNUMBER($J$6),$J$6&gt;0),(C965-$J$5)/$J$6,"")</x:f>
      </x:c>
      <x:c r="G965" s="1" t="str">
        <x:f>IF(ISNUMBER(F965),IF(ABS(F965)&gt;3,1,0),"")</x:f>
      </x:c>
      <x:c r="H965" s="1" t="str">
        <x:f>IF(ISNUMBER(F965),F965^4,"")</x:f>
      </x:c>
      <x:c r="I965" s="1"/>
      <x:c r="J965" s="1"/>
      <x:c r="K965" s="1"/>
      <x:c r="L965" s="1"/>
      <x:c r="M965" s="1"/>
      <x:c r="N965" s="1"/>
    </x:row>
    <x:row r="966" ht="22" customHeight="1">
      <x:c r="A966" s="14"/>
      <x:c r="B966" s="15"/>
      <x:c r="C966" s="16" t="str">
        <x:f>IF(AND(ISNUMBER(B966),ISNUMBER(B965),B966&gt;0,B965&gt;0),LN(B966/B965),"")</x:f>
      </x:c>
      <x:c r="D966" s="16" t="str">
        <x:f>IF(ISNUMBER(C966),ABS(C966),"")</x:f>
      </x:c>
      <x:c r="E966" s="16" t="str">
        <x:f>IF(ISNUMBER(C966),C966^2,"")</x:f>
      </x:c>
      <x:c r="F966" s="16" t="str">
        <x:f>IF(AND(ISNUMBER(C966),ISNUMBER($J$6),$J$6&gt;0),(C966-$J$5)/$J$6,"")</x:f>
      </x:c>
      <x:c r="G966" s="1" t="str">
        <x:f>IF(ISNUMBER(F966),IF(ABS(F966)&gt;3,1,0),"")</x:f>
      </x:c>
      <x:c r="H966" s="1" t="str">
        <x:f>IF(ISNUMBER(F966),F966^4,"")</x:f>
      </x:c>
      <x:c r="I966" s="1"/>
      <x:c r="J966" s="1"/>
      <x:c r="K966" s="1"/>
      <x:c r="L966" s="1"/>
      <x:c r="M966" s="1"/>
      <x:c r="N966" s="1"/>
    </x:row>
    <x:row r="967" ht="22" customHeight="1">
      <x:c r="A967" s="14"/>
      <x:c r="B967" s="15"/>
      <x:c r="C967" s="16" t="str">
        <x:f>IF(AND(ISNUMBER(B967),ISNUMBER(B966),B967&gt;0,B966&gt;0),LN(B967/B966),"")</x:f>
      </x:c>
      <x:c r="D967" s="16" t="str">
        <x:f>IF(ISNUMBER(C967),ABS(C967),"")</x:f>
      </x:c>
      <x:c r="E967" s="16" t="str">
        <x:f>IF(ISNUMBER(C967),C967^2,"")</x:f>
      </x:c>
      <x:c r="F967" s="16" t="str">
        <x:f>IF(AND(ISNUMBER(C967),ISNUMBER($J$6),$J$6&gt;0),(C967-$J$5)/$J$6,"")</x:f>
      </x:c>
      <x:c r="G967" s="1" t="str">
        <x:f>IF(ISNUMBER(F967),IF(ABS(F967)&gt;3,1,0),"")</x:f>
      </x:c>
      <x:c r="H967" s="1" t="str">
        <x:f>IF(ISNUMBER(F967),F967^4,"")</x:f>
      </x:c>
      <x:c r="I967" s="1"/>
      <x:c r="J967" s="1"/>
      <x:c r="K967" s="1"/>
      <x:c r="L967" s="1"/>
      <x:c r="M967" s="1"/>
      <x:c r="N967" s="1"/>
    </x:row>
    <x:row r="968" ht="22" customHeight="1">
      <x:c r="A968" s="14"/>
      <x:c r="B968" s="15"/>
      <x:c r="C968" s="16" t="str">
        <x:f>IF(AND(ISNUMBER(B968),ISNUMBER(B967),B968&gt;0,B967&gt;0),LN(B968/B967),"")</x:f>
      </x:c>
      <x:c r="D968" s="16" t="str">
        <x:f>IF(ISNUMBER(C968),ABS(C968),"")</x:f>
      </x:c>
      <x:c r="E968" s="16" t="str">
        <x:f>IF(ISNUMBER(C968),C968^2,"")</x:f>
      </x:c>
      <x:c r="F968" s="16" t="str">
        <x:f>IF(AND(ISNUMBER(C968),ISNUMBER($J$6),$J$6&gt;0),(C968-$J$5)/$J$6,"")</x:f>
      </x:c>
      <x:c r="G968" s="1" t="str">
        <x:f>IF(ISNUMBER(F968),IF(ABS(F968)&gt;3,1,0),"")</x:f>
      </x:c>
      <x:c r="H968" s="1" t="str">
        <x:f>IF(ISNUMBER(F968),F968^4,"")</x:f>
      </x:c>
      <x:c r="I968" s="1"/>
      <x:c r="J968" s="1"/>
      <x:c r="K968" s="1"/>
      <x:c r="L968" s="1"/>
      <x:c r="M968" s="1"/>
      <x:c r="N968" s="1"/>
    </x:row>
    <x:row r="969" ht="22" customHeight="1">
      <x:c r="A969" s="14"/>
      <x:c r="B969" s="15"/>
      <x:c r="C969" s="16" t="str">
        <x:f>IF(AND(ISNUMBER(B969),ISNUMBER(B968),B969&gt;0,B968&gt;0),LN(B969/B968),"")</x:f>
      </x:c>
      <x:c r="D969" s="16" t="str">
        <x:f>IF(ISNUMBER(C969),ABS(C969),"")</x:f>
      </x:c>
      <x:c r="E969" s="16" t="str">
        <x:f>IF(ISNUMBER(C969),C969^2,"")</x:f>
      </x:c>
      <x:c r="F969" s="16" t="str">
        <x:f>IF(AND(ISNUMBER(C969),ISNUMBER($J$6),$J$6&gt;0),(C969-$J$5)/$J$6,"")</x:f>
      </x:c>
      <x:c r="G969" s="1" t="str">
        <x:f>IF(ISNUMBER(F969),IF(ABS(F969)&gt;3,1,0),"")</x:f>
      </x:c>
      <x:c r="H969" s="1" t="str">
        <x:f>IF(ISNUMBER(F969),F969^4,"")</x:f>
      </x:c>
      <x:c r="I969" s="1"/>
      <x:c r="J969" s="1"/>
      <x:c r="K969" s="1"/>
      <x:c r="L969" s="1"/>
      <x:c r="M969" s="1"/>
      <x:c r="N969" s="1"/>
    </x:row>
    <x:row r="970" ht="22" customHeight="1">
      <x:c r="A970" s="14"/>
      <x:c r="B970" s="15"/>
      <x:c r="C970" s="16" t="str">
        <x:f>IF(AND(ISNUMBER(B970),ISNUMBER(B969),B970&gt;0,B969&gt;0),LN(B970/B969),"")</x:f>
      </x:c>
      <x:c r="D970" s="16" t="str">
        <x:f>IF(ISNUMBER(C970),ABS(C970),"")</x:f>
      </x:c>
      <x:c r="E970" s="16" t="str">
        <x:f>IF(ISNUMBER(C970),C970^2,"")</x:f>
      </x:c>
      <x:c r="F970" s="16" t="str">
        <x:f>IF(AND(ISNUMBER(C970),ISNUMBER($J$6),$J$6&gt;0),(C970-$J$5)/$J$6,"")</x:f>
      </x:c>
      <x:c r="G970" s="1" t="str">
        <x:f>IF(ISNUMBER(F970),IF(ABS(F970)&gt;3,1,0),"")</x:f>
      </x:c>
      <x:c r="H970" s="1" t="str">
        <x:f>IF(ISNUMBER(F970),F970^4,"")</x:f>
      </x:c>
      <x:c r="I970" s="1"/>
      <x:c r="J970" s="1"/>
      <x:c r="K970" s="1"/>
      <x:c r="L970" s="1"/>
      <x:c r="M970" s="1"/>
      <x:c r="N970" s="1"/>
    </x:row>
    <x:row r="971" ht="22" customHeight="1">
      <x:c r="A971" s="14"/>
      <x:c r="B971" s="15"/>
      <x:c r="C971" s="16" t="str">
        <x:f>IF(AND(ISNUMBER(B971),ISNUMBER(B970),B971&gt;0,B970&gt;0),LN(B971/B970),"")</x:f>
      </x:c>
      <x:c r="D971" s="16" t="str">
        <x:f>IF(ISNUMBER(C971),ABS(C971),"")</x:f>
      </x:c>
      <x:c r="E971" s="16" t="str">
        <x:f>IF(ISNUMBER(C971),C971^2,"")</x:f>
      </x:c>
      <x:c r="F971" s="16" t="str">
        <x:f>IF(AND(ISNUMBER(C971),ISNUMBER($J$6),$J$6&gt;0),(C971-$J$5)/$J$6,"")</x:f>
      </x:c>
      <x:c r="G971" s="1" t="str">
        <x:f>IF(ISNUMBER(F971),IF(ABS(F971)&gt;3,1,0),"")</x:f>
      </x:c>
      <x:c r="H971" s="1" t="str">
        <x:f>IF(ISNUMBER(F971),F971^4,"")</x:f>
      </x:c>
      <x:c r="I971" s="1"/>
      <x:c r="J971" s="1"/>
      <x:c r="K971" s="1"/>
      <x:c r="L971" s="1"/>
      <x:c r="M971" s="1"/>
      <x:c r="N971" s="1"/>
    </x:row>
    <x:row r="972" ht="22" customHeight="1">
      <x:c r="A972" s="14"/>
      <x:c r="B972" s="15"/>
      <x:c r="C972" s="16" t="str">
        <x:f>IF(AND(ISNUMBER(B972),ISNUMBER(B971),B972&gt;0,B971&gt;0),LN(B972/B971),"")</x:f>
      </x:c>
      <x:c r="D972" s="16" t="str">
        <x:f>IF(ISNUMBER(C972),ABS(C972),"")</x:f>
      </x:c>
      <x:c r="E972" s="16" t="str">
        <x:f>IF(ISNUMBER(C972),C972^2,"")</x:f>
      </x:c>
      <x:c r="F972" s="16" t="str">
        <x:f>IF(AND(ISNUMBER(C972),ISNUMBER($J$6),$J$6&gt;0),(C972-$J$5)/$J$6,"")</x:f>
      </x:c>
      <x:c r="G972" s="1" t="str">
        <x:f>IF(ISNUMBER(F972),IF(ABS(F972)&gt;3,1,0),"")</x:f>
      </x:c>
      <x:c r="H972" s="1" t="str">
        <x:f>IF(ISNUMBER(F972),F972^4,"")</x:f>
      </x:c>
      <x:c r="I972" s="1"/>
      <x:c r="J972" s="1"/>
      <x:c r="K972" s="1"/>
      <x:c r="L972" s="1"/>
      <x:c r="M972" s="1"/>
      <x:c r="N972" s="1"/>
    </x:row>
    <x:row r="973" ht="22" customHeight="1">
      <x:c r="A973" s="14"/>
      <x:c r="B973" s="15"/>
      <x:c r="C973" s="16" t="str">
        <x:f>IF(AND(ISNUMBER(B973),ISNUMBER(B972),B973&gt;0,B972&gt;0),LN(B973/B972),"")</x:f>
      </x:c>
      <x:c r="D973" s="16" t="str">
        <x:f>IF(ISNUMBER(C973),ABS(C973),"")</x:f>
      </x:c>
      <x:c r="E973" s="16" t="str">
        <x:f>IF(ISNUMBER(C973),C973^2,"")</x:f>
      </x:c>
      <x:c r="F973" s="16" t="str">
        <x:f>IF(AND(ISNUMBER(C973),ISNUMBER($J$6),$J$6&gt;0),(C973-$J$5)/$J$6,"")</x:f>
      </x:c>
      <x:c r="G973" s="1" t="str">
        <x:f>IF(ISNUMBER(F973),IF(ABS(F973)&gt;3,1,0),"")</x:f>
      </x:c>
      <x:c r="H973" s="1" t="str">
        <x:f>IF(ISNUMBER(F973),F973^4,"")</x:f>
      </x:c>
      <x:c r="I973" s="1"/>
      <x:c r="J973" s="1"/>
      <x:c r="K973" s="1"/>
      <x:c r="L973" s="1"/>
      <x:c r="M973" s="1"/>
      <x:c r="N973" s="1"/>
    </x:row>
    <x:row r="974" ht="22" customHeight="1">
      <x:c r="A974" s="14"/>
      <x:c r="B974" s="15"/>
      <x:c r="C974" s="16" t="str">
        <x:f>IF(AND(ISNUMBER(B974),ISNUMBER(B973),B974&gt;0,B973&gt;0),LN(B974/B973),"")</x:f>
      </x:c>
      <x:c r="D974" s="16" t="str">
        <x:f>IF(ISNUMBER(C974),ABS(C974),"")</x:f>
      </x:c>
      <x:c r="E974" s="16" t="str">
        <x:f>IF(ISNUMBER(C974),C974^2,"")</x:f>
      </x:c>
      <x:c r="F974" s="16" t="str">
        <x:f>IF(AND(ISNUMBER(C974),ISNUMBER($J$6),$J$6&gt;0),(C974-$J$5)/$J$6,"")</x:f>
      </x:c>
      <x:c r="G974" s="1" t="str">
        <x:f>IF(ISNUMBER(F974),IF(ABS(F974)&gt;3,1,0),"")</x:f>
      </x:c>
      <x:c r="H974" s="1" t="str">
        <x:f>IF(ISNUMBER(F974),F974^4,"")</x:f>
      </x:c>
      <x:c r="I974" s="1"/>
      <x:c r="J974" s="1"/>
      <x:c r="K974" s="1"/>
      <x:c r="L974" s="1"/>
      <x:c r="M974" s="1"/>
      <x:c r="N974" s="1"/>
    </x:row>
    <x:row r="975" ht="22" customHeight="1">
      <x:c r="A975" s="14"/>
      <x:c r="B975" s="15"/>
      <x:c r="C975" s="16" t="str">
        <x:f>IF(AND(ISNUMBER(B975),ISNUMBER(B974),B975&gt;0,B974&gt;0),LN(B975/B974),"")</x:f>
      </x:c>
      <x:c r="D975" s="16" t="str">
        <x:f>IF(ISNUMBER(C975),ABS(C975),"")</x:f>
      </x:c>
      <x:c r="E975" s="16" t="str">
        <x:f>IF(ISNUMBER(C975),C975^2,"")</x:f>
      </x:c>
      <x:c r="F975" s="16" t="str">
        <x:f>IF(AND(ISNUMBER(C975),ISNUMBER($J$6),$J$6&gt;0),(C975-$J$5)/$J$6,"")</x:f>
      </x:c>
      <x:c r="G975" s="1" t="str">
        <x:f>IF(ISNUMBER(F975),IF(ABS(F975)&gt;3,1,0),"")</x:f>
      </x:c>
      <x:c r="H975" s="1" t="str">
        <x:f>IF(ISNUMBER(F975),F975^4,"")</x:f>
      </x:c>
      <x:c r="I975" s="1"/>
      <x:c r="J975" s="1"/>
      <x:c r="K975" s="1"/>
      <x:c r="L975" s="1"/>
      <x:c r="M975" s="1"/>
      <x:c r="N975" s="1"/>
    </x:row>
    <x:row r="976" ht="22" customHeight="1">
      <x:c r="A976" s="14"/>
      <x:c r="B976" s="15"/>
      <x:c r="C976" s="16" t="str">
        <x:f>IF(AND(ISNUMBER(B976),ISNUMBER(B975),B976&gt;0,B975&gt;0),LN(B976/B975),"")</x:f>
      </x:c>
      <x:c r="D976" s="16" t="str">
        <x:f>IF(ISNUMBER(C976),ABS(C976),"")</x:f>
      </x:c>
      <x:c r="E976" s="16" t="str">
        <x:f>IF(ISNUMBER(C976),C976^2,"")</x:f>
      </x:c>
      <x:c r="F976" s="16" t="str">
        <x:f>IF(AND(ISNUMBER(C976),ISNUMBER($J$6),$J$6&gt;0),(C976-$J$5)/$J$6,"")</x:f>
      </x:c>
      <x:c r="G976" s="1" t="str">
        <x:f>IF(ISNUMBER(F976),IF(ABS(F976)&gt;3,1,0),"")</x:f>
      </x:c>
      <x:c r="H976" s="1" t="str">
        <x:f>IF(ISNUMBER(F976),F976^4,"")</x:f>
      </x:c>
      <x:c r="I976" s="1"/>
      <x:c r="J976" s="1"/>
      <x:c r="K976" s="1"/>
      <x:c r="L976" s="1"/>
      <x:c r="M976" s="1"/>
      <x:c r="N976" s="1"/>
    </x:row>
    <x:row r="977" ht="22" customHeight="1">
      <x:c r="A977" s="14"/>
      <x:c r="B977" s="15"/>
      <x:c r="C977" s="16" t="str">
        <x:f>IF(AND(ISNUMBER(B977),ISNUMBER(B976),B977&gt;0,B976&gt;0),LN(B977/B976),"")</x:f>
      </x:c>
      <x:c r="D977" s="16" t="str">
        <x:f>IF(ISNUMBER(C977),ABS(C977),"")</x:f>
      </x:c>
      <x:c r="E977" s="16" t="str">
        <x:f>IF(ISNUMBER(C977),C977^2,"")</x:f>
      </x:c>
      <x:c r="F977" s="16" t="str">
        <x:f>IF(AND(ISNUMBER(C977),ISNUMBER($J$6),$J$6&gt;0),(C977-$J$5)/$J$6,"")</x:f>
      </x:c>
      <x:c r="G977" s="1" t="str">
        <x:f>IF(ISNUMBER(F977),IF(ABS(F977)&gt;3,1,0),"")</x:f>
      </x:c>
      <x:c r="H977" s="1" t="str">
        <x:f>IF(ISNUMBER(F977),F977^4,"")</x:f>
      </x:c>
      <x:c r="I977" s="1"/>
      <x:c r="J977" s="1"/>
      <x:c r="K977" s="1"/>
      <x:c r="L977" s="1"/>
      <x:c r="M977" s="1"/>
      <x:c r="N977" s="1"/>
    </x:row>
    <x:row r="978" ht="22" customHeight="1">
      <x:c r="A978" s="14"/>
      <x:c r="B978" s="15"/>
      <x:c r="C978" s="16" t="str">
        <x:f>IF(AND(ISNUMBER(B978),ISNUMBER(B977),B978&gt;0,B977&gt;0),LN(B978/B977),"")</x:f>
      </x:c>
      <x:c r="D978" s="16" t="str">
        <x:f>IF(ISNUMBER(C978),ABS(C978),"")</x:f>
      </x:c>
      <x:c r="E978" s="16" t="str">
        <x:f>IF(ISNUMBER(C978),C978^2,"")</x:f>
      </x:c>
      <x:c r="F978" s="16" t="str">
        <x:f>IF(AND(ISNUMBER(C978),ISNUMBER($J$6),$J$6&gt;0),(C978-$J$5)/$J$6,"")</x:f>
      </x:c>
      <x:c r="G978" s="1" t="str">
        <x:f>IF(ISNUMBER(F978),IF(ABS(F978)&gt;3,1,0),"")</x:f>
      </x:c>
      <x:c r="H978" s="1" t="str">
        <x:f>IF(ISNUMBER(F978),F978^4,"")</x:f>
      </x:c>
      <x:c r="I978" s="1"/>
      <x:c r="J978" s="1"/>
      <x:c r="K978" s="1"/>
      <x:c r="L978" s="1"/>
      <x:c r="M978" s="1"/>
      <x:c r="N978" s="1"/>
    </x:row>
    <x:row r="979" ht="22" customHeight="1">
      <x:c r="A979" s="14"/>
      <x:c r="B979" s="15"/>
      <x:c r="C979" s="16" t="str">
        <x:f>IF(AND(ISNUMBER(B979),ISNUMBER(B978),B979&gt;0,B978&gt;0),LN(B979/B978),"")</x:f>
      </x:c>
      <x:c r="D979" s="16" t="str">
        <x:f>IF(ISNUMBER(C979),ABS(C979),"")</x:f>
      </x:c>
      <x:c r="E979" s="16" t="str">
        <x:f>IF(ISNUMBER(C979),C979^2,"")</x:f>
      </x:c>
      <x:c r="F979" s="16" t="str">
        <x:f>IF(AND(ISNUMBER(C979),ISNUMBER($J$6),$J$6&gt;0),(C979-$J$5)/$J$6,"")</x:f>
      </x:c>
      <x:c r="G979" s="1" t="str">
        <x:f>IF(ISNUMBER(F979),IF(ABS(F979)&gt;3,1,0),"")</x:f>
      </x:c>
      <x:c r="H979" s="1" t="str">
        <x:f>IF(ISNUMBER(F979),F979^4,"")</x:f>
      </x:c>
      <x:c r="I979" s="1"/>
      <x:c r="J979" s="1"/>
      <x:c r="K979" s="1"/>
      <x:c r="L979" s="1"/>
      <x:c r="M979" s="1"/>
      <x:c r="N979" s="1"/>
    </x:row>
    <x:row r="980" ht="22" customHeight="1">
      <x:c r="A980" s="14"/>
      <x:c r="B980" s="15"/>
      <x:c r="C980" s="16" t="str">
        <x:f>IF(AND(ISNUMBER(B980),ISNUMBER(B979),B980&gt;0,B979&gt;0),LN(B980/B979),"")</x:f>
      </x:c>
      <x:c r="D980" s="16" t="str">
        <x:f>IF(ISNUMBER(C980),ABS(C980),"")</x:f>
      </x:c>
      <x:c r="E980" s="16" t="str">
        <x:f>IF(ISNUMBER(C980),C980^2,"")</x:f>
      </x:c>
      <x:c r="F980" s="16" t="str">
        <x:f>IF(AND(ISNUMBER(C980),ISNUMBER($J$6),$J$6&gt;0),(C980-$J$5)/$J$6,"")</x:f>
      </x:c>
      <x:c r="G980" s="1" t="str">
        <x:f>IF(ISNUMBER(F980),IF(ABS(F980)&gt;3,1,0),"")</x:f>
      </x:c>
      <x:c r="H980" s="1" t="str">
        <x:f>IF(ISNUMBER(F980),F980^4,"")</x:f>
      </x:c>
      <x:c r="I980" s="1"/>
      <x:c r="J980" s="1"/>
      <x:c r="K980" s="1"/>
      <x:c r="L980" s="1"/>
      <x:c r="M980" s="1"/>
      <x:c r="N980" s="1"/>
    </x:row>
    <x:row r="981" ht="22" customHeight="1">
      <x:c r="A981" s="14"/>
      <x:c r="B981" s="15"/>
      <x:c r="C981" s="16" t="str">
        <x:f>IF(AND(ISNUMBER(B981),ISNUMBER(B980),B981&gt;0,B980&gt;0),LN(B981/B980),"")</x:f>
      </x:c>
      <x:c r="D981" s="16" t="str">
        <x:f>IF(ISNUMBER(C981),ABS(C981),"")</x:f>
      </x:c>
      <x:c r="E981" s="16" t="str">
        <x:f>IF(ISNUMBER(C981),C981^2,"")</x:f>
      </x:c>
      <x:c r="F981" s="16" t="str">
        <x:f>IF(AND(ISNUMBER(C981),ISNUMBER($J$6),$J$6&gt;0),(C981-$J$5)/$J$6,"")</x:f>
      </x:c>
      <x:c r="G981" s="1" t="str">
        <x:f>IF(ISNUMBER(F981),IF(ABS(F981)&gt;3,1,0),"")</x:f>
      </x:c>
      <x:c r="H981" s="1" t="str">
        <x:f>IF(ISNUMBER(F981),F981^4,"")</x:f>
      </x:c>
      <x:c r="I981" s="1"/>
      <x:c r="J981" s="1"/>
      <x:c r="K981" s="1"/>
      <x:c r="L981" s="1"/>
      <x:c r="M981" s="1"/>
      <x:c r="N981" s="1"/>
    </x:row>
    <x:row r="982" ht="22" customHeight="1">
      <x:c r="A982" s="14"/>
      <x:c r="B982" s="15"/>
      <x:c r="C982" s="16" t="str">
        <x:f>IF(AND(ISNUMBER(B982),ISNUMBER(B981),B982&gt;0,B981&gt;0),LN(B982/B981),"")</x:f>
      </x:c>
      <x:c r="D982" s="16" t="str">
        <x:f>IF(ISNUMBER(C982),ABS(C982),"")</x:f>
      </x:c>
      <x:c r="E982" s="16" t="str">
        <x:f>IF(ISNUMBER(C982),C982^2,"")</x:f>
      </x:c>
      <x:c r="F982" s="16" t="str">
        <x:f>IF(AND(ISNUMBER(C982),ISNUMBER($J$6),$J$6&gt;0),(C982-$J$5)/$J$6,"")</x:f>
      </x:c>
      <x:c r="G982" s="1" t="str">
        <x:f>IF(ISNUMBER(F982),IF(ABS(F982)&gt;3,1,0),"")</x:f>
      </x:c>
      <x:c r="H982" s="1" t="str">
        <x:f>IF(ISNUMBER(F982),F982^4,"")</x:f>
      </x:c>
      <x:c r="I982" s="1"/>
      <x:c r="J982" s="1"/>
      <x:c r="K982" s="1"/>
      <x:c r="L982" s="1"/>
      <x:c r="M982" s="1"/>
      <x:c r="N982" s="1"/>
    </x:row>
    <x:row r="983" ht="22" customHeight="1">
      <x:c r="A983" s="14"/>
      <x:c r="B983" s="15"/>
      <x:c r="C983" s="16" t="str">
        <x:f>IF(AND(ISNUMBER(B983),ISNUMBER(B982),B983&gt;0,B982&gt;0),LN(B983/B982),"")</x:f>
      </x:c>
      <x:c r="D983" s="16" t="str">
        <x:f>IF(ISNUMBER(C983),ABS(C983),"")</x:f>
      </x:c>
      <x:c r="E983" s="16" t="str">
        <x:f>IF(ISNUMBER(C983),C983^2,"")</x:f>
      </x:c>
      <x:c r="F983" s="16" t="str">
        <x:f>IF(AND(ISNUMBER(C983),ISNUMBER($J$6),$J$6&gt;0),(C983-$J$5)/$J$6,"")</x:f>
      </x:c>
      <x:c r="G983" s="1" t="str">
        <x:f>IF(ISNUMBER(F983),IF(ABS(F983)&gt;3,1,0),"")</x:f>
      </x:c>
      <x:c r="H983" s="1" t="str">
        <x:f>IF(ISNUMBER(F983),F983^4,"")</x:f>
      </x:c>
      <x:c r="I983" s="1"/>
      <x:c r="J983" s="1"/>
      <x:c r="K983" s="1"/>
      <x:c r="L983" s="1"/>
      <x:c r="M983" s="1"/>
      <x:c r="N983" s="1"/>
    </x:row>
    <x:row r="984" ht="22" customHeight="1">
      <x:c r="A984" s="14"/>
      <x:c r="B984" s="15"/>
      <x:c r="C984" s="16" t="str">
        <x:f>IF(AND(ISNUMBER(B984),ISNUMBER(B983),B984&gt;0,B983&gt;0),LN(B984/B983),"")</x:f>
      </x:c>
      <x:c r="D984" s="16" t="str">
        <x:f>IF(ISNUMBER(C984),ABS(C984),"")</x:f>
      </x:c>
      <x:c r="E984" s="16" t="str">
        <x:f>IF(ISNUMBER(C984),C984^2,"")</x:f>
      </x:c>
      <x:c r="F984" s="16" t="str">
        <x:f>IF(AND(ISNUMBER(C984),ISNUMBER($J$6),$J$6&gt;0),(C984-$J$5)/$J$6,"")</x:f>
      </x:c>
      <x:c r="G984" s="1" t="str">
        <x:f>IF(ISNUMBER(F984),IF(ABS(F984)&gt;3,1,0),"")</x:f>
      </x:c>
      <x:c r="H984" s="1" t="str">
        <x:f>IF(ISNUMBER(F984),F984^4,"")</x:f>
      </x:c>
      <x:c r="I984" s="1"/>
      <x:c r="J984" s="1"/>
      <x:c r="K984" s="1"/>
      <x:c r="L984" s="1"/>
      <x:c r="M984" s="1"/>
      <x:c r="N984" s="1"/>
    </x:row>
    <x:row r="985" ht="22" customHeight="1">
      <x:c r="A985" s="14"/>
      <x:c r="B985" s="15"/>
      <x:c r="C985" s="16" t="str">
        <x:f>IF(AND(ISNUMBER(B985),ISNUMBER(B984),B985&gt;0,B984&gt;0),LN(B985/B984),"")</x:f>
      </x:c>
      <x:c r="D985" s="16" t="str">
        <x:f>IF(ISNUMBER(C985),ABS(C985),"")</x:f>
      </x:c>
      <x:c r="E985" s="16" t="str">
        <x:f>IF(ISNUMBER(C985),C985^2,"")</x:f>
      </x:c>
      <x:c r="F985" s="16" t="str">
        <x:f>IF(AND(ISNUMBER(C985),ISNUMBER($J$6),$J$6&gt;0),(C985-$J$5)/$J$6,"")</x:f>
      </x:c>
      <x:c r="G985" s="1" t="str">
        <x:f>IF(ISNUMBER(F985),IF(ABS(F985)&gt;3,1,0),"")</x:f>
      </x:c>
      <x:c r="H985" s="1" t="str">
        <x:f>IF(ISNUMBER(F985),F985^4,"")</x:f>
      </x:c>
      <x:c r="I985" s="1"/>
      <x:c r="J985" s="1"/>
      <x:c r="K985" s="1"/>
      <x:c r="L985" s="1"/>
      <x:c r="M985" s="1"/>
      <x:c r="N985" s="1"/>
    </x:row>
    <x:row r="986" ht="22" customHeight="1">
      <x:c r="A986" s="14"/>
      <x:c r="B986" s="15"/>
      <x:c r="C986" s="16" t="str">
        <x:f>IF(AND(ISNUMBER(B986),ISNUMBER(B985),B986&gt;0,B985&gt;0),LN(B986/B985),"")</x:f>
      </x:c>
      <x:c r="D986" s="16" t="str">
        <x:f>IF(ISNUMBER(C986),ABS(C986),"")</x:f>
      </x:c>
      <x:c r="E986" s="16" t="str">
        <x:f>IF(ISNUMBER(C986),C986^2,"")</x:f>
      </x:c>
      <x:c r="F986" s="16" t="str">
        <x:f>IF(AND(ISNUMBER(C986),ISNUMBER($J$6),$J$6&gt;0),(C986-$J$5)/$J$6,"")</x:f>
      </x:c>
      <x:c r="G986" s="1" t="str">
        <x:f>IF(ISNUMBER(F986),IF(ABS(F986)&gt;3,1,0),"")</x:f>
      </x:c>
      <x:c r="H986" s="1" t="str">
        <x:f>IF(ISNUMBER(F986),F986^4,"")</x:f>
      </x:c>
      <x:c r="I986" s="1"/>
      <x:c r="J986" s="1"/>
      <x:c r="K986" s="1"/>
      <x:c r="L986" s="1"/>
      <x:c r="M986" s="1"/>
      <x:c r="N986" s="1"/>
    </x:row>
    <x:row r="987" ht="22" customHeight="1">
      <x:c r="A987" s="14"/>
      <x:c r="B987" s="15"/>
      <x:c r="C987" s="16" t="str">
        <x:f>IF(AND(ISNUMBER(B987),ISNUMBER(B986),B987&gt;0,B986&gt;0),LN(B987/B986),"")</x:f>
      </x:c>
      <x:c r="D987" s="16" t="str">
        <x:f>IF(ISNUMBER(C987),ABS(C987),"")</x:f>
      </x:c>
      <x:c r="E987" s="16" t="str">
        <x:f>IF(ISNUMBER(C987),C987^2,"")</x:f>
      </x:c>
      <x:c r="F987" s="16" t="str">
        <x:f>IF(AND(ISNUMBER(C987),ISNUMBER($J$6),$J$6&gt;0),(C987-$J$5)/$J$6,"")</x:f>
      </x:c>
      <x:c r="G987" s="1" t="str">
        <x:f>IF(ISNUMBER(F987),IF(ABS(F987)&gt;3,1,0),"")</x:f>
      </x:c>
      <x:c r="H987" s="1" t="str">
        <x:f>IF(ISNUMBER(F987),F987^4,"")</x:f>
      </x:c>
      <x:c r="I987" s="1"/>
      <x:c r="J987" s="1"/>
      <x:c r="K987" s="1"/>
      <x:c r="L987" s="1"/>
      <x:c r="M987" s="1"/>
      <x:c r="N987" s="1"/>
    </x:row>
    <x:row r="988" ht="22" customHeight="1">
      <x:c r="A988" s="14"/>
      <x:c r="B988" s="15"/>
      <x:c r="C988" s="16" t="str">
        <x:f>IF(AND(ISNUMBER(B988),ISNUMBER(B987),B988&gt;0,B987&gt;0),LN(B988/B987),"")</x:f>
      </x:c>
      <x:c r="D988" s="16" t="str">
        <x:f>IF(ISNUMBER(C988),ABS(C988),"")</x:f>
      </x:c>
      <x:c r="E988" s="16" t="str">
        <x:f>IF(ISNUMBER(C988),C988^2,"")</x:f>
      </x:c>
      <x:c r="F988" s="16" t="str">
        <x:f>IF(AND(ISNUMBER(C988),ISNUMBER($J$6),$J$6&gt;0),(C988-$J$5)/$J$6,"")</x:f>
      </x:c>
      <x:c r="G988" s="1" t="str">
        <x:f>IF(ISNUMBER(F988),IF(ABS(F988)&gt;3,1,0),"")</x:f>
      </x:c>
      <x:c r="H988" s="1" t="str">
        <x:f>IF(ISNUMBER(F988),F988^4,"")</x:f>
      </x:c>
      <x:c r="I988" s="1"/>
      <x:c r="J988" s="1"/>
      <x:c r="K988" s="1"/>
      <x:c r="L988" s="1"/>
      <x:c r="M988" s="1"/>
      <x:c r="N988" s="1"/>
    </x:row>
    <x:row r="989" ht="22" customHeight="1">
      <x:c r="A989" s="14"/>
      <x:c r="B989" s="15"/>
      <x:c r="C989" s="16" t="str">
        <x:f>IF(AND(ISNUMBER(B989),ISNUMBER(B988),B989&gt;0,B988&gt;0),LN(B989/B988),"")</x:f>
      </x:c>
      <x:c r="D989" s="16" t="str">
        <x:f>IF(ISNUMBER(C989),ABS(C989),"")</x:f>
      </x:c>
      <x:c r="E989" s="16" t="str">
        <x:f>IF(ISNUMBER(C989),C989^2,"")</x:f>
      </x:c>
      <x:c r="F989" s="16" t="str">
        <x:f>IF(AND(ISNUMBER(C989),ISNUMBER($J$6),$J$6&gt;0),(C989-$J$5)/$J$6,"")</x:f>
      </x:c>
      <x:c r="G989" s="1" t="str">
        <x:f>IF(ISNUMBER(F989),IF(ABS(F989)&gt;3,1,0),"")</x:f>
      </x:c>
      <x:c r="H989" s="1" t="str">
        <x:f>IF(ISNUMBER(F989),F989^4,"")</x:f>
      </x:c>
      <x:c r="I989" s="1"/>
      <x:c r="J989" s="1"/>
      <x:c r="K989" s="1"/>
      <x:c r="L989" s="1"/>
      <x:c r="M989" s="1"/>
      <x:c r="N989" s="1"/>
    </x:row>
    <x:row r="990" ht="22" customHeight="1">
      <x:c r="A990" s="14"/>
      <x:c r="B990" s="15"/>
      <x:c r="C990" s="16" t="str">
        <x:f>IF(AND(ISNUMBER(B990),ISNUMBER(B989),B990&gt;0,B989&gt;0),LN(B990/B989),"")</x:f>
      </x:c>
      <x:c r="D990" s="16" t="str">
        <x:f>IF(ISNUMBER(C990),ABS(C990),"")</x:f>
      </x:c>
      <x:c r="E990" s="16" t="str">
        <x:f>IF(ISNUMBER(C990),C990^2,"")</x:f>
      </x:c>
      <x:c r="F990" s="16" t="str">
        <x:f>IF(AND(ISNUMBER(C990),ISNUMBER($J$6),$J$6&gt;0),(C990-$J$5)/$J$6,"")</x:f>
      </x:c>
      <x:c r="G990" s="1" t="str">
        <x:f>IF(ISNUMBER(F990),IF(ABS(F990)&gt;3,1,0),"")</x:f>
      </x:c>
      <x:c r="H990" s="1" t="str">
        <x:f>IF(ISNUMBER(F990),F990^4,"")</x:f>
      </x:c>
      <x:c r="I990" s="1"/>
      <x:c r="J990" s="1"/>
      <x:c r="K990" s="1"/>
      <x:c r="L990" s="1"/>
      <x:c r="M990" s="1"/>
      <x:c r="N990" s="1"/>
    </x:row>
    <x:row r="991" ht="22" customHeight="1">
      <x:c r="A991" s="14"/>
      <x:c r="B991" s="15"/>
      <x:c r="C991" s="16" t="str">
        <x:f>IF(AND(ISNUMBER(B991),ISNUMBER(B990),B991&gt;0,B990&gt;0),LN(B991/B990),"")</x:f>
      </x:c>
      <x:c r="D991" s="16" t="str">
        <x:f>IF(ISNUMBER(C991),ABS(C991),"")</x:f>
      </x:c>
      <x:c r="E991" s="16" t="str">
        <x:f>IF(ISNUMBER(C991),C991^2,"")</x:f>
      </x:c>
      <x:c r="F991" s="16" t="str">
        <x:f>IF(AND(ISNUMBER(C991),ISNUMBER($J$6),$J$6&gt;0),(C991-$J$5)/$J$6,"")</x:f>
      </x:c>
      <x:c r="G991" s="1" t="str">
        <x:f>IF(ISNUMBER(F991),IF(ABS(F991)&gt;3,1,0),"")</x:f>
      </x:c>
      <x:c r="H991" s="1" t="str">
        <x:f>IF(ISNUMBER(F991),F991^4,"")</x:f>
      </x:c>
      <x:c r="I991" s="1"/>
      <x:c r="J991" s="1"/>
      <x:c r="K991" s="1"/>
      <x:c r="L991" s="1"/>
      <x:c r="M991" s="1"/>
      <x:c r="N991" s="1"/>
    </x:row>
    <x:row r="992" ht="22" customHeight="1">
      <x:c r="A992" s="14"/>
      <x:c r="B992" s="15"/>
      <x:c r="C992" s="16" t="str">
        <x:f>IF(AND(ISNUMBER(B992),ISNUMBER(B991),B992&gt;0,B991&gt;0),LN(B992/B991),"")</x:f>
      </x:c>
      <x:c r="D992" s="16" t="str">
        <x:f>IF(ISNUMBER(C992),ABS(C992),"")</x:f>
      </x:c>
      <x:c r="E992" s="16" t="str">
        <x:f>IF(ISNUMBER(C992),C992^2,"")</x:f>
      </x:c>
      <x:c r="F992" s="16" t="str">
        <x:f>IF(AND(ISNUMBER(C992),ISNUMBER($J$6),$J$6&gt;0),(C992-$J$5)/$J$6,"")</x:f>
      </x:c>
      <x:c r="G992" s="1" t="str">
        <x:f>IF(ISNUMBER(F992),IF(ABS(F992)&gt;3,1,0),"")</x:f>
      </x:c>
      <x:c r="H992" s="1" t="str">
        <x:f>IF(ISNUMBER(F992),F992^4,"")</x:f>
      </x:c>
      <x:c r="I992" s="1"/>
      <x:c r="J992" s="1"/>
      <x:c r="K992" s="1"/>
      <x:c r="L992" s="1"/>
      <x:c r="M992" s="1"/>
      <x:c r="N992" s="1"/>
    </x:row>
    <x:row r="993" ht="22" customHeight="1">
      <x:c r="A993" s="14"/>
      <x:c r="B993" s="15"/>
      <x:c r="C993" s="16" t="str">
        <x:f>IF(AND(ISNUMBER(B993),ISNUMBER(B992),B993&gt;0,B992&gt;0),LN(B993/B992),"")</x:f>
      </x:c>
      <x:c r="D993" s="16" t="str">
        <x:f>IF(ISNUMBER(C993),ABS(C993),"")</x:f>
      </x:c>
      <x:c r="E993" s="16" t="str">
        <x:f>IF(ISNUMBER(C993),C993^2,"")</x:f>
      </x:c>
      <x:c r="F993" s="16" t="str">
        <x:f>IF(AND(ISNUMBER(C993),ISNUMBER($J$6),$J$6&gt;0),(C993-$J$5)/$J$6,"")</x:f>
      </x:c>
      <x:c r="G993" s="1" t="str">
        <x:f>IF(ISNUMBER(F993),IF(ABS(F993)&gt;3,1,0),"")</x:f>
      </x:c>
      <x:c r="H993" s="1" t="str">
        <x:f>IF(ISNUMBER(F993),F993^4,"")</x:f>
      </x:c>
      <x:c r="I993" s="1"/>
      <x:c r="J993" s="1"/>
      <x:c r="K993" s="1"/>
      <x:c r="L993" s="1"/>
      <x:c r="M993" s="1"/>
      <x:c r="N993" s="1"/>
    </x:row>
    <x:row r="994" ht="22" customHeight="1">
      <x:c r="A994" s="14"/>
      <x:c r="B994" s="15"/>
      <x:c r="C994" s="16" t="str">
        <x:f>IF(AND(ISNUMBER(B994),ISNUMBER(B993),B994&gt;0,B993&gt;0),LN(B994/B993),"")</x:f>
      </x:c>
      <x:c r="D994" s="16" t="str">
        <x:f>IF(ISNUMBER(C994),ABS(C994),"")</x:f>
      </x:c>
      <x:c r="E994" s="16" t="str">
        <x:f>IF(ISNUMBER(C994),C994^2,"")</x:f>
      </x:c>
      <x:c r="F994" s="16" t="str">
        <x:f>IF(AND(ISNUMBER(C994),ISNUMBER($J$6),$J$6&gt;0),(C994-$J$5)/$J$6,"")</x:f>
      </x:c>
      <x:c r="G994" s="1" t="str">
        <x:f>IF(ISNUMBER(F994),IF(ABS(F994)&gt;3,1,0),"")</x:f>
      </x:c>
      <x:c r="H994" s="1" t="str">
        <x:f>IF(ISNUMBER(F994),F994^4,"")</x:f>
      </x:c>
      <x:c r="I994" s="1"/>
      <x:c r="J994" s="1"/>
      <x:c r="K994" s="1"/>
      <x:c r="L994" s="1"/>
      <x:c r="M994" s="1"/>
      <x:c r="N994" s="1"/>
    </x:row>
    <x:row r="995" ht="22" customHeight="1">
      <x:c r="A995" s="14"/>
      <x:c r="B995" s="15"/>
      <x:c r="C995" s="16" t="str">
        <x:f>IF(AND(ISNUMBER(B995),ISNUMBER(B994),B995&gt;0,B994&gt;0),LN(B995/B994),"")</x:f>
      </x:c>
      <x:c r="D995" s="16" t="str">
        <x:f>IF(ISNUMBER(C995),ABS(C995),"")</x:f>
      </x:c>
      <x:c r="E995" s="16" t="str">
        <x:f>IF(ISNUMBER(C995),C995^2,"")</x:f>
      </x:c>
      <x:c r="F995" s="16" t="str">
        <x:f>IF(AND(ISNUMBER(C995),ISNUMBER($J$6),$J$6&gt;0),(C995-$J$5)/$J$6,"")</x:f>
      </x:c>
      <x:c r="G995" s="1" t="str">
        <x:f>IF(ISNUMBER(F995),IF(ABS(F995)&gt;3,1,0),"")</x:f>
      </x:c>
      <x:c r="H995" s="1" t="str">
        <x:f>IF(ISNUMBER(F995),F995^4,"")</x:f>
      </x:c>
      <x:c r="I995" s="1"/>
      <x:c r="J995" s="1"/>
      <x:c r="K995" s="1"/>
      <x:c r="L995" s="1"/>
      <x:c r="M995" s="1"/>
      <x:c r="N995" s="1"/>
    </x:row>
    <x:row r="996" ht="22" customHeight="1">
      <x:c r="A996" s="14"/>
      <x:c r="B996" s="15"/>
      <x:c r="C996" s="16" t="str">
        <x:f>IF(AND(ISNUMBER(B996),ISNUMBER(B995),B996&gt;0,B995&gt;0),LN(B996/B995),"")</x:f>
      </x:c>
      <x:c r="D996" s="16" t="str">
        <x:f>IF(ISNUMBER(C996),ABS(C996),"")</x:f>
      </x:c>
      <x:c r="E996" s="16" t="str">
        <x:f>IF(ISNUMBER(C996),C996^2,"")</x:f>
      </x:c>
      <x:c r="F996" s="16" t="str">
        <x:f>IF(AND(ISNUMBER(C996),ISNUMBER($J$6),$J$6&gt;0),(C996-$J$5)/$J$6,"")</x:f>
      </x:c>
      <x:c r="G996" s="1" t="str">
        <x:f>IF(ISNUMBER(F996),IF(ABS(F996)&gt;3,1,0),"")</x:f>
      </x:c>
      <x:c r="H996" s="1" t="str">
        <x:f>IF(ISNUMBER(F996),F996^4,"")</x:f>
      </x:c>
      <x:c r="I996" s="1"/>
      <x:c r="J996" s="1"/>
      <x:c r="K996" s="1"/>
      <x:c r="L996" s="1"/>
      <x:c r="M996" s="1"/>
      <x:c r="N996" s="1"/>
    </x:row>
    <x:row r="997" ht="22" customHeight="1">
      <x:c r="A997" s="14"/>
      <x:c r="B997" s="15"/>
      <x:c r="C997" s="16" t="str">
        <x:f>IF(AND(ISNUMBER(B997),ISNUMBER(B996),B997&gt;0,B996&gt;0),LN(B997/B996),"")</x:f>
      </x:c>
      <x:c r="D997" s="16" t="str">
        <x:f>IF(ISNUMBER(C997),ABS(C997),"")</x:f>
      </x:c>
      <x:c r="E997" s="16" t="str">
        <x:f>IF(ISNUMBER(C997),C997^2,"")</x:f>
      </x:c>
      <x:c r="F997" s="16" t="str">
        <x:f>IF(AND(ISNUMBER(C997),ISNUMBER($J$6),$J$6&gt;0),(C997-$J$5)/$J$6,"")</x:f>
      </x:c>
      <x:c r="G997" s="1" t="str">
        <x:f>IF(ISNUMBER(F997),IF(ABS(F997)&gt;3,1,0),"")</x:f>
      </x:c>
      <x:c r="H997" s="1" t="str">
        <x:f>IF(ISNUMBER(F997),F997^4,"")</x:f>
      </x:c>
      <x:c r="I997" s="1"/>
      <x:c r="J997" s="1"/>
      <x:c r="K997" s="1"/>
      <x:c r="L997" s="1"/>
      <x:c r="M997" s="1"/>
      <x:c r="N997" s="1"/>
    </x:row>
    <x:row r="998" ht="22" customHeight="1">
      <x:c r="A998" s="14"/>
      <x:c r="B998" s="15"/>
      <x:c r="C998" s="16" t="str">
        <x:f>IF(AND(ISNUMBER(B998),ISNUMBER(B997),B998&gt;0,B997&gt;0),LN(B998/B997),"")</x:f>
      </x:c>
      <x:c r="D998" s="16" t="str">
        <x:f>IF(ISNUMBER(C998),ABS(C998),"")</x:f>
      </x:c>
      <x:c r="E998" s="16" t="str">
        <x:f>IF(ISNUMBER(C998),C998^2,"")</x:f>
      </x:c>
      <x:c r="F998" s="16" t="str">
        <x:f>IF(AND(ISNUMBER(C998),ISNUMBER($J$6),$J$6&gt;0),(C998-$J$5)/$J$6,"")</x:f>
      </x:c>
      <x:c r="G998" s="1" t="str">
        <x:f>IF(ISNUMBER(F998),IF(ABS(F998)&gt;3,1,0),"")</x:f>
      </x:c>
      <x:c r="H998" s="1" t="str">
        <x:f>IF(ISNUMBER(F998),F998^4,"")</x:f>
      </x:c>
      <x:c r="I998" s="1"/>
      <x:c r="J998" s="1"/>
      <x:c r="K998" s="1"/>
      <x:c r="L998" s="1"/>
      <x:c r="M998" s="1"/>
      <x:c r="N998" s="1"/>
    </x:row>
    <x:row r="999" ht="22" customHeight="1">
      <x:c r="A999" s="14"/>
      <x:c r="B999" s="15"/>
      <x:c r="C999" s="16" t="str">
        <x:f>IF(AND(ISNUMBER(B999),ISNUMBER(B998),B999&gt;0,B998&gt;0),LN(B999/B998),"")</x:f>
      </x:c>
      <x:c r="D999" s="16" t="str">
        <x:f>IF(ISNUMBER(C999),ABS(C999),"")</x:f>
      </x:c>
      <x:c r="E999" s="16" t="str">
        <x:f>IF(ISNUMBER(C999),C999^2,"")</x:f>
      </x:c>
      <x:c r="F999" s="16" t="str">
        <x:f>IF(AND(ISNUMBER(C999),ISNUMBER($J$6),$J$6&gt;0),(C999-$J$5)/$J$6,"")</x:f>
      </x:c>
      <x:c r="G999" s="1" t="str">
        <x:f>IF(ISNUMBER(F999),IF(ABS(F999)&gt;3,1,0),"")</x:f>
      </x:c>
      <x:c r="H999" s="1" t="str">
        <x:f>IF(ISNUMBER(F999),F999^4,"")</x:f>
      </x:c>
      <x:c r="I999" s="1"/>
      <x:c r="J999" s="1"/>
      <x:c r="K999" s="1"/>
      <x:c r="L999" s="1"/>
      <x:c r="M999" s="1"/>
      <x:c r="N999" s="1"/>
    </x:row>
    <x:row r="1000" ht="22" customHeight="1">
      <x:c r="A1000" s="14"/>
      <x:c r="B1000" s="15"/>
      <x:c r="C1000" s="16" t="str">
        <x:f>IF(AND(ISNUMBER(B1000),ISNUMBER(B999),B1000&gt;0,B999&gt;0),LN(B1000/B999),"")</x:f>
      </x:c>
      <x:c r="D1000" s="16" t="str">
        <x:f>IF(ISNUMBER(C1000),ABS(C1000),"")</x:f>
      </x:c>
      <x:c r="E1000" s="16" t="str">
        <x:f>IF(ISNUMBER(C1000),C1000^2,"")</x:f>
      </x:c>
      <x:c r="F1000" s="16" t="str">
        <x:f>IF(AND(ISNUMBER(C1000),ISNUMBER($J$6),$J$6&gt;0),(C1000-$J$5)/$J$6,"")</x:f>
      </x:c>
      <x:c r="G1000" s="1" t="str">
        <x:f>IF(ISNUMBER(F1000),IF(ABS(F1000)&gt;3,1,0),"")</x:f>
      </x:c>
      <x:c r="H1000" s="1" t="str">
        <x:f>IF(ISNUMBER(F1000),F1000^4,"")</x:f>
      </x:c>
      <x:c r="I1000" s="1"/>
      <x:c r="J1000" s="1"/>
      <x:c r="K1000" s="1"/>
      <x:c r="L1000" s="1"/>
      <x:c r="M1000" s="1"/>
      <x:c r="N1000" s="1"/>
    </x:row>
    <x:row r="1001" ht="22" customHeight="1">
      <x:c r="A1001" s="14"/>
      <x:c r="B1001" s="15"/>
      <x:c r="C1001" s="16" t="str">
        <x:f>IF(AND(ISNUMBER(B1001),ISNUMBER(B1000),B1001&gt;0,B1000&gt;0),LN(B1001/B1000),"")</x:f>
      </x:c>
      <x:c r="D1001" s="16" t="str">
        <x:f>IF(ISNUMBER(C1001),ABS(C1001),"")</x:f>
      </x:c>
      <x:c r="E1001" s="16" t="str">
        <x:f>IF(ISNUMBER(C1001),C1001^2,"")</x:f>
      </x:c>
      <x:c r="F1001" s="16" t="str">
        <x:f>IF(AND(ISNUMBER(C1001),ISNUMBER($J$6),$J$6&gt;0),(C1001-$J$5)/$J$6,"")</x:f>
      </x:c>
      <x:c r="G1001" s="1" t="str">
        <x:f>IF(ISNUMBER(F1001),IF(ABS(F1001)&gt;3,1,0),"")</x:f>
      </x:c>
      <x:c r="H1001" s="1" t="str">
        <x:f>IF(ISNUMBER(F1001),F1001^4,"")</x:f>
      </x:c>
      <x:c r="I1001" s="1"/>
      <x:c r="J1001" s="1"/>
      <x:c r="K1001" s="1"/>
      <x:c r="L1001" s="1"/>
      <x:c r="M1001" s="1"/>
      <x:c r="N1001" s="1"/>
    </x:row>
    <x:row r="1002" ht="22" customHeight="1">
      <x:c r="A1002" s="14"/>
      <x:c r="B1002" s="15"/>
      <x:c r="C1002" s="16" t="str">
        <x:f>IF(AND(ISNUMBER(B1002),ISNUMBER(B1001),B1002&gt;0,B1001&gt;0),LN(B1002/B1001),"")</x:f>
      </x:c>
      <x:c r="D1002" s="16" t="str">
        <x:f>IF(ISNUMBER(C1002),ABS(C1002),"")</x:f>
      </x:c>
      <x:c r="E1002" s="16" t="str">
        <x:f>IF(ISNUMBER(C1002),C1002^2,"")</x:f>
      </x:c>
      <x:c r="F1002" s="16" t="str">
        <x:f>IF(AND(ISNUMBER(C1002),ISNUMBER($J$6),$J$6&gt;0),(C1002-$J$5)/$J$6,"")</x:f>
      </x:c>
      <x:c r="G1002" s="1" t="str">
        <x:f>IF(ISNUMBER(F1002),IF(ABS(F1002)&gt;3,1,0),"")</x:f>
      </x:c>
      <x:c r="H1002" s="1" t="str">
        <x:f>IF(ISNUMBER(F1002),F1002^4,"")</x:f>
      </x:c>
      <x:c r="I1002" s="1"/>
      <x:c r="J1002" s="1"/>
      <x:c r="K1002" s="1"/>
      <x:c r="L1002" s="1"/>
      <x:c r="M1002" s="1"/>
      <x:c r="N1002" s="1"/>
    </x:row>
    <x:row r="1003" ht="22" customHeight="1">
      <x:c r="A1003" s="14"/>
      <x:c r="B1003" s="15"/>
      <x:c r="C1003" s="16" t="str">
        <x:f>IF(AND(ISNUMBER(B1003),ISNUMBER(B1002),B1003&gt;0,B1002&gt;0),LN(B1003/B1002),"")</x:f>
      </x:c>
      <x:c r="D1003" s="16" t="str">
        <x:f>IF(ISNUMBER(C1003),ABS(C1003),"")</x:f>
      </x:c>
      <x:c r="E1003" s="16" t="str">
        <x:f>IF(ISNUMBER(C1003),C1003^2,"")</x:f>
      </x:c>
      <x:c r="F1003" s="16" t="str">
        <x:f>IF(AND(ISNUMBER(C1003),ISNUMBER($J$6),$J$6&gt;0),(C1003-$J$5)/$J$6,"")</x:f>
      </x:c>
      <x:c r="G1003" s="1" t="str">
        <x:f>IF(ISNUMBER(F1003),IF(ABS(F1003)&gt;3,1,0),"")</x:f>
      </x:c>
      <x:c r="H1003" s="1" t="str">
        <x:f>IF(ISNUMBER(F1003),F1003^4,"")</x:f>
      </x:c>
      <x:c r="I1003" s="1"/>
      <x:c r="J1003" s="1"/>
      <x:c r="K1003" s="1"/>
      <x:c r="L1003" s="1"/>
      <x:c r="M1003" s="1"/>
      <x:c r="N1003" s="1"/>
    </x:row>
    <x:row r="1004" ht="22" customHeight="1">
      <x:c r="A1004" s="14"/>
      <x:c r="B1004" s="15"/>
      <x:c r="C1004" s="16" t="str">
        <x:f>IF(AND(ISNUMBER(B1004),ISNUMBER(B1003),B1004&gt;0,B1003&gt;0),LN(B1004/B1003),"")</x:f>
      </x:c>
      <x:c r="D1004" s="16" t="str">
        <x:f>IF(ISNUMBER(C1004),ABS(C1004),"")</x:f>
      </x:c>
      <x:c r="E1004" s="16" t="str">
        <x:f>IF(ISNUMBER(C1004),C1004^2,"")</x:f>
      </x:c>
      <x:c r="F1004" s="16" t="str">
        <x:f>IF(AND(ISNUMBER(C1004),ISNUMBER($J$6),$J$6&gt;0),(C1004-$J$5)/$J$6,"")</x:f>
      </x:c>
      <x:c r="G1004" s="1" t="str">
        <x:f>IF(ISNUMBER(F1004),IF(ABS(F1004)&gt;3,1,0),"")</x:f>
      </x:c>
      <x:c r="H1004" s="1" t="str">
        <x:f>IF(ISNUMBER(F1004),F1004^4,"")</x:f>
      </x:c>
      <x:c r="I1004" s="1"/>
      <x:c r="J1004" s="1"/>
      <x:c r="K1004" s="1"/>
      <x:c r="L1004" s="1"/>
      <x:c r="M1004" s="1"/>
      <x:c r="N1004" s="1"/>
    </x:row>
    <x:row r="1005" ht="22" customHeight="1">
      <x:c r="A1005" s="14"/>
      <x:c r="B1005" s="15"/>
      <x:c r="C1005" s="16" t="str">
        <x:f>IF(AND(ISNUMBER(B1005),ISNUMBER(B1004),B1005&gt;0,B1004&gt;0),LN(B1005/B1004),"")</x:f>
      </x:c>
      <x:c r="D1005" s="16" t="str">
        <x:f>IF(ISNUMBER(C1005),ABS(C1005),"")</x:f>
      </x:c>
      <x:c r="E1005" s="16" t="str">
        <x:f>IF(ISNUMBER(C1005),C1005^2,"")</x:f>
      </x:c>
      <x:c r="F1005" s="16" t="str">
        <x:f>IF(AND(ISNUMBER(C1005),ISNUMBER($J$6),$J$6&gt;0),(C1005-$J$5)/$J$6,"")</x:f>
      </x:c>
      <x:c r="G1005" s="1" t="str">
        <x:f>IF(ISNUMBER(F1005),IF(ABS(F1005)&gt;3,1,0),"")</x:f>
      </x:c>
      <x:c r="H1005" s="1" t="str">
        <x:f>IF(ISNUMBER(F1005),F1005^4,"")</x:f>
      </x:c>
      <x:c r="I1005" s="1"/>
      <x:c r="J1005" s="1"/>
      <x:c r="K1005" s="1"/>
      <x:c r="L1005" s="1"/>
      <x:c r="M1005" s="1"/>
      <x:c r="N1005" s="1"/>
    </x:row>
    <x:row r="1006" ht="22" customHeight="1">
      <x:c r="A1006" s="14"/>
      <x:c r="B1006" s="15"/>
      <x:c r="C1006" s="16" t="str">
        <x:f>IF(AND(ISNUMBER(B1006),ISNUMBER(B1005),B1006&gt;0,B1005&gt;0),LN(B1006/B1005),"")</x:f>
      </x:c>
      <x:c r="D1006" s="16" t="str">
        <x:f>IF(ISNUMBER(C1006),ABS(C1006),"")</x:f>
      </x:c>
      <x:c r="E1006" s="16" t="str">
        <x:f>IF(ISNUMBER(C1006),C1006^2,"")</x:f>
      </x:c>
      <x:c r="F1006" s="16" t="str">
        <x:f>IF(AND(ISNUMBER(C1006),ISNUMBER($J$6),$J$6&gt;0),(C1006-$J$5)/$J$6,"")</x:f>
      </x:c>
      <x:c r="G1006" s="1" t="str">
        <x:f>IF(ISNUMBER(F1006),IF(ABS(F1006)&gt;3,1,0),"")</x:f>
      </x:c>
      <x:c r="H1006" s="1" t="str">
        <x:f>IF(ISNUMBER(F1006),F1006^4,"")</x:f>
      </x:c>
      <x:c r="I1006" s="1"/>
      <x:c r="J1006" s="1"/>
      <x:c r="K1006" s="1"/>
      <x:c r="L1006" s="1"/>
      <x:c r="M1006" s="1"/>
      <x:c r="N1006" s="1"/>
    </x:row>
    <x:row r="1007" ht="22" customHeight="1">
      <x:c r="A1007" s="14"/>
      <x:c r="B1007" s="15"/>
      <x:c r="C1007" s="16" t="str">
        <x:f>IF(AND(ISNUMBER(B1007),ISNUMBER(B1006),B1007&gt;0,B1006&gt;0),LN(B1007/B1006),"")</x:f>
      </x:c>
      <x:c r="D1007" s="16" t="str">
        <x:f>IF(ISNUMBER(C1007),ABS(C1007),"")</x:f>
      </x:c>
      <x:c r="E1007" s="16" t="str">
        <x:f>IF(ISNUMBER(C1007),C1007^2,"")</x:f>
      </x:c>
      <x:c r="F1007" s="16" t="str">
        <x:f>IF(AND(ISNUMBER(C1007),ISNUMBER($J$6),$J$6&gt;0),(C1007-$J$5)/$J$6,"")</x:f>
      </x:c>
      <x:c r="G1007" s="1" t="str">
        <x:f>IF(ISNUMBER(F1007),IF(ABS(F1007)&gt;3,1,0),"")</x:f>
      </x:c>
      <x:c r="H1007" s="1" t="str">
        <x:f>IF(ISNUMBER(F1007),F1007^4,"")</x:f>
      </x:c>
      <x:c r="I1007" s="1"/>
      <x:c r="J1007" s="1"/>
      <x:c r="K1007" s="1"/>
      <x:c r="L1007" s="1"/>
      <x:c r="M1007" s="1"/>
      <x:c r="N1007" s="1"/>
    </x:row>
    <x:row r="1008" ht="22" customHeight="1">
      <x:c r="A1008" s="14"/>
      <x:c r="B1008" s="15"/>
      <x:c r="C1008" s="16" t="str">
        <x:f>IF(AND(ISNUMBER(B1008),ISNUMBER(B1007),B1008&gt;0,B1007&gt;0),LN(B1008/B1007),"")</x:f>
      </x:c>
      <x:c r="D1008" s="16" t="str">
        <x:f>IF(ISNUMBER(C1008),ABS(C1008),"")</x:f>
      </x:c>
      <x:c r="E1008" s="16" t="str">
        <x:f>IF(ISNUMBER(C1008),C1008^2,"")</x:f>
      </x:c>
      <x:c r="F1008" s="16" t="str">
        <x:f>IF(AND(ISNUMBER(C1008),ISNUMBER($J$6),$J$6&gt;0),(C1008-$J$5)/$J$6,"")</x:f>
      </x:c>
      <x:c r="G1008" s="1" t="str">
        <x:f>IF(ISNUMBER(F1008),IF(ABS(F1008)&gt;3,1,0),"")</x:f>
      </x:c>
      <x:c r="H1008" s="1" t="str">
        <x:f>IF(ISNUMBER(F1008),F1008^4,"")</x:f>
      </x:c>
      <x:c r="I1008" s="1"/>
      <x:c r="J1008" s="1"/>
      <x:c r="K1008" s="1"/>
      <x:c r="L1008" s="1"/>
      <x:c r="M1008" s="1"/>
      <x:c r="N1008" s="1"/>
    </x:row>
    <x:row r="1009" ht="22" customHeight="1">
      <x:c r="A1009" s="14"/>
      <x:c r="B1009" s="15"/>
      <x:c r="C1009" s="16" t="str">
        <x:f>IF(AND(ISNUMBER(B1009),ISNUMBER(B1008),B1009&gt;0,B1008&gt;0),LN(B1009/B1008),"")</x:f>
      </x:c>
      <x:c r="D1009" s="16" t="str">
        <x:f>IF(ISNUMBER(C1009),ABS(C1009),"")</x:f>
      </x:c>
      <x:c r="E1009" s="16" t="str">
        <x:f>IF(ISNUMBER(C1009),C1009^2,"")</x:f>
      </x:c>
      <x:c r="F1009" s="16" t="str">
        <x:f>IF(AND(ISNUMBER(C1009),ISNUMBER($J$6),$J$6&gt;0),(C1009-$J$5)/$J$6,"")</x:f>
      </x:c>
      <x:c r="G1009" s="1" t="str">
        <x:f>IF(ISNUMBER(F1009),IF(ABS(F1009)&gt;3,1,0),"")</x:f>
      </x:c>
      <x:c r="H1009" s="1" t="str">
        <x:f>IF(ISNUMBER(F1009),F1009^4,"")</x:f>
      </x:c>
      <x:c r="I1009" s="1"/>
      <x:c r="J1009" s="1"/>
      <x:c r="K1009" s="1"/>
      <x:c r="L1009" s="1"/>
      <x:c r="M1009" s="1"/>
      <x:c r="N1009" s="1"/>
    </x:row>
    <x:row r="1010" ht="22" customHeight="1">
      <x:c r="A1010" s="14"/>
      <x:c r="B1010" s="15"/>
      <x:c r="C1010" s="16" t="str">
        <x:f>IF(AND(ISNUMBER(B1010),ISNUMBER(B1009),B1010&gt;0,B1009&gt;0),LN(B1010/B1009),"")</x:f>
      </x:c>
      <x:c r="D1010" s="16" t="str">
        <x:f>IF(ISNUMBER(C1010),ABS(C1010),"")</x:f>
      </x:c>
      <x:c r="E1010" s="16" t="str">
        <x:f>IF(ISNUMBER(C1010),C1010^2,"")</x:f>
      </x:c>
      <x:c r="F1010" s="16" t="str">
        <x:f>IF(AND(ISNUMBER(C1010),ISNUMBER($J$6),$J$6&gt;0),(C1010-$J$5)/$J$6,"")</x:f>
      </x:c>
      <x:c r="G1010" s="1" t="str">
        <x:f>IF(ISNUMBER(F1010),IF(ABS(F1010)&gt;3,1,0),"")</x:f>
      </x:c>
      <x:c r="H1010" s="1" t="str">
        <x:f>IF(ISNUMBER(F1010),F1010^4,"")</x:f>
      </x:c>
      <x:c r="I1010" s="1"/>
      <x:c r="J1010" s="1"/>
      <x:c r="K1010" s="1"/>
      <x:c r="L1010" s="1"/>
      <x:c r="M1010" s="1"/>
      <x:c r="N1010" s="1"/>
    </x:row>
    <x:row r="1011" ht="22" customHeight="1">
      <x:c r="A1011" s="14"/>
      <x:c r="B1011" s="15"/>
      <x:c r="C1011" s="16" t="str">
        <x:f>IF(AND(ISNUMBER(B1011),ISNUMBER(B1010),B1011&gt;0,B1010&gt;0),LN(B1011/B1010),"")</x:f>
      </x:c>
      <x:c r="D1011" s="16" t="str">
        <x:f>IF(ISNUMBER(C1011),ABS(C1011),"")</x:f>
      </x:c>
      <x:c r="E1011" s="16" t="str">
        <x:f>IF(ISNUMBER(C1011),C1011^2,"")</x:f>
      </x:c>
      <x:c r="F1011" s="16" t="str">
        <x:f>IF(AND(ISNUMBER(C1011),ISNUMBER($J$6),$J$6&gt;0),(C1011-$J$5)/$J$6,"")</x:f>
      </x:c>
      <x:c r="G1011" s="1" t="str">
        <x:f>IF(ISNUMBER(F1011),IF(ABS(F1011)&gt;3,1,0),"")</x:f>
      </x:c>
      <x:c r="H1011" s="1" t="str">
        <x:f>IF(ISNUMBER(F1011),F1011^4,"")</x:f>
      </x:c>
      <x:c r="I1011" s="1"/>
      <x:c r="J1011" s="1"/>
      <x:c r="K1011" s="1"/>
      <x:c r="L1011" s="1"/>
      <x:c r="M1011" s="1"/>
      <x:c r="N1011" s="1"/>
    </x:row>
    <x:row r="1012" ht="22" customHeight="1">
      <x:c r="A1012" s="14"/>
      <x:c r="B1012" s="15"/>
      <x:c r="C1012" s="16" t="str">
        <x:f>IF(AND(ISNUMBER(B1012),ISNUMBER(B1011),B1012&gt;0,B1011&gt;0),LN(B1012/B1011),"")</x:f>
      </x:c>
      <x:c r="D1012" s="16" t="str">
        <x:f>IF(ISNUMBER(C1012),ABS(C1012),"")</x:f>
      </x:c>
      <x:c r="E1012" s="16" t="str">
        <x:f>IF(ISNUMBER(C1012),C1012^2,"")</x:f>
      </x:c>
      <x:c r="F1012" s="16" t="str">
        <x:f>IF(AND(ISNUMBER(C1012),ISNUMBER($J$6),$J$6&gt;0),(C1012-$J$5)/$J$6,"")</x:f>
      </x:c>
      <x:c r="G1012" s="1" t="str">
        <x:f>IF(ISNUMBER(F1012),IF(ABS(F1012)&gt;3,1,0),"")</x:f>
      </x:c>
      <x:c r="H1012" s="1" t="str">
        <x:f>IF(ISNUMBER(F1012),F1012^4,"")</x:f>
      </x:c>
      <x:c r="I1012" s="1"/>
      <x:c r="J1012" s="1"/>
      <x:c r="K1012" s="1"/>
      <x:c r="L1012" s="1"/>
      <x:c r="M1012" s="1"/>
      <x:c r="N1012" s="1"/>
    </x:row>
    <x:row r="1013" ht="22" customHeight="1">
      <x:c r="A1013" s="14"/>
      <x:c r="B1013" s="15"/>
      <x:c r="C1013" s="16" t="str">
        <x:f>IF(AND(ISNUMBER(B1013),ISNUMBER(B1012),B1013&gt;0,B1012&gt;0),LN(B1013/B1012),"")</x:f>
      </x:c>
      <x:c r="D1013" s="16" t="str">
        <x:f>IF(ISNUMBER(C1013),ABS(C1013),"")</x:f>
      </x:c>
      <x:c r="E1013" s="16" t="str">
        <x:f>IF(ISNUMBER(C1013),C1013^2,"")</x:f>
      </x:c>
      <x:c r="F1013" s="16" t="str">
        <x:f>IF(AND(ISNUMBER(C1013),ISNUMBER($J$6),$J$6&gt;0),(C1013-$J$5)/$J$6,"")</x:f>
      </x:c>
      <x:c r="G1013" s="1" t="str">
        <x:f>IF(ISNUMBER(F1013),IF(ABS(F1013)&gt;3,1,0),"")</x:f>
      </x:c>
      <x:c r="H1013" s="1" t="str">
        <x:f>IF(ISNUMBER(F1013),F1013^4,"")</x:f>
      </x:c>
      <x:c r="I1013" s="1"/>
      <x:c r="J1013" s="1"/>
      <x:c r="K1013" s="1"/>
      <x:c r="L1013" s="1"/>
      <x:c r="M1013" s="1"/>
      <x:c r="N1013" s="1"/>
    </x:row>
    <x:row r="1014" ht="22" customHeight="1">
      <x:c r="A1014" s="14"/>
      <x:c r="B1014" s="15"/>
      <x:c r="C1014" s="16" t="str">
        <x:f>IF(AND(ISNUMBER(B1014),ISNUMBER(B1013),B1014&gt;0,B1013&gt;0),LN(B1014/B1013),"")</x:f>
      </x:c>
      <x:c r="D1014" s="16" t="str">
        <x:f>IF(ISNUMBER(C1014),ABS(C1014),"")</x:f>
      </x:c>
      <x:c r="E1014" s="16" t="str">
        <x:f>IF(ISNUMBER(C1014),C1014^2,"")</x:f>
      </x:c>
      <x:c r="F1014" s="16" t="str">
        <x:f>IF(AND(ISNUMBER(C1014),ISNUMBER($J$6),$J$6&gt;0),(C1014-$J$5)/$J$6,"")</x:f>
      </x:c>
      <x:c r="G1014" s="1" t="str">
        <x:f>IF(ISNUMBER(F1014),IF(ABS(F1014)&gt;3,1,0),"")</x:f>
      </x:c>
      <x:c r="H1014" s="1" t="str">
        <x:f>IF(ISNUMBER(F1014),F1014^4,"")</x:f>
      </x:c>
      <x:c r="I1014" s="1"/>
      <x:c r="J1014" s="1"/>
      <x:c r="K1014" s="1"/>
      <x:c r="L1014" s="1"/>
      <x:c r="M1014" s="1"/>
      <x:c r="N1014" s="1"/>
    </x:row>
    <x:row r="1015" ht="22" customHeight="1">
      <x:c r="A1015" s="14"/>
      <x:c r="B1015" s="15"/>
      <x:c r="C1015" s="16" t="str">
        <x:f>IF(AND(ISNUMBER(B1015),ISNUMBER(B1014),B1015&gt;0,B1014&gt;0),LN(B1015/B1014),"")</x:f>
      </x:c>
      <x:c r="D1015" s="16" t="str">
        <x:f>IF(ISNUMBER(C1015),ABS(C1015),"")</x:f>
      </x:c>
      <x:c r="E1015" s="16" t="str">
        <x:f>IF(ISNUMBER(C1015),C1015^2,"")</x:f>
      </x:c>
      <x:c r="F1015" s="16" t="str">
        <x:f>IF(AND(ISNUMBER(C1015),ISNUMBER($J$6),$J$6&gt;0),(C1015-$J$5)/$J$6,"")</x:f>
      </x:c>
      <x:c r="G1015" s="1" t="str">
        <x:f>IF(ISNUMBER(F1015),IF(ABS(F1015)&gt;3,1,0),"")</x:f>
      </x:c>
      <x:c r="H1015" s="1" t="str">
        <x:f>IF(ISNUMBER(F1015),F1015^4,"")</x:f>
      </x:c>
      <x:c r="I1015" s="1"/>
      <x:c r="J1015" s="1"/>
      <x:c r="K1015" s="1"/>
      <x:c r="L1015" s="1"/>
      <x:c r="M1015" s="1"/>
      <x:c r="N1015" s="1"/>
    </x:row>
    <x:row r="1016" ht="22" customHeight="1">
      <x:c r="A1016" s="14"/>
      <x:c r="B1016" s="15"/>
      <x:c r="C1016" s="16" t="str">
        <x:f>IF(AND(ISNUMBER(B1016),ISNUMBER(B1015),B1016&gt;0,B1015&gt;0),LN(B1016/B1015),"")</x:f>
      </x:c>
      <x:c r="D1016" s="16" t="str">
        <x:f>IF(ISNUMBER(C1016),ABS(C1016),"")</x:f>
      </x:c>
      <x:c r="E1016" s="16" t="str">
        <x:f>IF(ISNUMBER(C1016),C1016^2,"")</x:f>
      </x:c>
      <x:c r="F1016" s="16" t="str">
        <x:f>IF(AND(ISNUMBER(C1016),ISNUMBER($J$6),$J$6&gt;0),(C1016-$J$5)/$J$6,"")</x:f>
      </x:c>
      <x:c r="G1016" s="1" t="str">
        <x:f>IF(ISNUMBER(F1016),IF(ABS(F1016)&gt;3,1,0),"")</x:f>
      </x:c>
      <x:c r="H1016" s="1" t="str">
        <x:f>IF(ISNUMBER(F1016),F1016^4,"")</x:f>
      </x:c>
      <x:c r="I1016" s="1"/>
      <x:c r="J1016" s="1"/>
      <x:c r="K1016" s="1"/>
      <x:c r="L1016" s="1"/>
      <x:c r="M1016" s="1"/>
      <x:c r="N1016" s="1"/>
    </x:row>
    <x:row r="1017" ht="22" customHeight="1">
      <x:c r="A1017" s="14"/>
      <x:c r="B1017" s="15"/>
      <x:c r="C1017" s="16" t="str">
        <x:f>IF(AND(ISNUMBER(B1017),ISNUMBER(B1016),B1017&gt;0,B1016&gt;0),LN(B1017/B1016),"")</x:f>
      </x:c>
      <x:c r="D1017" s="16" t="str">
        <x:f>IF(ISNUMBER(C1017),ABS(C1017),"")</x:f>
      </x:c>
      <x:c r="E1017" s="16" t="str">
        <x:f>IF(ISNUMBER(C1017),C1017^2,"")</x:f>
      </x:c>
      <x:c r="F1017" s="16" t="str">
        <x:f>IF(AND(ISNUMBER(C1017),ISNUMBER($J$6),$J$6&gt;0),(C1017-$J$5)/$J$6,"")</x:f>
      </x:c>
      <x:c r="G1017" s="1" t="str">
        <x:f>IF(ISNUMBER(F1017),IF(ABS(F1017)&gt;3,1,0),"")</x:f>
      </x:c>
      <x:c r="H1017" s="1" t="str">
        <x:f>IF(ISNUMBER(F1017),F1017^4,"")</x:f>
      </x:c>
      <x:c r="I1017" s="1"/>
      <x:c r="J1017" s="1"/>
      <x:c r="K1017" s="1"/>
      <x:c r="L1017" s="1"/>
      <x:c r="M1017" s="1"/>
      <x:c r="N1017" s="1"/>
    </x:row>
    <x:row r="1018" ht="22" customHeight="1">
      <x:c r="A1018" s="14"/>
      <x:c r="B1018" s="15"/>
      <x:c r="C1018" s="16" t="str">
        <x:f>IF(AND(ISNUMBER(B1018),ISNUMBER(B1017),B1018&gt;0,B1017&gt;0),LN(B1018/B1017),"")</x:f>
      </x:c>
      <x:c r="D1018" s="16" t="str">
        <x:f>IF(ISNUMBER(C1018),ABS(C1018),"")</x:f>
      </x:c>
      <x:c r="E1018" s="16" t="str">
        <x:f>IF(ISNUMBER(C1018),C1018^2,"")</x:f>
      </x:c>
      <x:c r="F1018" s="16" t="str">
        <x:f>IF(AND(ISNUMBER(C1018),ISNUMBER($J$6),$J$6&gt;0),(C1018-$J$5)/$J$6,"")</x:f>
      </x:c>
      <x:c r="G1018" s="1" t="str">
        <x:f>IF(ISNUMBER(F1018),IF(ABS(F1018)&gt;3,1,0),"")</x:f>
      </x:c>
      <x:c r="H1018" s="1" t="str">
        <x:f>IF(ISNUMBER(F1018),F1018^4,"")</x:f>
      </x:c>
      <x:c r="I1018" s="1"/>
      <x:c r="J1018" s="1"/>
      <x:c r="K1018" s="1"/>
      <x:c r="L1018" s="1"/>
      <x:c r="M1018" s="1"/>
      <x:c r="N1018" s="1"/>
    </x:row>
    <x:row r="1019" ht="22" customHeight="1">
      <x:c r="A1019" s="14"/>
      <x:c r="B1019" s="15"/>
      <x:c r="C1019" s="16" t="str">
        <x:f>IF(AND(ISNUMBER(B1019),ISNUMBER(B1018),B1019&gt;0,B1018&gt;0),LN(B1019/B1018),"")</x:f>
      </x:c>
      <x:c r="D1019" s="16" t="str">
        <x:f>IF(ISNUMBER(C1019),ABS(C1019),"")</x:f>
      </x:c>
      <x:c r="E1019" s="16" t="str">
        <x:f>IF(ISNUMBER(C1019),C1019^2,"")</x:f>
      </x:c>
      <x:c r="F1019" s="16" t="str">
        <x:f>IF(AND(ISNUMBER(C1019),ISNUMBER($J$6),$J$6&gt;0),(C1019-$J$5)/$J$6,"")</x:f>
      </x:c>
      <x:c r="G1019" s="1" t="str">
        <x:f>IF(ISNUMBER(F1019),IF(ABS(F1019)&gt;3,1,0),"")</x:f>
      </x:c>
      <x:c r="H1019" s="1" t="str">
        <x:f>IF(ISNUMBER(F1019),F1019^4,"")</x:f>
      </x:c>
      <x:c r="I1019" s="1"/>
      <x:c r="J1019" s="1"/>
      <x:c r="K1019" s="1"/>
      <x:c r="L1019" s="1"/>
      <x:c r="M1019" s="1"/>
      <x:c r="N1019" s="1"/>
    </x:row>
    <x:row r="1020" ht="22" customHeight="1">
      <x:c r="A1020" s="14"/>
      <x:c r="B1020" s="15"/>
      <x:c r="C1020" s="16" t="str">
        <x:f>IF(AND(ISNUMBER(B1020),ISNUMBER(B1019),B1020&gt;0,B1019&gt;0),LN(B1020/B1019),"")</x:f>
      </x:c>
      <x:c r="D1020" s="16" t="str">
        <x:f>IF(ISNUMBER(C1020),ABS(C1020),"")</x:f>
      </x:c>
      <x:c r="E1020" s="16" t="str">
        <x:f>IF(ISNUMBER(C1020),C1020^2,"")</x:f>
      </x:c>
      <x:c r="F1020" s="16" t="str">
        <x:f>IF(AND(ISNUMBER(C1020),ISNUMBER($J$6),$J$6&gt;0),(C1020-$J$5)/$J$6,"")</x:f>
      </x:c>
      <x:c r="G1020" s="1" t="str">
        <x:f>IF(ISNUMBER(F1020),IF(ABS(F1020)&gt;3,1,0),"")</x:f>
      </x:c>
      <x:c r="H1020" s="1" t="str">
        <x:f>IF(ISNUMBER(F1020),F1020^4,"")</x:f>
      </x:c>
      <x:c r="I1020" s="1"/>
      <x:c r="J1020" s="1"/>
      <x:c r="K1020" s="1"/>
      <x:c r="L1020" s="1"/>
      <x:c r="M1020" s="1"/>
      <x:c r="N1020" s="1"/>
    </x:row>
    <x:row r="1021" ht="22" customHeight="1">
      <x:c r="A1021" s="14"/>
      <x:c r="B1021" s="15"/>
      <x:c r="C1021" s="16" t="str">
        <x:f>IF(AND(ISNUMBER(B1021),ISNUMBER(B1020),B1021&gt;0,B1020&gt;0),LN(B1021/B1020),"")</x:f>
      </x:c>
      <x:c r="D1021" s="16" t="str">
        <x:f>IF(ISNUMBER(C1021),ABS(C1021),"")</x:f>
      </x:c>
      <x:c r="E1021" s="16" t="str">
        <x:f>IF(ISNUMBER(C1021),C1021^2,"")</x:f>
      </x:c>
      <x:c r="F1021" s="16" t="str">
        <x:f>IF(AND(ISNUMBER(C1021),ISNUMBER($J$6),$J$6&gt;0),(C1021-$J$5)/$J$6,"")</x:f>
      </x:c>
      <x:c r="G1021" s="1" t="str">
        <x:f>IF(ISNUMBER(F1021),IF(ABS(F1021)&gt;3,1,0),"")</x:f>
      </x:c>
      <x:c r="H1021" s="1" t="str">
        <x:f>IF(ISNUMBER(F1021),F1021^4,"")</x:f>
      </x:c>
      <x:c r="I1021" s="1"/>
      <x:c r="J1021" s="1"/>
      <x:c r="K1021" s="1"/>
      <x:c r="L1021" s="1"/>
      <x:c r="M1021" s="1"/>
      <x:c r="N1021" s="1"/>
    </x:row>
    <x:row r="1022" ht="22" customHeight="1">
      <x:c r="A1022" s="14"/>
      <x:c r="B1022" s="15"/>
      <x:c r="C1022" s="16" t="str">
        <x:f>IF(AND(ISNUMBER(B1022),ISNUMBER(B1021),B1022&gt;0,B1021&gt;0),LN(B1022/B1021),"")</x:f>
      </x:c>
      <x:c r="D1022" s="16" t="str">
        <x:f>IF(ISNUMBER(C1022),ABS(C1022),"")</x:f>
      </x:c>
      <x:c r="E1022" s="16" t="str">
        <x:f>IF(ISNUMBER(C1022),C1022^2,"")</x:f>
      </x:c>
      <x:c r="F1022" s="16" t="str">
        <x:f>IF(AND(ISNUMBER(C1022),ISNUMBER($J$6),$J$6&gt;0),(C1022-$J$5)/$J$6,"")</x:f>
      </x:c>
      <x:c r="G1022" s="1" t="str">
        <x:f>IF(ISNUMBER(F1022),IF(ABS(F1022)&gt;3,1,0),"")</x:f>
      </x:c>
      <x:c r="H1022" s="1" t="str">
        <x:f>IF(ISNUMBER(F1022),F1022^4,"")</x:f>
      </x:c>
      <x:c r="I1022" s="1"/>
      <x:c r="J1022" s="1"/>
      <x:c r="K1022" s="1"/>
      <x:c r="L1022" s="1"/>
      <x:c r="M1022" s="1"/>
      <x:c r="N1022" s="1"/>
    </x:row>
    <x:row r="1023" ht="22" customHeight="1">
      <x:c r="A1023" s="14"/>
      <x:c r="B1023" s="15"/>
      <x:c r="C1023" s="16" t="str">
        <x:f>IF(AND(ISNUMBER(B1023),ISNUMBER(B1022),B1023&gt;0,B1022&gt;0),LN(B1023/B1022),"")</x:f>
      </x:c>
      <x:c r="D1023" s="16" t="str">
        <x:f>IF(ISNUMBER(C1023),ABS(C1023),"")</x:f>
      </x:c>
      <x:c r="E1023" s="16" t="str">
        <x:f>IF(ISNUMBER(C1023),C1023^2,"")</x:f>
      </x:c>
      <x:c r="F1023" s="16" t="str">
        <x:f>IF(AND(ISNUMBER(C1023),ISNUMBER($J$6),$J$6&gt;0),(C1023-$J$5)/$J$6,"")</x:f>
      </x:c>
      <x:c r="G1023" s="1" t="str">
        <x:f>IF(ISNUMBER(F1023),IF(ABS(F1023)&gt;3,1,0),"")</x:f>
      </x:c>
      <x:c r="H1023" s="1" t="str">
        <x:f>IF(ISNUMBER(F1023),F1023^4,"")</x:f>
      </x:c>
      <x:c r="I1023" s="1"/>
      <x:c r="J1023" s="1"/>
      <x:c r="K1023" s="1"/>
      <x:c r="L1023" s="1"/>
      <x:c r="M1023" s="1"/>
      <x:c r="N1023" s="1"/>
    </x:row>
    <x:row r="1024" ht="22" customHeight="1">
      <x:c r="A1024" s="14"/>
      <x:c r="B1024" s="15"/>
      <x:c r="C1024" s="16" t="str">
        <x:f>IF(AND(ISNUMBER(B1024),ISNUMBER(B1023),B1024&gt;0,B1023&gt;0),LN(B1024/B1023),"")</x:f>
      </x:c>
      <x:c r="D1024" s="16" t="str">
        <x:f>IF(ISNUMBER(C1024),ABS(C1024),"")</x:f>
      </x:c>
      <x:c r="E1024" s="16" t="str">
        <x:f>IF(ISNUMBER(C1024),C1024^2,"")</x:f>
      </x:c>
      <x:c r="F1024" s="16" t="str">
        <x:f>IF(AND(ISNUMBER(C1024),ISNUMBER($J$6),$J$6&gt;0),(C1024-$J$5)/$J$6,"")</x:f>
      </x:c>
      <x:c r="G1024" s="1" t="str">
        <x:f>IF(ISNUMBER(F1024),IF(ABS(F1024)&gt;3,1,0),"")</x:f>
      </x:c>
      <x:c r="H1024" s="1" t="str">
        <x:f>IF(ISNUMBER(F1024),F1024^4,"")</x:f>
      </x:c>
      <x:c r="I1024" s="1"/>
      <x:c r="J1024" s="1"/>
      <x:c r="K1024" s="1"/>
      <x:c r="L1024" s="1"/>
      <x:c r="M1024" s="1"/>
      <x:c r="N1024" s="1"/>
    </x:row>
    <x:row r="1025" ht="22" customHeight="1">
      <x:c r="A1025" s="14"/>
      <x:c r="B1025" s="15"/>
      <x:c r="C1025" s="16" t="str">
        <x:f>IF(AND(ISNUMBER(B1025),ISNUMBER(B1024),B1025&gt;0,B1024&gt;0),LN(B1025/B1024),"")</x:f>
      </x:c>
      <x:c r="D1025" s="16" t="str">
        <x:f>IF(ISNUMBER(C1025),ABS(C1025),"")</x:f>
      </x:c>
      <x:c r="E1025" s="16" t="str">
        <x:f>IF(ISNUMBER(C1025),C1025^2,"")</x:f>
      </x:c>
      <x:c r="F1025" s="16" t="str">
        <x:f>IF(AND(ISNUMBER(C1025),ISNUMBER($J$6),$J$6&gt;0),(C1025-$J$5)/$J$6,"")</x:f>
      </x:c>
      <x:c r="G1025" s="1" t="str">
        <x:f>IF(ISNUMBER(F1025),IF(ABS(F1025)&gt;3,1,0),"")</x:f>
      </x:c>
      <x:c r="H1025" s="1" t="str">
        <x:f>IF(ISNUMBER(F1025),F1025^4,"")</x:f>
      </x:c>
      <x:c r="I1025" s="1"/>
      <x:c r="J1025" s="1"/>
      <x:c r="K1025" s="1"/>
      <x:c r="L1025" s="1"/>
      <x:c r="M1025" s="1"/>
      <x:c r="N1025" s="1"/>
    </x:row>
    <x:row r="1026" ht="22" customHeight="1">
      <x:c r="A1026" s="14"/>
      <x:c r="B1026" s="15"/>
      <x:c r="C1026" s="16" t="str">
        <x:f>IF(AND(ISNUMBER(B1026),ISNUMBER(B1025),B1026&gt;0,B1025&gt;0),LN(B1026/B1025),"")</x:f>
      </x:c>
      <x:c r="D1026" s="16" t="str">
        <x:f>IF(ISNUMBER(C1026),ABS(C1026),"")</x:f>
      </x:c>
      <x:c r="E1026" s="16" t="str">
        <x:f>IF(ISNUMBER(C1026),C1026^2,"")</x:f>
      </x:c>
      <x:c r="F1026" s="16" t="str">
        <x:f>IF(AND(ISNUMBER(C1026),ISNUMBER($J$6),$J$6&gt;0),(C1026-$J$5)/$J$6,"")</x:f>
      </x:c>
      <x:c r="G1026" s="1" t="str">
        <x:f>IF(ISNUMBER(F1026),IF(ABS(F1026)&gt;3,1,0),"")</x:f>
      </x:c>
      <x:c r="H1026" s="1" t="str">
        <x:f>IF(ISNUMBER(F1026),F1026^4,"")</x:f>
      </x:c>
      <x:c r="I1026" s="1"/>
      <x:c r="J1026" s="1"/>
      <x:c r="K1026" s="1"/>
      <x:c r="L1026" s="1"/>
      <x:c r="M1026" s="1"/>
      <x:c r="N1026" s="1"/>
    </x:row>
    <x:row r="1027" ht="22" customHeight="1">
      <x:c r="A1027" s="14"/>
      <x:c r="B1027" s="15"/>
      <x:c r="C1027" s="16" t="str">
        <x:f>IF(AND(ISNUMBER(B1027),ISNUMBER(B1026),B1027&gt;0,B1026&gt;0),LN(B1027/B1026),"")</x:f>
      </x:c>
      <x:c r="D1027" s="16" t="str">
        <x:f>IF(ISNUMBER(C1027),ABS(C1027),"")</x:f>
      </x:c>
      <x:c r="E1027" s="16" t="str">
        <x:f>IF(ISNUMBER(C1027),C1027^2,"")</x:f>
      </x:c>
      <x:c r="F1027" s="16" t="str">
        <x:f>IF(AND(ISNUMBER(C1027),ISNUMBER($J$6),$J$6&gt;0),(C1027-$J$5)/$J$6,"")</x:f>
      </x:c>
      <x:c r="G1027" s="1" t="str">
        <x:f>IF(ISNUMBER(F1027),IF(ABS(F1027)&gt;3,1,0),"")</x:f>
      </x:c>
      <x:c r="H1027" s="1" t="str">
        <x:f>IF(ISNUMBER(F1027),F1027^4,"")</x:f>
      </x:c>
      <x:c r="I1027" s="1"/>
      <x:c r="J1027" s="1"/>
      <x:c r="K1027" s="1"/>
      <x:c r="L1027" s="1"/>
      <x:c r="M1027" s="1"/>
      <x:c r="N1027" s="1"/>
    </x:row>
    <x:row r="1028" ht="22" customHeight="1">
      <x:c r="A1028" s="14"/>
      <x:c r="B1028" s="15"/>
      <x:c r="C1028" s="16" t="str">
        <x:f>IF(AND(ISNUMBER(B1028),ISNUMBER(B1027),B1028&gt;0,B1027&gt;0),LN(B1028/B1027),"")</x:f>
      </x:c>
      <x:c r="D1028" s="16" t="str">
        <x:f>IF(ISNUMBER(C1028),ABS(C1028),"")</x:f>
      </x:c>
      <x:c r="E1028" s="16" t="str">
        <x:f>IF(ISNUMBER(C1028),C1028^2,"")</x:f>
      </x:c>
      <x:c r="F1028" s="16" t="str">
        <x:f>IF(AND(ISNUMBER(C1028),ISNUMBER($J$6),$J$6&gt;0),(C1028-$J$5)/$J$6,"")</x:f>
      </x:c>
      <x:c r="G1028" s="1" t="str">
        <x:f>IF(ISNUMBER(F1028),IF(ABS(F1028)&gt;3,1,0),"")</x:f>
      </x:c>
      <x:c r="H1028" s="1" t="str">
        <x:f>IF(ISNUMBER(F1028),F1028^4,"")</x:f>
      </x:c>
      <x:c r="I1028" s="1"/>
      <x:c r="J1028" s="1"/>
      <x:c r="K1028" s="1"/>
      <x:c r="L1028" s="1"/>
      <x:c r="M1028" s="1"/>
      <x:c r="N1028" s="1"/>
    </x:row>
    <x:row r="1029" ht="22" customHeight="1">
      <x:c r="A1029" s="14"/>
      <x:c r="B1029" s="15"/>
      <x:c r="C1029" s="16" t="str">
        <x:f>IF(AND(ISNUMBER(B1029),ISNUMBER(B1028),B1029&gt;0,B1028&gt;0),LN(B1029/B1028),"")</x:f>
      </x:c>
      <x:c r="D1029" s="16" t="str">
        <x:f>IF(ISNUMBER(C1029),ABS(C1029),"")</x:f>
      </x:c>
      <x:c r="E1029" s="16" t="str">
        <x:f>IF(ISNUMBER(C1029),C1029^2,"")</x:f>
      </x:c>
      <x:c r="F1029" s="16" t="str">
        <x:f>IF(AND(ISNUMBER(C1029),ISNUMBER($J$6),$J$6&gt;0),(C1029-$J$5)/$J$6,"")</x:f>
      </x:c>
      <x:c r="G1029" s="1" t="str">
        <x:f>IF(ISNUMBER(F1029),IF(ABS(F1029)&gt;3,1,0),"")</x:f>
      </x:c>
      <x:c r="H1029" s="1" t="str">
        <x:f>IF(ISNUMBER(F1029),F1029^4,"")</x:f>
      </x:c>
      <x:c r="I1029" s="1"/>
      <x:c r="J1029" s="1"/>
      <x:c r="K1029" s="1"/>
      <x:c r="L1029" s="1"/>
      <x:c r="M1029" s="1"/>
      <x:c r="N1029" s="1"/>
    </x:row>
    <x:row r="1030" ht="22" customHeight="1">
      <x:c r="A1030" s="14"/>
      <x:c r="B1030" s="15"/>
      <x:c r="C1030" s="16" t="str">
        <x:f>IF(AND(ISNUMBER(B1030),ISNUMBER(B1029),B1030&gt;0,B1029&gt;0),LN(B1030/B1029),"")</x:f>
      </x:c>
      <x:c r="D1030" s="16" t="str">
        <x:f>IF(ISNUMBER(C1030),ABS(C1030),"")</x:f>
      </x:c>
      <x:c r="E1030" s="16" t="str">
        <x:f>IF(ISNUMBER(C1030),C1030^2,"")</x:f>
      </x:c>
      <x:c r="F1030" s="16" t="str">
        <x:f>IF(AND(ISNUMBER(C1030),ISNUMBER($J$6),$J$6&gt;0),(C1030-$J$5)/$J$6,"")</x:f>
      </x:c>
      <x:c r="G1030" s="1" t="str">
        <x:f>IF(ISNUMBER(F1030),IF(ABS(F1030)&gt;3,1,0),"")</x:f>
      </x:c>
      <x:c r="H1030" s="1" t="str">
        <x:f>IF(ISNUMBER(F1030),F1030^4,"")</x:f>
      </x:c>
      <x:c r="I1030" s="1"/>
      <x:c r="J1030" s="1"/>
      <x:c r="K1030" s="1"/>
      <x:c r="L1030" s="1"/>
      <x:c r="M1030" s="1"/>
      <x:c r="N1030" s="1"/>
    </x:row>
    <x:row r="1031" ht="22" customHeight="1">
      <x:c r="A1031" s="14"/>
      <x:c r="B1031" s="15"/>
      <x:c r="C1031" s="16" t="str">
        <x:f>IF(AND(ISNUMBER(B1031),ISNUMBER(B1030),B1031&gt;0,B1030&gt;0),LN(B1031/B1030),"")</x:f>
      </x:c>
      <x:c r="D1031" s="16" t="str">
        <x:f>IF(ISNUMBER(C1031),ABS(C1031),"")</x:f>
      </x:c>
      <x:c r="E1031" s="16" t="str">
        <x:f>IF(ISNUMBER(C1031),C1031^2,"")</x:f>
      </x:c>
      <x:c r="F1031" s="16" t="str">
        <x:f>IF(AND(ISNUMBER(C1031),ISNUMBER($J$6),$J$6&gt;0),(C1031-$J$5)/$J$6,"")</x:f>
      </x:c>
      <x:c r="G1031" s="1" t="str">
        <x:f>IF(ISNUMBER(F1031),IF(ABS(F1031)&gt;3,1,0),"")</x:f>
      </x:c>
      <x:c r="H1031" s="1" t="str">
        <x:f>IF(ISNUMBER(F1031),F1031^4,"")</x:f>
      </x:c>
      <x:c r="I1031" s="1"/>
      <x:c r="J1031" s="1"/>
      <x:c r="K1031" s="1"/>
      <x:c r="L1031" s="1"/>
      <x:c r="M1031" s="1"/>
      <x:c r="N1031" s="1"/>
    </x:row>
    <x:row r="1032" ht="22" customHeight="1">
      <x:c r="A1032" s="14"/>
      <x:c r="B1032" s="15"/>
      <x:c r="C1032" s="16" t="str">
        <x:f>IF(AND(ISNUMBER(B1032),ISNUMBER(B1031),B1032&gt;0,B1031&gt;0),LN(B1032/B1031),"")</x:f>
      </x:c>
      <x:c r="D1032" s="16" t="str">
        <x:f>IF(ISNUMBER(C1032),ABS(C1032),"")</x:f>
      </x:c>
      <x:c r="E1032" s="16" t="str">
        <x:f>IF(ISNUMBER(C1032),C1032^2,"")</x:f>
      </x:c>
      <x:c r="F1032" s="16" t="str">
        <x:f>IF(AND(ISNUMBER(C1032),ISNUMBER($J$6),$J$6&gt;0),(C1032-$J$5)/$J$6,"")</x:f>
      </x:c>
      <x:c r="G1032" s="1" t="str">
        <x:f>IF(ISNUMBER(F1032),IF(ABS(F1032)&gt;3,1,0),"")</x:f>
      </x:c>
      <x:c r="H1032" s="1" t="str">
        <x:f>IF(ISNUMBER(F1032),F1032^4,"")</x:f>
      </x:c>
      <x:c r="I1032" s="1"/>
      <x:c r="J1032" s="1"/>
      <x:c r="K1032" s="1"/>
      <x:c r="L1032" s="1"/>
      <x:c r="M1032" s="1"/>
      <x:c r="N1032" s="1"/>
    </x:row>
    <x:row r="1033" ht="22" customHeight="1">
      <x:c r="A1033" s="14"/>
      <x:c r="B1033" s="15"/>
      <x:c r="C1033" s="16" t="str">
        <x:f>IF(AND(ISNUMBER(B1033),ISNUMBER(B1032),B1033&gt;0,B1032&gt;0),LN(B1033/B1032),"")</x:f>
      </x:c>
      <x:c r="D1033" s="16" t="str">
        <x:f>IF(ISNUMBER(C1033),ABS(C1033),"")</x:f>
      </x:c>
      <x:c r="E1033" s="16" t="str">
        <x:f>IF(ISNUMBER(C1033),C1033^2,"")</x:f>
      </x:c>
      <x:c r="F1033" s="16" t="str">
        <x:f>IF(AND(ISNUMBER(C1033),ISNUMBER($J$6),$J$6&gt;0),(C1033-$J$5)/$J$6,"")</x:f>
      </x:c>
      <x:c r="G1033" s="1" t="str">
        <x:f>IF(ISNUMBER(F1033),IF(ABS(F1033)&gt;3,1,0),"")</x:f>
      </x:c>
      <x:c r="H1033" s="1" t="str">
        <x:f>IF(ISNUMBER(F1033),F1033^4,"")</x:f>
      </x:c>
      <x:c r="I1033" s="1"/>
      <x:c r="J1033" s="1"/>
      <x:c r="K1033" s="1"/>
      <x:c r="L1033" s="1"/>
      <x:c r="M1033" s="1"/>
      <x:c r="N1033" s="1"/>
    </x:row>
    <x:row r="1034" ht="22" customHeight="1">
      <x:c r="A1034" s="14"/>
      <x:c r="B1034" s="15"/>
      <x:c r="C1034" s="16" t="str">
        <x:f>IF(AND(ISNUMBER(B1034),ISNUMBER(B1033),B1034&gt;0,B1033&gt;0),LN(B1034/B1033),"")</x:f>
      </x:c>
      <x:c r="D1034" s="16" t="str">
        <x:f>IF(ISNUMBER(C1034),ABS(C1034),"")</x:f>
      </x:c>
      <x:c r="E1034" s="16" t="str">
        <x:f>IF(ISNUMBER(C1034),C1034^2,"")</x:f>
      </x:c>
      <x:c r="F1034" s="16" t="str">
        <x:f>IF(AND(ISNUMBER(C1034),ISNUMBER($J$6),$J$6&gt;0),(C1034-$J$5)/$J$6,"")</x:f>
      </x:c>
      <x:c r="G1034" s="1" t="str">
        <x:f>IF(ISNUMBER(F1034),IF(ABS(F1034)&gt;3,1,0),"")</x:f>
      </x:c>
      <x:c r="H1034" s="1" t="str">
        <x:f>IF(ISNUMBER(F1034),F1034^4,"")</x:f>
      </x:c>
      <x:c r="I1034" s="1"/>
      <x:c r="J1034" s="1"/>
      <x:c r="K1034" s="1"/>
      <x:c r="L1034" s="1"/>
      <x:c r="M1034" s="1"/>
      <x:c r="N1034" s="1"/>
    </x:row>
    <x:row r="1035" ht="22" customHeight="1">
      <x:c r="A1035" s="14"/>
      <x:c r="B1035" s="15"/>
      <x:c r="C1035" s="16" t="str">
        <x:f>IF(AND(ISNUMBER(B1035),ISNUMBER(B1034),B1035&gt;0,B1034&gt;0),LN(B1035/B1034),"")</x:f>
      </x:c>
      <x:c r="D1035" s="16" t="str">
        <x:f>IF(ISNUMBER(C1035),ABS(C1035),"")</x:f>
      </x:c>
      <x:c r="E1035" s="16" t="str">
        <x:f>IF(ISNUMBER(C1035),C1035^2,"")</x:f>
      </x:c>
      <x:c r="F1035" s="16" t="str">
        <x:f>IF(AND(ISNUMBER(C1035),ISNUMBER($J$6),$J$6&gt;0),(C1035-$J$5)/$J$6,"")</x:f>
      </x:c>
      <x:c r="G1035" s="1" t="str">
        <x:f>IF(ISNUMBER(F1035),IF(ABS(F1035)&gt;3,1,0),"")</x:f>
      </x:c>
      <x:c r="H1035" s="1" t="str">
        <x:f>IF(ISNUMBER(F1035),F1035^4,"")</x:f>
      </x:c>
      <x:c r="I1035" s="1"/>
      <x:c r="J1035" s="1"/>
      <x:c r="K1035" s="1"/>
      <x:c r="L1035" s="1"/>
      <x:c r="M1035" s="1"/>
      <x:c r="N1035" s="1"/>
    </x:row>
    <x:row r="1036" ht="22" customHeight="1">
      <x:c r="A1036" s="14"/>
      <x:c r="B1036" s="15"/>
      <x:c r="C1036" s="16" t="str">
        <x:f>IF(AND(ISNUMBER(B1036),ISNUMBER(B1035),B1036&gt;0,B1035&gt;0),LN(B1036/B1035),"")</x:f>
      </x:c>
      <x:c r="D1036" s="16" t="str">
        <x:f>IF(ISNUMBER(C1036),ABS(C1036),"")</x:f>
      </x:c>
      <x:c r="E1036" s="16" t="str">
        <x:f>IF(ISNUMBER(C1036),C1036^2,"")</x:f>
      </x:c>
      <x:c r="F1036" s="16" t="str">
        <x:f>IF(AND(ISNUMBER(C1036),ISNUMBER($J$6),$J$6&gt;0),(C1036-$J$5)/$J$6,"")</x:f>
      </x:c>
      <x:c r="G1036" s="1" t="str">
        <x:f>IF(ISNUMBER(F1036),IF(ABS(F1036)&gt;3,1,0),"")</x:f>
      </x:c>
      <x:c r="H1036" s="1" t="str">
        <x:f>IF(ISNUMBER(F1036),F1036^4,"")</x:f>
      </x:c>
      <x:c r="I1036" s="1"/>
      <x:c r="J1036" s="1"/>
      <x:c r="K1036" s="1"/>
      <x:c r="L1036" s="1"/>
      <x:c r="M1036" s="1"/>
      <x:c r="N1036" s="1"/>
    </x:row>
    <x:row r="1037" ht="22" customHeight="1">
      <x:c r="A1037" s="14"/>
      <x:c r="B1037" s="15"/>
      <x:c r="C1037" s="16" t="str">
        <x:f>IF(AND(ISNUMBER(B1037),ISNUMBER(B1036),B1037&gt;0,B1036&gt;0),LN(B1037/B1036),"")</x:f>
      </x:c>
      <x:c r="D1037" s="16" t="str">
        <x:f>IF(ISNUMBER(C1037),ABS(C1037),"")</x:f>
      </x:c>
      <x:c r="E1037" s="16" t="str">
        <x:f>IF(ISNUMBER(C1037),C1037^2,"")</x:f>
      </x:c>
      <x:c r="F1037" s="16" t="str">
        <x:f>IF(AND(ISNUMBER(C1037),ISNUMBER($J$6),$J$6&gt;0),(C1037-$J$5)/$J$6,"")</x:f>
      </x:c>
      <x:c r="G1037" s="1" t="str">
        <x:f>IF(ISNUMBER(F1037),IF(ABS(F1037)&gt;3,1,0),"")</x:f>
      </x:c>
      <x:c r="H1037" s="1" t="str">
        <x:f>IF(ISNUMBER(F1037),F1037^4,"")</x:f>
      </x:c>
      <x:c r="I1037" s="1"/>
      <x:c r="J1037" s="1"/>
      <x:c r="K1037" s="1"/>
      <x:c r="L1037" s="1"/>
      <x:c r="M1037" s="1"/>
      <x:c r="N1037" s="1"/>
    </x:row>
    <x:row r="1038" ht="22" customHeight="1">
      <x:c r="A1038" s="14"/>
      <x:c r="B1038" s="15"/>
      <x:c r="C1038" s="16" t="str">
        <x:f>IF(AND(ISNUMBER(B1038),ISNUMBER(B1037),B1038&gt;0,B1037&gt;0),LN(B1038/B1037),"")</x:f>
      </x:c>
      <x:c r="D1038" s="16" t="str">
        <x:f>IF(ISNUMBER(C1038),ABS(C1038),"")</x:f>
      </x:c>
      <x:c r="E1038" s="16" t="str">
        <x:f>IF(ISNUMBER(C1038),C1038^2,"")</x:f>
      </x:c>
      <x:c r="F1038" s="16" t="str">
        <x:f>IF(AND(ISNUMBER(C1038),ISNUMBER($J$6),$J$6&gt;0),(C1038-$J$5)/$J$6,"")</x:f>
      </x:c>
      <x:c r="G1038" s="1" t="str">
        <x:f>IF(ISNUMBER(F1038),IF(ABS(F1038)&gt;3,1,0),"")</x:f>
      </x:c>
      <x:c r="H1038" s="1" t="str">
        <x:f>IF(ISNUMBER(F1038),F1038^4,"")</x:f>
      </x:c>
      <x:c r="I1038" s="1"/>
      <x:c r="J1038" s="1"/>
      <x:c r="K1038" s="1"/>
      <x:c r="L1038" s="1"/>
      <x:c r="M1038" s="1"/>
      <x:c r="N1038" s="1"/>
    </x:row>
    <x:row r="1039" ht="22" customHeight="1">
      <x:c r="A1039" s="14"/>
      <x:c r="B1039" s="15"/>
      <x:c r="C1039" s="16" t="str">
        <x:f>IF(AND(ISNUMBER(B1039),ISNUMBER(B1038),B1039&gt;0,B1038&gt;0),LN(B1039/B1038),"")</x:f>
      </x:c>
      <x:c r="D1039" s="16" t="str">
        <x:f>IF(ISNUMBER(C1039),ABS(C1039),"")</x:f>
      </x:c>
      <x:c r="E1039" s="16" t="str">
        <x:f>IF(ISNUMBER(C1039),C1039^2,"")</x:f>
      </x:c>
      <x:c r="F1039" s="16" t="str">
        <x:f>IF(AND(ISNUMBER(C1039),ISNUMBER($J$6),$J$6&gt;0),(C1039-$J$5)/$J$6,"")</x:f>
      </x:c>
      <x:c r="G1039" s="1" t="str">
        <x:f>IF(ISNUMBER(F1039),IF(ABS(F1039)&gt;3,1,0),"")</x:f>
      </x:c>
      <x:c r="H1039" s="1" t="str">
        <x:f>IF(ISNUMBER(F1039),F1039^4,"")</x:f>
      </x:c>
      <x:c r="I1039" s="1"/>
      <x:c r="J1039" s="1"/>
      <x:c r="K1039" s="1"/>
      <x:c r="L1039" s="1"/>
      <x:c r="M1039" s="1"/>
      <x:c r="N1039" s="1"/>
    </x:row>
    <x:row r="1040" ht="22" customHeight="1">
      <x:c r="A1040" s="14"/>
      <x:c r="B1040" s="15"/>
      <x:c r="C1040" s="16" t="str">
        <x:f>IF(AND(ISNUMBER(B1040),ISNUMBER(B1039),B1040&gt;0,B1039&gt;0),LN(B1040/B1039),"")</x:f>
      </x:c>
      <x:c r="D1040" s="16" t="str">
        <x:f>IF(ISNUMBER(C1040),ABS(C1040),"")</x:f>
      </x:c>
      <x:c r="E1040" s="16" t="str">
        <x:f>IF(ISNUMBER(C1040),C1040^2,"")</x:f>
      </x:c>
      <x:c r="F1040" s="16" t="str">
        <x:f>IF(AND(ISNUMBER(C1040),ISNUMBER($J$6),$J$6&gt;0),(C1040-$J$5)/$J$6,"")</x:f>
      </x:c>
      <x:c r="G1040" s="1" t="str">
        <x:f>IF(ISNUMBER(F1040),IF(ABS(F1040)&gt;3,1,0),"")</x:f>
      </x:c>
      <x:c r="H1040" s="1" t="str">
        <x:f>IF(ISNUMBER(F1040),F1040^4,"")</x:f>
      </x:c>
      <x:c r="I1040" s="1"/>
      <x:c r="J1040" s="1"/>
      <x:c r="K1040" s="1"/>
      <x:c r="L1040" s="1"/>
      <x:c r="M1040" s="1"/>
      <x:c r="N1040" s="1"/>
    </x:row>
    <x:row r="1041" ht="22" customHeight="1">
      <x:c r="A1041" s="14"/>
      <x:c r="B1041" s="15"/>
      <x:c r="C1041" s="16" t="str">
        <x:f>IF(AND(ISNUMBER(B1041),ISNUMBER(B1040),B1041&gt;0,B1040&gt;0),LN(B1041/B1040),"")</x:f>
      </x:c>
      <x:c r="D1041" s="16" t="str">
        <x:f>IF(ISNUMBER(C1041),ABS(C1041),"")</x:f>
      </x:c>
      <x:c r="E1041" s="16" t="str">
        <x:f>IF(ISNUMBER(C1041),C1041^2,"")</x:f>
      </x:c>
      <x:c r="F1041" s="16" t="str">
        <x:f>IF(AND(ISNUMBER(C1041),ISNUMBER($J$6),$J$6&gt;0),(C1041-$J$5)/$J$6,"")</x:f>
      </x:c>
      <x:c r="G1041" s="1" t="str">
        <x:f>IF(ISNUMBER(F1041),IF(ABS(F1041)&gt;3,1,0),"")</x:f>
      </x:c>
      <x:c r="H1041" s="1" t="str">
        <x:f>IF(ISNUMBER(F1041),F1041^4,"")</x:f>
      </x:c>
      <x:c r="I1041" s="1"/>
      <x:c r="J1041" s="1"/>
      <x:c r="K1041" s="1"/>
      <x:c r="L1041" s="1"/>
      <x:c r="M1041" s="1"/>
      <x:c r="N1041" s="1"/>
    </x:row>
    <x:row r="1042" ht="22" customHeight="1">
      <x:c r="A1042" s="14"/>
      <x:c r="B1042" s="15"/>
      <x:c r="C1042" s="16" t="str">
        <x:f>IF(AND(ISNUMBER(B1042),ISNUMBER(B1041),B1042&gt;0,B1041&gt;0),LN(B1042/B1041),"")</x:f>
      </x:c>
      <x:c r="D1042" s="16" t="str">
        <x:f>IF(ISNUMBER(C1042),ABS(C1042),"")</x:f>
      </x:c>
      <x:c r="E1042" s="16" t="str">
        <x:f>IF(ISNUMBER(C1042),C1042^2,"")</x:f>
      </x:c>
      <x:c r="F1042" s="16" t="str">
        <x:f>IF(AND(ISNUMBER(C1042),ISNUMBER($J$6),$J$6&gt;0),(C1042-$J$5)/$J$6,"")</x:f>
      </x:c>
      <x:c r="G1042" s="1" t="str">
        <x:f>IF(ISNUMBER(F1042),IF(ABS(F1042)&gt;3,1,0),"")</x:f>
      </x:c>
      <x:c r="H1042" s="1" t="str">
        <x:f>IF(ISNUMBER(F1042),F1042^4,"")</x:f>
      </x:c>
      <x:c r="I1042" s="1"/>
      <x:c r="J1042" s="1"/>
      <x:c r="K1042" s="1"/>
      <x:c r="L1042" s="1"/>
      <x:c r="M1042" s="1"/>
      <x:c r="N1042" s="1"/>
    </x:row>
    <x:row r="1043" ht="22" customHeight="1">
      <x:c r="A1043" s="14"/>
      <x:c r="B1043" s="15"/>
      <x:c r="C1043" s="16" t="str">
        <x:f>IF(AND(ISNUMBER(B1043),ISNUMBER(B1042),B1043&gt;0,B1042&gt;0),LN(B1043/B1042),"")</x:f>
      </x:c>
      <x:c r="D1043" s="16" t="str">
        <x:f>IF(ISNUMBER(C1043),ABS(C1043),"")</x:f>
      </x:c>
      <x:c r="E1043" s="16" t="str">
        <x:f>IF(ISNUMBER(C1043),C1043^2,"")</x:f>
      </x:c>
      <x:c r="F1043" s="16" t="str">
        <x:f>IF(AND(ISNUMBER(C1043),ISNUMBER($J$6),$J$6&gt;0),(C1043-$J$5)/$J$6,"")</x:f>
      </x:c>
      <x:c r="G1043" s="1" t="str">
        <x:f>IF(ISNUMBER(F1043),IF(ABS(F1043)&gt;3,1,0),"")</x:f>
      </x:c>
      <x:c r="H1043" s="1" t="str">
        <x:f>IF(ISNUMBER(F1043),F1043^4,"")</x:f>
      </x:c>
      <x:c r="I1043" s="1"/>
      <x:c r="J1043" s="1"/>
      <x:c r="K1043" s="1"/>
      <x:c r="L1043" s="1"/>
      <x:c r="M1043" s="1"/>
      <x:c r="N1043" s="1"/>
    </x:row>
    <x:row r="1044" ht="22" customHeight="1">
      <x:c r="A1044" s="14"/>
      <x:c r="B1044" s="15"/>
      <x:c r="C1044" s="16" t="str">
        <x:f>IF(AND(ISNUMBER(B1044),ISNUMBER(B1043),B1044&gt;0,B1043&gt;0),LN(B1044/B1043),"")</x:f>
      </x:c>
      <x:c r="D1044" s="16" t="str">
        <x:f>IF(ISNUMBER(C1044),ABS(C1044),"")</x:f>
      </x:c>
      <x:c r="E1044" s="16" t="str">
        <x:f>IF(ISNUMBER(C1044),C1044^2,"")</x:f>
      </x:c>
      <x:c r="F1044" s="16" t="str">
        <x:f>IF(AND(ISNUMBER(C1044),ISNUMBER($J$6),$J$6&gt;0),(C1044-$J$5)/$J$6,"")</x:f>
      </x:c>
      <x:c r="G1044" s="1" t="str">
        <x:f>IF(ISNUMBER(F1044),IF(ABS(F1044)&gt;3,1,0),"")</x:f>
      </x:c>
      <x:c r="H1044" s="1" t="str">
        <x:f>IF(ISNUMBER(F1044),F1044^4,"")</x:f>
      </x:c>
      <x:c r="I1044" s="1"/>
      <x:c r="J1044" s="1"/>
      <x:c r="K1044" s="1"/>
      <x:c r="L1044" s="1"/>
      <x:c r="M1044" s="1"/>
      <x:c r="N1044" s="1"/>
    </x:row>
    <x:row r="1045" ht="22" customHeight="1">
      <x:c r="A1045" s="14"/>
      <x:c r="B1045" s="15"/>
      <x:c r="C1045" s="16" t="str">
        <x:f>IF(AND(ISNUMBER(B1045),ISNUMBER(B1044),B1045&gt;0,B1044&gt;0),LN(B1045/B1044),"")</x:f>
      </x:c>
      <x:c r="D1045" s="16" t="str">
        <x:f>IF(ISNUMBER(C1045),ABS(C1045),"")</x:f>
      </x:c>
      <x:c r="E1045" s="16" t="str">
        <x:f>IF(ISNUMBER(C1045),C1045^2,"")</x:f>
      </x:c>
      <x:c r="F1045" s="16" t="str">
        <x:f>IF(AND(ISNUMBER(C1045),ISNUMBER($J$6),$J$6&gt;0),(C1045-$J$5)/$J$6,"")</x:f>
      </x:c>
      <x:c r="G1045" s="1" t="str">
        <x:f>IF(ISNUMBER(F1045),IF(ABS(F1045)&gt;3,1,0),"")</x:f>
      </x:c>
      <x:c r="H1045" s="1" t="str">
        <x:f>IF(ISNUMBER(F1045),F1045^4,"")</x:f>
      </x:c>
      <x:c r="I1045" s="1"/>
      <x:c r="J1045" s="1"/>
      <x:c r="K1045" s="1"/>
      <x:c r="L1045" s="1"/>
      <x:c r="M1045" s="1"/>
      <x:c r="N1045" s="1"/>
    </x:row>
    <x:row r="1046" ht="22" customHeight="1">
      <x:c r="A1046" s="14"/>
      <x:c r="B1046" s="15"/>
      <x:c r="C1046" s="16" t="str">
        <x:f>IF(AND(ISNUMBER(B1046),ISNUMBER(B1045),B1046&gt;0,B1045&gt;0),LN(B1046/B1045),"")</x:f>
      </x:c>
      <x:c r="D1046" s="16" t="str">
        <x:f>IF(ISNUMBER(C1046),ABS(C1046),"")</x:f>
      </x:c>
      <x:c r="E1046" s="16" t="str">
        <x:f>IF(ISNUMBER(C1046),C1046^2,"")</x:f>
      </x:c>
      <x:c r="F1046" s="16" t="str">
        <x:f>IF(AND(ISNUMBER(C1046),ISNUMBER($J$6),$J$6&gt;0),(C1046-$J$5)/$J$6,"")</x:f>
      </x:c>
      <x:c r="G1046" s="1" t="str">
        <x:f>IF(ISNUMBER(F1046),IF(ABS(F1046)&gt;3,1,0),"")</x:f>
      </x:c>
      <x:c r="H1046" s="1" t="str">
        <x:f>IF(ISNUMBER(F1046),F1046^4,"")</x:f>
      </x:c>
      <x:c r="I1046" s="1"/>
      <x:c r="J1046" s="1"/>
      <x:c r="K1046" s="1"/>
      <x:c r="L1046" s="1"/>
      <x:c r="M1046" s="1"/>
      <x:c r="N1046" s="1"/>
    </x:row>
    <x:row r="1047" ht="22" customHeight="1">
      <x:c r="A1047" s="14"/>
      <x:c r="B1047" s="15"/>
      <x:c r="C1047" s="16" t="str">
        <x:f>IF(AND(ISNUMBER(B1047),ISNUMBER(B1046),B1047&gt;0,B1046&gt;0),LN(B1047/B1046),"")</x:f>
      </x:c>
      <x:c r="D1047" s="16" t="str">
        <x:f>IF(ISNUMBER(C1047),ABS(C1047),"")</x:f>
      </x:c>
      <x:c r="E1047" s="16" t="str">
        <x:f>IF(ISNUMBER(C1047),C1047^2,"")</x:f>
      </x:c>
      <x:c r="F1047" s="16" t="str">
        <x:f>IF(AND(ISNUMBER(C1047),ISNUMBER($J$6),$J$6&gt;0),(C1047-$J$5)/$J$6,"")</x:f>
      </x:c>
      <x:c r="G1047" s="1" t="str">
        <x:f>IF(ISNUMBER(F1047),IF(ABS(F1047)&gt;3,1,0),"")</x:f>
      </x:c>
      <x:c r="H1047" s="1" t="str">
        <x:f>IF(ISNUMBER(F1047),F1047^4,"")</x:f>
      </x:c>
      <x:c r="I1047" s="1"/>
      <x:c r="J1047" s="1"/>
      <x:c r="K1047" s="1"/>
      <x:c r="L1047" s="1"/>
      <x:c r="M1047" s="1"/>
      <x:c r="N1047" s="1"/>
    </x:row>
    <x:row r="1048" ht="22" customHeight="1">
      <x:c r="A1048" s="14"/>
      <x:c r="B1048" s="15"/>
      <x:c r="C1048" s="16" t="str">
        <x:f>IF(AND(ISNUMBER(B1048),ISNUMBER(B1047),B1048&gt;0,B1047&gt;0),LN(B1048/B1047),"")</x:f>
      </x:c>
      <x:c r="D1048" s="16" t="str">
        <x:f>IF(ISNUMBER(C1048),ABS(C1048),"")</x:f>
      </x:c>
      <x:c r="E1048" s="16" t="str">
        <x:f>IF(ISNUMBER(C1048),C1048^2,"")</x:f>
      </x:c>
      <x:c r="F1048" s="16" t="str">
        <x:f>IF(AND(ISNUMBER(C1048),ISNUMBER($J$6),$J$6&gt;0),(C1048-$J$5)/$J$6,"")</x:f>
      </x:c>
      <x:c r="G1048" s="1" t="str">
        <x:f>IF(ISNUMBER(F1048),IF(ABS(F1048)&gt;3,1,0),"")</x:f>
      </x:c>
      <x:c r="H1048" s="1" t="str">
        <x:f>IF(ISNUMBER(F1048),F1048^4,"")</x:f>
      </x:c>
      <x:c r="I1048" s="1"/>
      <x:c r="J1048" s="1"/>
      <x:c r="K1048" s="1"/>
      <x:c r="L1048" s="1"/>
      <x:c r="M1048" s="1"/>
      <x:c r="N1048" s="1"/>
    </x:row>
    <x:row r="1049" ht="22" customHeight="1">
      <x:c r="A1049" s="14"/>
      <x:c r="B1049" s="15"/>
      <x:c r="C1049" s="16" t="str">
        <x:f>IF(AND(ISNUMBER(B1049),ISNUMBER(B1048),B1049&gt;0,B1048&gt;0),LN(B1049/B1048),"")</x:f>
      </x:c>
      <x:c r="D1049" s="16" t="str">
        <x:f>IF(ISNUMBER(C1049),ABS(C1049),"")</x:f>
      </x:c>
      <x:c r="E1049" s="16" t="str">
        <x:f>IF(ISNUMBER(C1049),C1049^2,"")</x:f>
      </x:c>
      <x:c r="F1049" s="16" t="str">
        <x:f>IF(AND(ISNUMBER(C1049),ISNUMBER($J$6),$J$6&gt;0),(C1049-$J$5)/$J$6,"")</x:f>
      </x:c>
      <x:c r="G1049" s="1" t="str">
        <x:f>IF(ISNUMBER(F1049),IF(ABS(F1049)&gt;3,1,0),"")</x:f>
      </x:c>
      <x:c r="H1049" s="1" t="str">
        <x:f>IF(ISNUMBER(F1049),F1049^4,"")</x:f>
      </x:c>
      <x:c r="I1049" s="1"/>
      <x:c r="J1049" s="1"/>
      <x:c r="K1049" s="1"/>
      <x:c r="L1049" s="1"/>
      <x:c r="M1049" s="1"/>
      <x:c r="N1049" s="1"/>
    </x:row>
    <x:row r="1050" ht="22" customHeight="1">
      <x:c r="A1050" s="14"/>
      <x:c r="B1050" s="15"/>
      <x:c r="C1050" s="16" t="str">
        <x:f>IF(AND(ISNUMBER(B1050),ISNUMBER(B1049),B1050&gt;0,B1049&gt;0),LN(B1050/B1049),"")</x:f>
      </x:c>
      <x:c r="D1050" s="16" t="str">
        <x:f>IF(ISNUMBER(C1050),ABS(C1050),"")</x:f>
      </x:c>
      <x:c r="E1050" s="16" t="str">
        <x:f>IF(ISNUMBER(C1050),C1050^2,"")</x:f>
      </x:c>
      <x:c r="F1050" s="16" t="str">
        <x:f>IF(AND(ISNUMBER(C1050),ISNUMBER($J$6),$J$6&gt;0),(C1050-$J$5)/$J$6,"")</x:f>
      </x:c>
      <x:c r="G1050" s="1" t="str">
        <x:f>IF(ISNUMBER(F1050),IF(ABS(F1050)&gt;3,1,0),"")</x:f>
      </x:c>
      <x:c r="H1050" s="1" t="str">
        <x:f>IF(ISNUMBER(F1050),F1050^4,"")</x:f>
      </x:c>
      <x:c r="I1050" s="1"/>
      <x:c r="J1050" s="1"/>
      <x:c r="K1050" s="1"/>
      <x:c r="L1050" s="1"/>
      <x:c r="M1050" s="1"/>
      <x:c r="N1050" s="1"/>
    </x:row>
    <x:row r="1051" ht="22" customHeight="1">
      <x:c r="A1051" s="14"/>
      <x:c r="B1051" s="15"/>
      <x:c r="C1051" s="16" t="str">
        <x:f>IF(AND(ISNUMBER(B1051),ISNUMBER(B1050),B1051&gt;0,B1050&gt;0),LN(B1051/B1050),"")</x:f>
      </x:c>
      <x:c r="D1051" s="16" t="str">
        <x:f>IF(ISNUMBER(C1051),ABS(C1051),"")</x:f>
      </x:c>
      <x:c r="E1051" s="16" t="str">
        <x:f>IF(ISNUMBER(C1051),C1051^2,"")</x:f>
      </x:c>
      <x:c r="F1051" s="16" t="str">
        <x:f>IF(AND(ISNUMBER(C1051),ISNUMBER($J$6),$J$6&gt;0),(C1051-$J$5)/$J$6,"")</x:f>
      </x:c>
      <x:c r="G1051" s="1" t="str">
        <x:f>IF(ISNUMBER(F1051),IF(ABS(F1051)&gt;3,1,0),"")</x:f>
      </x:c>
      <x:c r="H1051" s="1" t="str">
        <x:f>IF(ISNUMBER(F1051),F1051^4,"")</x:f>
      </x:c>
      <x:c r="I1051" s="1"/>
      <x:c r="J1051" s="1"/>
      <x:c r="K1051" s="1"/>
      <x:c r="L1051" s="1"/>
      <x:c r="M1051" s="1"/>
      <x:c r="N1051" s="1"/>
    </x:row>
    <x:row r="1052" ht="22" customHeight="1">
      <x:c r="A1052" s="14"/>
      <x:c r="B1052" s="15"/>
      <x:c r="C1052" s="16" t="str">
        <x:f>IF(AND(ISNUMBER(B1052),ISNUMBER(B1051),B1052&gt;0,B1051&gt;0),LN(B1052/B1051),"")</x:f>
      </x:c>
      <x:c r="D1052" s="16" t="str">
        <x:f>IF(ISNUMBER(C1052),ABS(C1052),"")</x:f>
      </x:c>
      <x:c r="E1052" s="16" t="str">
        <x:f>IF(ISNUMBER(C1052),C1052^2,"")</x:f>
      </x:c>
      <x:c r="F1052" s="16" t="str">
        <x:f>IF(AND(ISNUMBER(C1052),ISNUMBER($J$6),$J$6&gt;0),(C1052-$J$5)/$J$6,"")</x:f>
      </x:c>
      <x:c r="G1052" s="1" t="str">
        <x:f>IF(ISNUMBER(F1052),IF(ABS(F1052)&gt;3,1,0),"")</x:f>
      </x:c>
      <x:c r="H1052" s="1" t="str">
        <x:f>IF(ISNUMBER(F1052),F1052^4,"")</x:f>
      </x:c>
      <x:c r="I1052" s="1"/>
      <x:c r="J1052" s="1"/>
      <x:c r="K1052" s="1"/>
      <x:c r="L1052" s="1"/>
      <x:c r="M1052" s="1"/>
      <x:c r="N1052" s="1"/>
    </x:row>
    <x:row r="1053" ht="22" customHeight="1">
      <x:c r="A1053" s="14"/>
      <x:c r="B1053" s="15"/>
      <x:c r="C1053" s="16" t="str">
        <x:f>IF(AND(ISNUMBER(B1053),ISNUMBER(B1052),B1053&gt;0,B1052&gt;0),LN(B1053/B1052),"")</x:f>
      </x:c>
      <x:c r="D1053" s="16" t="str">
        <x:f>IF(ISNUMBER(C1053),ABS(C1053),"")</x:f>
      </x:c>
      <x:c r="E1053" s="16" t="str">
        <x:f>IF(ISNUMBER(C1053),C1053^2,"")</x:f>
      </x:c>
      <x:c r="F1053" s="16" t="str">
        <x:f>IF(AND(ISNUMBER(C1053),ISNUMBER($J$6),$J$6&gt;0),(C1053-$J$5)/$J$6,"")</x:f>
      </x:c>
      <x:c r="G1053" s="1" t="str">
        <x:f>IF(ISNUMBER(F1053),IF(ABS(F1053)&gt;3,1,0),"")</x:f>
      </x:c>
      <x:c r="H1053" s="1" t="str">
        <x:f>IF(ISNUMBER(F1053),F1053^4,"")</x:f>
      </x:c>
      <x:c r="I1053" s="1"/>
      <x:c r="J1053" s="1"/>
      <x:c r="K1053" s="1"/>
      <x:c r="L1053" s="1"/>
      <x:c r="M1053" s="1"/>
      <x:c r="N1053" s="1"/>
    </x:row>
    <x:row r="1054" ht="22" customHeight="1">
      <x:c r="A1054" s="14"/>
      <x:c r="B1054" s="15"/>
      <x:c r="C1054" s="16" t="str">
        <x:f>IF(AND(ISNUMBER(B1054),ISNUMBER(B1053),B1054&gt;0,B1053&gt;0),LN(B1054/B1053),"")</x:f>
      </x:c>
      <x:c r="D1054" s="16" t="str">
        <x:f>IF(ISNUMBER(C1054),ABS(C1054),"")</x:f>
      </x:c>
      <x:c r="E1054" s="16" t="str">
        <x:f>IF(ISNUMBER(C1054),C1054^2,"")</x:f>
      </x:c>
      <x:c r="F1054" s="16" t="str">
        <x:f>IF(AND(ISNUMBER(C1054),ISNUMBER($J$6),$J$6&gt;0),(C1054-$J$5)/$J$6,"")</x:f>
      </x:c>
      <x:c r="G1054" s="1" t="str">
        <x:f>IF(ISNUMBER(F1054),IF(ABS(F1054)&gt;3,1,0),"")</x:f>
      </x:c>
      <x:c r="H1054" s="1" t="str">
        <x:f>IF(ISNUMBER(F1054),F1054^4,"")</x:f>
      </x:c>
      <x:c r="I1054" s="1"/>
      <x:c r="J1054" s="1"/>
      <x:c r="K1054" s="1"/>
      <x:c r="L1054" s="1"/>
      <x:c r="M1054" s="1"/>
      <x:c r="N1054" s="1"/>
    </x:row>
    <x:row r="1055" ht="22" customHeight="1">
      <x:c r="A1055" s="14"/>
      <x:c r="B1055" s="15"/>
      <x:c r="C1055" s="16" t="str">
        <x:f>IF(AND(ISNUMBER(B1055),ISNUMBER(B1054),B1055&gt;0,B1054&gt;0),LN(B1055/B1054),"")</x:f>
      </x:c>
      <x:c r="D1055" s="16" t="str">
        <x:f>IF(ISNUMBER(C1055),ABS(C1055),"")</x:f>
      </x:c>
      <x:c r="E1055" s="16" t="str">
        <x:f>IF(ISNUMBER(C1055),C1055^2,"")</x:f>
      </x:c>
      <x:c r="F1055" s="16" t="str">
        <x:f>IF(AND(ISNUMBER(C1055),ISNUMBER($J$6),$J$6&gt;0),(C1055-$J$5)/$J$6,"")</x:f>
      </x:c>
      <x:c r="G1055" s="1" t="str">
        <x:f>IF(ISNUMBER(F1055),IF(ABS(F1055)&gt;3,1,0),"")</x:f>
      </x:c>
      <x:c r="H1055" s="1" t="str">
        <x:f>IF(ISNUMBER(F1055),F1055^4,"")</x:f>
      </x:c>
      <x:c r="I1055" s="1"/>
      <x:c r="J1055" s="1"/>
      <x:c r="K1055" s="1"/>
      <x:c r="L1055" s="1"/>
      <x:c r="M1055" s="1"/>
      <x:c r="N1055" s="1"/>
    </x:row>
    <x:row r="1056" ht="22" customHeight="1">
      <x:c r="A1056" s="14"/>
      <x:c r="B1056" s="15"/>
      <x:c r="C1056" s="16" t="str">
        <x:f>IF(AND(ISNUMBER(B1056),ISNUMBER(B1055),B1056&gt;0,B1055&gt;0),LN(B1056/B1055),"")</x:f>
      </x:c>
      <x:c r="D1056" s="16" t="str">
        <x:f>IF(ISNUMBER(C1056),ABS(C1056),"")</x:f>
      </x:c>
      <x:c r="E1056" s="16" t="str">
        <x:f>IF(ISNUMBER(C1056),C1056^2,"")</x:f>
      </x:c>
      <x:c r="F1056" s="16" t="str">
        <x:f>IF(AND(ISNUMBER(C1056),ISNUMBER($J$6),$J$6&gt;0),(C1056-$J$5)/$J$6,"")</x:f>
      </x:c>
      <x:c r="G1056" s="1" t="str">
        <x:f>IF(ISNUMBER(F1056),IF(ABS(F1056)&gt;3,1,0),"")</x:f>
      </x:c>
      <x:c r="H1056" s="1" t="str">
        <x:f>IF(ISNUMBER(F1056),F1056^4,"")</x:f>
      </x:c>
      <x:c r="I1056" s="1"/>
      <x:c r="J1056" s="1"/>
      <x:c r="K1056" s="1"/>
      <x:c r="L1056" s="1"/>
      <x:c r="M1056" s="1"/>
      <x:c r="N1056" s="1"/>
    </x:row>
    <x:row r="1057" ht="22" customHeight="1">
      <x:c r="A1057" s="14"/>
      <x:c r="B1057" s="15"/>
      <x:c r="C1057" s="16" t="str">
        <x:f>IF(AND(ISNUMBER(B1057),ISNUMBER(B1056),B1057&gt;0,B1056&gt;0),LN(B1057/B1056),"")</x:f>
      </x:c>
      <x:c r="D1057" s="16" t="str">
        <x:f>IF(ISNUMBER(C1057),ABS(C1057),"")</x:f>
      </x:c>
      <x:c r="E1057" s="16" t="str">
        <x:f>IF(ISNUMBER(C1057),C1057^2,"")</x:f>
      </x:c>
      <x:c r="F1057" s="16" t="str">
        <x:f>IF(AND(ISNUMBER(C1057),ISNUMBER($J$6),$J$6&gt;0),(C1057-$J$5)/$J$6,"")</x:f>
      </x:c>
      <x:c r="G1057" s="1" t="str">
        <x:f>IF(ISNUMBER(F1057),IF(ABS(F1057)&gt;3,1,0),"")</x:f>
      </x:c>
      <x:c r="H1057" s="1" t="str">
        <x:f>IF(ISNUMBER(F1057),F1057^4,"")</x:f>
      </x:c>
      <x:c r="I1057" s="1"/>
      <x:c r="J1057" s="1"/>
      <x:c r="K1057" s="1"/>
      <x:c r="L1057" s="1"/>
      <x:c r="M1057" s="1"/>
      <x:c r="N1057" s="1"/>
    </x:row>
    <x:row r="1058" ht="22" customHeight="1">
      <x:c r="A1058" s="14"/>
      <x:c r="B1058" s="15"/>
      <x:c r="C1058" s="16" t="str">
        <x:f>IF(AND(ISNUMBER(B1058),ISNUMBER(B1057),B1058&gt;0,B1057&gt;0),LN(B1058/B1057),"")</x:f>
      </x:c>
      <x:c r="D1058" s="16" t="str">
        <x:f>IF(ISNUMBER(C1058),ABS(C1058),"")</x:f>
      </x:c>
      <x:c r="E1058" s="16" t="str">
        <x:f>IF(ISNUMBER(C1058),C1058^2,"")</x:f>
      </x:c>
      <x:c r="F1058" s="16" t="str">
        <x:f>IF(AND(ISNUMBER(C1058),ISNUMBER($J$6),$J$6&gt;0),(C1058-$J$5)/$J$6,"")</x:f>
      </x:c>
      <x:c r="G1058" s="1" t="str">
        <x:f>IF(ISNUMBER(F1058),IF(ABS(F1058)&gt;3,1,0),"")</x:f>
      </x:c>
      <x:c r="H1058" s="1" t="str">
        <x:f>IF(ISNUMBER(F1058),F1058^4,"")</x:f>
      </x:c>
      <x:c r="I1058" s="1"/>
      <x:c r="J1058" s="1"/>
      <x:c r="K1058" s="1"/>
      <x:c r="L1058" s="1"/>
      <x:c r="M1058" s="1"/>
      <x:c r="N1058" s="1"/>
    </x:row>
    <x:row r="1059" ht="22" customHeight="1">
      <x:c r="A1059" s="14"/>
      <x:c r="B1059" s="15"/>
      <x:c r="C1059" s="16" t="str">
        <x:f>IF(AND(ISNUMBER(B1059),ISNUMBER(B1058),B1059&gt;0,B1058&gt;0),LN(B1059/B1058),"")</x:f>
      </x:c>
      <x:c r="D1059" s="16" t="str">
        <x:f>IF(ISNUMBER(C1059),ABS(C1059),"")</x:f>
      </x:c>
      <x:c r="E1059" s="16" t="str">
        <x:f>IF(ISNUMBER(C1059),C1059^2,"")</x:f>
      </x:c>
      <x:c r="F1059" s="16" t="str">
        <x:f>IF(AND(ISNUMBER(C1059),ISNUMBER($J$6),$J$6&gt;0),(C1059-$J$5)/$J$6,"")</x:f>
      </x:c>
      <x:c r="G1059" s="1" t="str">
        <x:f>IF(ISNUMBER(F1059),IF(ABS(F1059)&gt;3,1,0),"")</x:f>
      </x:c>
      <x:c r="H1059" s="1" t="str">
        <x:f>IF(ISNUMBER(F1059),F1059^4,"")</x:f>
      </x:c>
      <x:c r="I1059" s="1"/>
      <x:c r="J1059" s="1"/>
      <x:c r="K1059" s="1"/>
      <x:c r="L1059" s="1"/>
      <x:c r="M1059" s="1"/>
      <x:c r="N1059" s="1"/>
    </x:row>
    <x:row r="1060" ht="22" customHeight="1">
      <x:c r="A1060" s="14"/>
      <x:c r="B1060" s="15"/>
      <x:c r="C1060" s="16" t="str">
        <x:f>IF(AND(ISNUMBER(B1060),ISNUMBER(B1059),B1060&gt;0,B1059&gt;0),LN(B1060/B1059),"")</x:f>
      </x:c>
      <x:c r="D1060" s="16" t="str">
        <x:f>IF(ISNUMBER(C1060),ABS(C1060),"")</x:f>
      </x:c>
      <x:c r="E1060" s="16" t="str">
        <x:f>IF(ISNUMBER(C1060),C1060^2,"")</x:f>
      </x:c>
      <x:c r="F1060" s="16" t="str">
        <x:f>IF(AND(ISNUMBER(C1060),ISNUMBER($J$6),$J$6&gt;0),(C1060-$J$5)/$J$6,"")</x:f>
      </x:c>
      <x:c r="G1060" s="1" t="str">
        <x:f>IF(ISNUMBER(F1060),IF(ABS(F1060)&gt;3,1,0),"")</x:f>
      </x:c>
      <x:c r="H1060" s="1" t="str">
        <x:f>IF(ISNUMBER(F1060),F1060^4,"")</x:f>
      </x:c>
      <x:c r="I1060" s="1"/>
      <x:c r="J1060" s="1"/>
      <x:c r="K1060" s="1"/>
      <x:c r="L1060" s="1"/>
      <x:c r="M1060" s="1"/>
      <x:c r="N1060" s="1"/>
    </x:row>
    <x:row r="1061" ht="22" customHeight="1">
      <x:c r="A1061" s="14"/>
      <x:c r="B1061" s="15"/>
      <x:c r="C1061" s="16" t="str">
        <x:f>IF(AND(ISNUMBER(B1061),ISNUMBER(B1060),B1061&gt;0,B1060&gt;0),LN(B1061/B1060),"")</x:f>
      </x:c>
      <x:c r="D1061" s="16" t="str">
        <x:f>IF(ISNUMBER(C1061),ABS(C1061),"")</x:f>
      </x:c>
      <x:c r="E1061" s="16" t="str">
        <x:f>IF(ISNUMBER(C1061),C1061^2,"")</x:f>
      </x:c>
      <x:c r="F1061" s="16" t="str">
        <x:f>IF(AND(ISNUMBER(C1061),ISNUMBER($J$6),$J$6&gt;0),(C1061-$J$5)/$J$6,"")</x:f>
      </x:c>
      <x:c r="G1061" s="1" t="str">
        <x:f>IF(ISNUMBER(F1061),IF(ABS(F1061)&gt;3,1,0),"")</x:f>
      </x:c>
      <x:c r="H1061" s="1" t="str">
        <x:f>IF(ISNUMBER(F1061),F1061^4,"")</x:f>
      </x:c>
      <x:c r="I1061" s="1"/>
      <x:c r="J1061" s="1"/>
      <x:c r="K1061" s="1"/>
      <x:c r="L1061" s="1"/>
      <x:c r="M1061" s="1"/>
      <x:c r="N1061" s="1"/>
    </x:row>
    <x:row r="1062" ht="22" customHeight="1">
      <x:c r="A1062" s="14"/>
      <x:c r="B1062" s="15"/>
      <x:c r="C1062" s="16" t="str">
        <x:f>IF(AND(ISNUMBER(B1062),ISNUMBER(B1061),B1062&gt;0,B1061&gt;0),LN(B1062/B1061),"")</x:f>
      </x:c>
      <x:c r="D1062" s="16" t="str">
        <x:f>IF(ISNUMBER(C1062),ABS(C1062),"")</x:f>
      </x:c>
      <x:c r="E1062" s="16" t="str">
        <x:f>IF(ISNUMBER(C1062),C1062^2,"")</x:f>
      </x:c>
      <x:c r="F1062" s="16" t="str">
        <x:f>IF(AND(ISNUMBER(C1062),ISNUMBER($J$6),$J$6&gt;0),(C1062-$J$5)/$J$6,"")</x:f>
      </x:c>
      <x:c r="G1062" s="1" t="str">
        <x:f>IF(ISNUMBER(F1062),IF(ABS(F1062)&gt;3,1,0),"")</x:f>
      </x:c>
      <x:c r="H1062" s="1" t="str">
        <x:f>IF(ISNUMBER(F1062),F1062^4,"")</x:f>
      </x:c>
      <x:c r="I1062" s="1"/>
      <x:c r="J1062" s="1"/>
      <x:c r="K1062" s="1"/>
      <x:c r="L1062" s="1"/>
      <x:c r="M1062" s="1"/>
      <x:c r="N1062" s="1"/>
    </x:row>
    <x:row r="1063" ht="22" customHeight="1">
      <x:c r="A1063" s="14"/>
      <x:c r="B1063" s="15"/>
      <x:c r="C1063" s="16" t="str">
        <x:f>IF(AND(ISNUMBER(B1063),ISNUMBER(B1062),B1063&gt;0,B1062&gt;0),LN(B1063/B1062),"")</x:f>
      </x:c>
      <x:c r="D1063" s="16" t="str">
        <x:f>IF(ISNUMBER(C1063),ABS(C1063),"")</x:f>
      </x:c>
      <x:c r="E1063" s="16" t="str">
        <x:f>IF(ISNUMBER(C1063),C1063^2,"")</x:f>
      </x:c>
      <x:c r="F1063" s="16" t="str">
        <x:f>IF(AND(ISNUMBER(C1063),ISNUMBER($J$6),$J$6&gt;0),(C1063-$J$5)/$J$6,"")</x:f>
      </x:c>
      <x:c r="G1063" s="1" t="str">
        <x:f>IF(ISNUMBER(F1063),IF(ABS(F1063)&gt;3,1,0),"")</x:f>
      </x:c>
      <x:c r="H1063" s="1" t="str">
        <x:f>IF(ISNUMBER(F1063),F1063^4,"")</x:f>
      </x:c>
      <x:c r="I1063" s="1"/>
      <x:c r="J1063" s="1"/>
      <x:c r="K1063" s="1"/>
      <x:c r="L1063" s="1"/>
      <x:c r="M1063" s="1"/>
      <x:c r="N1063" s="1"/>
    </x:row>
    <x:row r="1064" ht="22" customHeight="1">
      <x:c r="A1064" s="14"/>
      <x:c r="B1064" s="15"/>
      <x:c r="C1064" s="16" t="str">
        <x:f>IF(AND(ISNUMBER(B1064),ISNUMBER(B1063),B1064&gt;0,B1063&gt;0),LN(B1064/B1063),"")</x:f>
      </x:c>
      <x:c r="D1064" s="16" t="str">
        <x:f>IF(ISNUMBER(C1064),ABS(C1064),"")</x:f>
      </x:c>
      <x:c r="E1064" s="16" t="str">
        <x:f>IF(ISNUMBER(C1064),C1064^2,"")</x:f>
      </x:c>
      <x:c r="F1064" s="16" t="str">
        <x:f>IF(AND(ISNUMBER(C1064),ISNUMBER($J$6),$J$6&gt;0),(C1064-$J$5)/$J$6,"")</x:f>
      </x:c>
      <x:c r="G1064" s="1" t="str">
        <x:f>IF(ISNUMBER(F1064),IF(ABS(F1064)&gt;3,1,0),"")</x:f>
      </x:c>
      <x:c r="H1064" s="1" t="str">
        <x:f>IF(ISNUMBER(F1064),F1064^4,"")</x:f>
      </x:c>
      <x:c r="I1064" s="1"/>
      <x:c r="J1064" s="1"/>
      <x:c r="K1064" s="1"/>
      <x:c r="L1064" s="1"/>
      <x:c r="M1064" s="1"/>
      <x:c r="N1064" s="1"/>
    </x:row>
    <x:row r="1065" ht="22" customHeight="1">
      <x:c r="A1065" s="14"/>
      <x:c r="B1065" s="15"/>
      <x:c r="C1065" s="16" t="str">
        <x:f>IF(AND(ISNUMBER(B1065),ISNUMBER(B1064),B1065&gt;0,B1064&gt;0),LN(B1065/B1064),"")</x:f>
      </x:c>
      <x:c r="D1065" s="16" t="str">
        <x:f>IF(ISNUMBER(C1065),ABS(C1065),"")</x:f>
      </x:c>
      <x:c r="E1065" s="16" t="str">
        <x:f>IF(ISNUMBER(C1065),C1065^2,"")</x:f>
      </x:c>
      <x:c r="F1065" s="16" t="str">
        <x:f>IF(AND(ISNUMBER(C1065),ISNUMBER($J$6),$J$6&gt;0),(C1065-$J$5)/$J$6,"")</x:f>
      </x:c>
      <x:c r="G1065" s="1" t="str">
        <x:f>IF(ISNUMBER(F1065),IF(ABS(F1065)&gt;3,1,0),"")</x:f>
      </x:c>
      <x:c r="H1065" s="1" t="str">
        <x:f>IF(ISNUMBER(F1065),F1065^4,"")</x:f>
      </x:c>
      <x:c r="I1065" s="1"/>
      <x:c r="J1065" s="1"/>
      <x:c r="K1065" s="1"/>
      <x:c r="L1065" s="1"/>
      <x:c r="M1065" s="1"/>
      <x:c r="N1065" s="1"/>
    </x:row>
    <x:row r="1066" ht="22" customHeight="1">
      <x:c r="A1066" s="14"/>
      <x:c r="B1066" s="15"/>
      <x:c r="C1066" s="16" t="str">
        <x:f>IF(AND(ISNUMBER(B1066),ISNUMBER(B1065),B1066&gt;0,B1065&gt;0),LN(B1066/B1065),"")</x:f>
      </x:c>
      <x:c r="D1066" s="16" t="str">
        <x:f>IF(ISNUMBER(C1066),ABS(C1066),"")</x:f>
      </x:c>
      <x:c r="E1066" s="16" t="str">
        <x:f>IF(ISNUMBER(C1066),C1066^2,"")</x:f>
      </x:c>
      <x:c r="F1066" s="16" t="str">
        <x:f>IF(AND(ISNUMBER(C1066),ISNUMBER($J$6),$J$6&gt;0),(C1066-$J$5)/$J$6,"")</x:f>
      </x:c>
      <x:c r="G1066" s="1" t="str">
        <x:f>IF(ISNUMBER(F1066),IF(ABS(F1066)&gt;3,1,0),"")</x:f>
      </x:c>
      <x:c r="H1066" s="1" t="str">
        <x:f>IF(ISNUMBER(F1066),F1066^4,"")</x:f>
      </x:c>
      <x:c r="I1066" s="1"/>
      <x:c r="J1066" s="1"/>
      <x:c r="K1066" s="1"/>
      <x:c r="L1066" s="1"/>
      <x:c r="M1066" s="1"/>
      <x:c r="N1066" s="1"/>
    </x:row>
    <x:row r="1067" ht="22" customHeight="1">
      <x:c r="A1067" s="14"/>
      <x:c r="B1067" s="15"/>
      <x:c r="C1067" s="16" t="str">
        <x:f>IF(AND(ISNUMBER(B1067),ISNUMBER(B1066),B1067&gt;0,B1066&gt;0),LN(B1067/B1066),"")</x:f>
      </x:c>
      <x:c r="D1067" s="16" t="str">
        <x:f>IF(ISNUMBER(C1067),ABS(C1067),"")</x:f>
      </x:c>
      <x:c r="E1067" s="16" t="str">
        <x:f>IF(ISNUMBER(C1067),C1067^2,"")</x:f>
      </x:c>
      <x:c r="F1067" s="16" t="str">
        <x:f>IF(AND(ISNUMBER(C1067),ISNUMBER($J$6),$J$6&gt;0),(C1067-$J$5)/$J$6,"")</x:f>
      </x:c>
      <x:c r="G1067" s="1" t="str">
        <x:f>IF(ISNUMBER(F1067),IF(ABS(F1067)&gt;3,1,0),"")</x:f>
      </x:c>
      <x:c r="H1067" s="1" t="str">
        <x:f>IF(ISNUMBER(F1067),F1067^4,"")</x:f>
      </x:c>
      <x:c r="I1067" s="1"/>
      <x:c r="J1067" s="1"/>
      <x:c r="K1067" s="1"/>
      <x:c r="L1067" s="1"/>
      <x:c r="M1067" s="1"/>
      <x:c r="N1067" s="1"/>
    </x:row>
    <x:row r="1068" ht="22" customHeight="1">
      <x:c r="A1068" s="14"/>
      <x:c r="B1068" s="15"/>
      <x:c r="C1068" s="16" t="str">
        <x:f>IF(AND(ISNUMBER(B1068),ISNUMBER(B1067),B1068&gt;0,B1067&gt;0),LN(B1068/B1067),"")</x:f>
      </x:c>
      <x:c r="D1068" s="16" t="str">
        <x:f>IF(ISNUMBER(C1068),ABS(C1068),"")</x:f>
      </x:c>
      <x:c r="E1068" s="16" t="str">
        <x:f>IF(ISNUMBER(C1068),C1068^2,"")</x:f>
      </x:c>
      <x:c r="F1068" s="16" t="str">
        <x:f>IF(AND(ISNUMBER(C1068),ISNUMBER($J$6),$J$6&gt;0),(C1068-$J$5)/$J$6,"")</x:f>
      </x:c>
      <x:c r="G1068" s="1" t="str">
        <x:f>IF(ISNUMBER(F1068),IF(ABS(F1068)&gt;3,1,0),"")</x:f>
      </x:c>
      <x:c r="H1068" s="1" t="str">
        <x:f>IF(ISNUMBER(F1068),F1068^4,"")</x:f>
      </x:c>
      <x:c r="I1068" s="1"/>
      <x:c r="J1068" s="1"/>
      <x:c r="K1068" s="1"/>
      <x:c r="L1068" s="1"/>
      <x:c r="M1068" s="1"/>
      <x:c r="N1068" s="1"/>
    </x:row>
    <x:row r="1069" ht="22" customHeight="1">
      <x:c r="A1069" s="14"/>
      <x:c r="B1069" s="15"/>
      <x:c r="C1069" s="16" t="str">
        <x:f>IF(AND(ISNUMBER(B1069),ISNUMBER(B1068),B1069&gt;0,B1068&gt;0),LN(B1069/B1068),"")</x:f>
      </x:c>
      <x:c r="D1069" s="16" t="str">
        <x:f>IF(ISNUMBER(C1069),ABS(C1069),"")</x:f>
      </x:c>
      <x:c r="E1069" s="16" t="str">
        <x:f>IF(ISNUMBER(C1069),C1069^2,"")</x:f>
      </x:c>
      <x:c r="F1069" s="16" t="str">
        <x:f>IF(AND(ISNUMBER(C1069),ISNUMBER($J$6),$J$6&gt;0),(C1069-$J$5)/$J$6,"")</x:f>
      </x:c>
      <x:c r="G1069" s="1" t="str">
        <x:f>IF(ISNUMBER(F1069),IF(ABS(F1069)&gt;3,1,0),"")</x:f>
      </x:c>
      <x:c r="H1069" s="1" t="str">
        <x:f>IF(ISNUMBER(F1069),F1069^4,"")</x:f>
      </x:c>
      <x:c r="I1069" s="1"/>
      <x:c r="J1069" s="1"/>
      <x:c r="K1069" s="1"/>
      <x:c r="L1069" s="1"/>
      <x:c r="M1069" s="1"/>
      <x:c r="N1069" s="1"/>
    </x:row>
    <x:row r="1070" ht="22" customHeight="1">
      <x:c r="A1070" s="14"/>
      <x:c r="B1070" s="15"/>
      <x:c r="C1070" s="16" t="str">
        <x:f>IF(AND(ISNUMBER(B1070),ISNUMBER(B1069),B1070&gt;0,B1069&gt;0),LN(B1070/B1069),"")</x:f>
      </x:c>
      <x:c r="D1070" s="16" t="str">
        <x:f>IF(ISNUMBER(C1070),ABS(C1070),"")</x:f>
      </x:c>
      <x:c r="E1070" s="16" t="str">
        <x:f>IF(ISNUMBER(C1070),C1070^2,"")</x:f>
      </x:c>
      <x:c r="F1070" s="16" t="str">
        <x:f>IF(AND(ISNUMBER(C1070),ISNUMBER($J$6),$J$6&gt;0),(C1070-$J$5)/$J$6,"")</x:f>
      </x:c>
      <x:c r="G1070" s="1" t="str">
        <x:f>IF(ISNUMBER(F1070),IF(ABS(F1070)&gt;3,1,0),"")</x:f>
      </x:c>
      <x:c r="H1070" s="1" t="str">
        <x:f>IF(ISNUMBER(F1070),F1070^4,"")</x:f>
      </x:c>
      <x:c r="I1070" s="1"/>
      <x:c r="J1070" s="1"/>
      <x:c r="K1070" s="1"/>
      <x:c r="L1070" s="1"/>
      <x:c r="M1070" s="1"/>
      <x:c r="N1070" s="1"/>
    </x:row>
    <x:row r="1071" ht="22" customHeight="1">
      <x:c r="A1071" s="14"/>
      <x:c r="B1071" s="15"/>
      <x:c r="C1071" s="16" t="str">
        <x:f>IF(AND(ISNUMBER(B1071),ISNUMBER(B1070),B1071&gt;0,B1070&gt;0),LN(B1071/B1070),"")</x:f>
      </x:c>
      <x:c r="D1071" s="16" t="str">
        <x:f>IF(ISNUMBER(C1071),ABS(C1071),"")</x:f>
      </x:c>
      <x:c r="E1071" s="16" t="str">
        <x:f>IF(ISNUMBER(C1071),C1071^2,"")</x:f>
      </x:c>
      <x:c r="F1071" s="16" t="str">
        <x:f>IF(AND(ISNUMBER(C1071),ISNUMBER($J$6),$J$6&gt;0),(C1071-$J$5)/$J$6,"")</x:f>
      </x:c>
      <x:c r="G1071" s="1" t="str">
        <x:f>IF(ISNUMBER(F1071),IF(ABS(F1071)&gt;3,1,0),"")</x:f>
      </x:c>
      <x:c r="H1071" s="1" t="str">
        <x:f>IF(ISNUMBER(F1071),F1071^4,"")</x:f>
      </x:c>
      <x:c r="I1071" s="1"/>
      <x:c r="J1071" s="1"/>
      <x:c r="K1071" s="1"/>
      <x:c r="L1071" s="1"/>
      <x:c r="M1071" s="1"/>
      <x:c r="N1071" s="1"/>
    </x:row>
    <x:row r="1072" ht="22" customHeight="1">
      <x:c r="A1072" s="14"/>
      <x:c r="B1072" s="15"/>
      <x:c r="C1072" s="16" t="str">
        <x:f>IF(AND(ISNUMBER(B1072),ISNUMBER(B1071),B1072&gt;0,B1071&gt;0),LN(B1072/B1071),"")</x:f>
      </x:c>
      <x:c r="D1072" s="16" t="str">
        <x:f>IF(ISNUMBER(C1072),ABS(C1072),"")</x:f>
      </x:c>
      <x:c r="E1072" s="16" t="str">
        <x:f>IF(ISNUMBER(C1072),C1072^2,"")</x:f>
      </x:c>
      <x:c r="F1072" s="16" t="str">
        <x:f>IF(AND(ISNUMBER(C1072),ISNUMBER($J$6),$J$6&gt;0),(C1072-$J$5)/$J$6,"")</x:f>
      </x:c>
      <x:c r="G1072" s="1" t="str">
        <x:f>IF(ISNUMBER(F1072),IF(ABS(F1072)&gt;3,1,0),"")</x:f>
      </x:c>
      <x:c r="H1072" s="1" t="str">
        <x:f>IF(ISNUMBER(F1072),F1072^4,"")</x:f>
      </x:c>
      <x:c r="I1072" s="1"/>
      <x:c r="J1072" s="1"/>
      <x:c r="K1072" s="1"/>
      <x:c r="L1072" s="1"/>
      <x:c r="M1072" s="1"/>
      <x:c r="N1072" s="1"/>
    </x:row>
    <x:row r="1073" ht="22" customHeight="1">
      <x:c r="A1073" s="14"/>
      <x:c r="B1073" s="15"/>
      <x:c r="C1073" s="16" t="str">
        <x:f>IF(AND(ISNUMBER(B1073),ISNUMBER(B1072),B1073&gt;0,B1072&gt;0),LN(B1073/B1072),"")</x:f>
      </x:c>
      <x:c r="D1073" s="16" t="str">
        <x:f>IF(ISNUMBER(C1073),ABS(C1073),"")</x:f>
      </x:c>
      <x:c r="E1073" s="16" t="str">
        <x:f>IF(ISNUMBER(C1073),C1073^2,"")</x:f>
      </x:c>
      <x:c r="F1073" s="16" t="str">
        <x:f>IF(AND(ISNUMBER(C1073),ISNUMBER($J$6),$J$6&gt;0),(C1073-$J$5)/$J$6,"")</x:f>
      </x:c>
      <x:c r="G1073" s="1" t="str">
        <x:f>IF(ISNUMBER(F1073),IF(ABS(F1073)&gt;3,1,0),"")</x:f>
      </x:c>
      <x:c r="H1073" s="1" t="str">
        <x:f>IF(ISNUMBER(F1073),F1073^4,"")</x:f>
      </x:c>
      <x:c r="I1073" s="1"/>
      <x:c r="J1073" s="1"/>
      <x:c r="K1073" s="1"/>
      <x:c r="L1073" s="1"/>
      <x:c r="M1073" s="1"/>
      <x:c r="N1073" s="1"/>
    </x:row>
    <x:row r="1074" ht="22" customHeight="1">
      <x:c r="A1074" s="14"/>
      <x:c r="B1074" s="15"/>
      <x:c r="C1074" s="16" t="str">
        <x:f>IF(AND(ISNUMBER(B1074),ISNUMBER(B1073),B1074&gt;0,B1073&gt;0),LN(B1074/B1073),"")</x:f>
      </x:c>
      <x:c r="D1074" s="16" t="str">
        <x:f>IF(ISNUMBER(C1074),ABS(C1074),"")</x:f>
      </x:c>
      <x:c r="E1074" s="16" t="str">
        <x:f>IF(ISNUMBER(C1074),C1074^2,"")</x:f>
      </x:c>
      <x:c r="F1074" s="16" t="str">
        <x:f>IF(AND(ISNUMBER(C1074),ISNUMBER($J$6),$J$6&gt;0),(C1074-$J$5)/$J$6,"")</x:f>
      </x:c>
      <x:c r="G1074" s="1" t="str">
        <x:f>IF(ISNUMBER(F1074),IF(ABS(F1074)&gt;3,1,0),"")</x:f>
      </x:c>
      <x:c r="H1074" s="1" t="str">
        <x:f>IF(ISNUMBER(F1074),F1074^4,"")</x:f>
      </x:c>
      <x:c r="I1074" s="1"/>
      <x:c r="J1074" s="1"/>
      <x:c r="K1074" s="1"/>
      <x:c r="L1074" s="1"/>
      <x:c r="M1074" s="1"/>
      <x:c r="N1074" s="1"/>
    </x:row>
    <x:row r="1075" ht="22" customHeight="1">
      <x:c r="A1075" s="14"/>
      <x:c r="B1075" s="15"/>
      <x:c r="C1075" s="16" t="str">
        <x:f>IF(AND(ISNUMBER(B1075),ISNUMBER(B1074),B1075&gt;0,B1074&gt;0),LN(B1075/B1074),"")</x:f>
      </x:c>
      <x:c r="D1075" s="16" t="str">
        <x:f>IF(ISNUMBER(C1075),ABS(C1075),"")</x:f>
      </x:c>
      <x:c r="E1075" s="16" t="str">
        <x:f>IF(ISNUMBER(C1075),C1075^2,"")</x:f>
      </x:c>
      <x:c r="F1075" s="16" t="str">
        <x:f>IF(AND(ISNUMBER(C1075),ISNUMBER($J$6),$J$6&gt;0),(C1075-$J$5)/$J$6,"")</x:f>
      </x:c>
      <x:c r="G1075" s="1" t="str">
        <x:f>IF(ISNUMBER(F1075),IF(ABS(F1075)&gt;3,1,0),"")</x:f>
      </x:c>
      <x:c r="H1075" s="1" t="str">
        <x:f>IF(ISNUMBER(F1075),F1075^4,"")</x:f>
      </x:c>
      <x:c r="I1075" s="1"/>
      <x:c r="J1075" s="1"/>
      <x:c r="K1075" s="1"/>
      <x:c r="L1075" s="1"/>
      <x:c r="M1075" s="1"/>
      <x:c r="N1075" s="1"/>
    </x:row>
    <x:row r="1076" ht="22" customHeight="1">
      <x:c r="A1076" s="14"/>
      <x:c r="B1076" s="15"/>
      <x:c r="C1076" s="16" t="str">
        <x:f>IF(AND(ISNUMBER(B1076),ISNUMBER(B1075),B1076&gt;0,B1075&gt;0),LN(B1076/B1075),"")</x:f>
      </x:c>
      <x:c r="D1076" s="16" t="str">
        <x:f>IF(ISNUMBER(C1076),ABS(C1076),"")</x:f>
      </x:c>
      <x:c r="E1076" s="16" t="str">
        <x:f>IF(ISNUMBER(C1076),C1076^2,"")</x:f>
      </x:c>
      <x:c r="F1076" s="16" t="str">
        <x:f>IF(AND(ISNUMBER(C1076),ISNUMBER($J$6),$J$6&gt;0),(C1076-$J$5)/$J$6,"")</x:f>
      </x:c>
      <x:c r="G1076" s="1" t="str">
        <x:f>IF(ISNUMBER(F1076),IF(ABS(F1076)&gt;3,1,0),"")</x:f>
      </x:c>
      <x:c r="H1076" s="1" t="str">
        <x:f>IF(ISNUMBER(F1076),F1076^4,"")</x:f>
      </x:c>
      <x:c r="I1076" s="1"/>
      <x:c r="J1076" s="1"/>
      <x:c r="K1076" s="1"/>
      <x:c r="L1076" s="1"/>
      <x:c r="M1076" s="1"/>
      <x:c r="N1076" s="1"/>
    </x:row>
    <x:row r="1077" ht="22" customHeight="1">
      <x:c r="A1077" s="14"/>
      <x:c r="B1077" s="15"/>
      <x:c r="C1077" s="16" t="str">
        <x:f>IF(AND(ISNUMBER(B1077),ISNUMBER(B1076),B1077&gt;0,B1076&gt;0),LN(B1077/B1076),"")</x:f>
      </x:c>
      <x:c r="D1077" s="16" t="str">
        <x:f>IF(ISNUMBER(C1077),ABS(C1077),"")</x:f>
      </x:c>
      <x:c r="E1077" s="16" t="str">
        <x:f>IF(ISNUMBER(C1077),C1077^2,"")</x:f>
      </x:c>
      <x:c r="F1077" s="16" t="str">
        <x:f>IF(AND(ISNUMBER(C1077),ISNUMBER($J$6),$J$6&gt;0),(C1077-$J$5)/$J$6,"")</x:f>
      </x:c>
      <x:c r="G1077" s="1" t="str">
        <x:f>IF(ISNUMBER(F1077),IF(ABS(F1077)&gt;3,1,0),"")</x:f>
      </x:c>
      <x:c r="H1077" s="1" t="str">
        <x:f>IF(ISNUMBER(F1077),F1077^4,"")</x:f>
      </x:c>
      <x:c r="I1077" s="1"/>
      <x:c r="J1077" s="1"/>
      <x:c r="K1077" s="1"/>
      <x:c r="L1077" s="1"/>
      <x:c r="M1077" s="1"/>
      <x:c r="N1077" s="1"/>
    </x:row>
    <x:row r="1078" ht="22" customHeight="1">
      <x:c r="A1078" s="14"/>
      <x:c r="B1078" s="15"/>
      <x:c r="C1078" s="16" t="str">
        <x:f>IF(AND(ISNUMBER(B1078),ISNUMBER(B1077),B1078&gt;0,B1077&gt;0),LN(B1078/B1077),"")</x:f>
      </x:c>
      <x:c r="D1078" s="16" t="str">
        <x:f>IF(ISNUMBER(C1078),ABS(C1078),"")</x:f>
      </x:c>
      <x:c r="E1078" s="16" t="str">
        <x:f>IF(ISNUMBER(C1078),C1078^2,"")</x:f>
      </x:c>
      <x:c r="F1078" s="16" t="str">
        <x:f>IF(AND(ISNUMBER(C1078),ISNUMBER($J$6),$J$6&gt;0),(C1078-$J$5)/$J$6,"")</x:f>
      </x:c>
      <x:c r="G1078" s="1" t="str">
        <x:f>IF(ISNUMBER(F1078),IF(ABS(F1078)&gt;3,1,0),"")</x:f>
      </x:c>
      <x:c r="H1078" s="1" t="str">
        <x:f>IF(ISNUMBER(F1078),F1078^4,"")</x:f>
      </x:c>
      <x:c r="I1078" s="1"/>
      <x:c r="J1078" s="1"/>
      <x:c r="K1078" s="1"/>
      <x:c r="L1078" s="1"/>
      <x:c r="M1078" s="1"/>
      <x:c r="N1078" s="1"/>
    </x:row>
    <x:row r="1079" ht="22" customHeight="1">
      <x:c r="A1079" s="14"/>
      <x:c r="B1079" s="15"/>
      <x:c r="C1079" s="16" t="str">
        <x:f>IF(AND(ISNUMBER(B1079),ISNUMBER(B1078),B1079&gt;0,B1078&gt;0),LN(B1079/B1078),"")</x:f>
      </x:c>
      <x:c r="D1079" s="16" t="str">
        <x:f>IF(ISNUMBER(C1079),ABS(C1079),"")</x:f>
      </x:c>
      <x:c r="E1079" s="16" t="str">
        <x:f>IF(ISNUMBER(C1079),C1079^2,"")</x:f>
      </x:c>
      <x:c r="F1079" s="16" t="str">
        <x:f>IF(AND(ISNUMBER(C1079),ISNUMBER($J$6),$J$6&gt;0),(C1079-$J$5)/$J$6,"")</x:f>
      </x:c>
      <x:c r="G1079" s="1" t="str">
        <x:f>IF(ISNUMBER(F1079),IF(ABS(F1079)&gt;3,1,0),"")</x:f>
      </x:c>
      <x:c r="H1079" s="1" t="str">
        <x:f>IF(ISNUMBER(F1079),F1079^4,"")</x:f>
      </x:c>
      <x:c r="I1079" s="1"/>
      <x:c r="J1079" s="1"/>
      <x:c r="K1079" s="1"/>
      <x:c r="L1079" s="1"/>
      <x:c r="M1079" s="1"/>
      <x:c r="N1079" s="1"/>
    </x:row>
    <x:row r="1080" ht="22" customHeight="1">
      <x:c r="A1080" s="14"/>
      <x:c r="B1080" s="15"/>
      <x:c r="C1080" s="16" t="str">
        <x:f>IF(AND(ISNUMBER(B1080),ISNUMBER(B1079),B1080&gt;0,B1079&gt;0),LN(B1080/B1079),"")</x:f>
      </x:c>
      <x:c r="D1080" s="16" t="str">
        <x:f>IF(ISNUMBER(C1080),ABS(C1080),"")</x:f>
      </x:c>
      <x:c r="E1080" s="16" t="str">
        <x:f>IF(ISNUMBER(C1080),C1080^2,"")</x:f>
      </x:c>
      <x:c r="F1080" s="16" t="str">
        <x:f>IF(AND(ISNUMBER(C1080),ISNUMBER($J$6),$J$6&gt;0),(C1080-$J$5)/$J$6,"")</x:f>
      </x:c>
      <x:c r="G1080" s="1" t="str">
        <x:f>IF(ISNUMBER(F1080),IF(ABS(F1080)&gt;3,1,0),"")</x:f>
      </x:c>
      <x:c r="H1080" s="1" t="str">
        <x:f>IF(ISNUMBER(F1080),F1080^4,"")</x:f>
      </x:c>
      <x:c r="I1080" s="1"/>
      <x:c r="J1080" s="1"/>
      <x:c r="K1080" s="1"/>
      <x:c r="L1080" s="1"/>
      <x:c r="M1080" s="1"/>
      <x:c r="N1080" s="1"/>
    </x:row>
    <x:row r="1081" ht="22" customHeight="1">
      <x:c r="A1081" s="14"/>
      <x:c r="B1081" s="15"/>
      <x:c r="C1081" s="16" t="str">
        <x:f>IF(AND(ISNUMBER(B1081),ISNUMBER(B1080),B1081&gt;0,B1080&gt;0),LN(B1081/B1080),"")</x:f>
      </x:c>
      <x:c r="D1081" s="16" t="str">
        <x:f>IF(ISNUMBER(C1081),ABS(C1081),"")</x:f>
      </x:c>
      <x:c r="E1081" s="16" t="str">
        <x:f>IF(ISNUMBER(C1081),C1081^2,"")</x:f>
      </x:c>
      <x:c r="F1081" s="16" t="str">
        <x:f>IF(AND(ISNUMBER(C1081),ISNUMBER($J$6),$J$6&gt;0),(C1081-$J$5)/$J$6,"")</x:f>
      </x:c>
      <x:c r="G1081" s="1" t="str">
        <x:f>IF(ISNUMBER(F1081),IF(ABS(F1081)&gt;3,1,0),"")</x:f>
      </x:c>
      <x:c r="H1081" s="1" t="str">
        <x:f>IF(ISNUMBER(F1081),F1081^4,"")</x:f>
      </x:c>
      <x:c r="I1081" s="1"/>
      <x:c r="J1081" s="1"/>
      <x:c r="K1081" s="1"/>
      <x:c r="L1081" s="1"/>
      <x:c r="M1081" s="1"/>
      <x:c r="N1081" s="1"/>
    </x:row>
    <x:row r="1082" ht="22" customHeight="1">
      <x:c r="A1082" s="14"/>
      <x:c r="B1082" s="15"/>
      <x:c r="C1082" s="16" t="str">
        <x:f>IF(AND(ISNUMBER(B1082),ISNUMBER(B1081),B1082&gt;0,B1081&gt;0),LN(B1082/B1081),"")</x:f>
      </x:c>
      <x:c r="D1082" s="16" t="str">
        <x:f>IF(ISNUMBER(C1082),ABS(C1082),"")</x:f>
      </x:c>
      <x:c r="E1082" s="16" t="str">
        <x:f>IF(ISNUMBER(C1082),C1082^2,"")</x:f>
      </x:c>
      <x:c r="F1082" s="16" t="str">
        <x:f>IF(AND(ISNUMBER(C1082),ISNUMBER($J$6),$J$6&gt;0),(C1082-$J$5)/$J$6,"")</x:f>
      </x:c>
      <x:c r="G1082" s="1" t="str">
        <x:f>IF(ISNUMBER(F1082),IF(ABS(F1082)&gt;3,1,0),"")</x:f>
      </x:c>
      <x:c r="H1082" s="1" t="str">
        <x:f>IF(ISNUMBER(F1082),F1082^4,"")</x:f>
      </x:c>
      <x:c r="I1082" s="1"/>
      <x:c r="J1082" s="1"/>
      <x:c r="K1082" s="1"/>
      <x:c r="L1082" s="1"/>
      <x:c r="M1082" s="1"/>
      <x:c r="N1082" s="1"/>
    </x:row>
    <x:row r="1083" ht="22" customHeight="1">
      <x:c r="A1083" s="14"/>
      <x:c r="B1083" s="15"/>
      <x:c r="C1083" s="16" t="str">
        <x:f>IF(AND(ISNUMBER(B1083),ISNUMBER(B1082),B1083&gt;0,B1082&gt;0),LN(B1083/B1082),"")</x:f>
      </x:c>
      <x:c r="D1083" s="16" t="str">
        <x:f>IF(ISNUMBER(C1083),ABS(C1083),"")</x:f>
      </x:c>
      <x:c r="E1083" s="16" t="str">
        <x:f>IF(ISNUMBER(C1083),C1083^2,"")</x:f>
      </x:c>
      <x:c r="F1083" s="16" t="str">
        <x:f>IF(AND(ISNUMBER(C1083),ISNUMBER($J$6),$J$6&gt;0),(C1083-$J$5)/$J$6,"")</x:f>
      </x:c>
      <x:c r="G1083" s="1" t="str">
        <x:f>IF(ISNUMBER(F1083),IF(ABS(F1083)&gt;3,1,0),"")</x:f>
      </x:c>
      <x:c r="H1083" s="1" t="str">
        <x:f>IF(ISNUMBER(F1083),F1083^4,"")</x:f>
      </x:c>
      <x:c r="I1083" s="1"/>
      <x:c r="J1083" s="1"/>
      <x:c r="K1083" s="1"/>
      <x:c r="L1083" s="1"/>
      <x:c r="M1083" s="1"/>
      <x:c r="N1083" s="1"/>
    </x:row>
    <x:row r="1084" ht="22" customHeight="1">
      <x:c r="A1084" s="14"/>
      <x:c r="B1084" s="15"/>
      <x:c r="C1084" s="16" t="str">
        <x:f>IF(AND(ISNUMBER(B1084),ISNUMBER(B1083),B1084&gt;0,B1083&gt;0),LN(B1084/B1083),"")</x:f>
      </x:c>
      <x:c r="D1084" s="16" t="str">
        <x:f>IF(ISNUMBER(C1084),ABS(C1084),"")</x:f>
      </x:c>
      <x:c r="E1084" s="16" t="str">
        <x:f>IF(ISNUMBER(C1084),C1084^2,"")</x:f>
      </x:c>
      <x:c r="F1084" s="16" t="str">
        <x:f>IF(AND(ISNUMBER(C1084),ISNUMBER($J$6),$J$6&gt;0),(C1084-$J$5)/$J$6,"")</x:f>
      </x:c>
      <x:c r="G1084" s="1" t="str">
        <x:f>IF(ISNUMBER(F1084),IF(ABS(F1084)&gt;3,1,0),"")</x:f>
      </x:c>
      <x:c r="H1084" s="1" t="str">
        <x:f>IF(ISNUMBER(F1084),F1084^4,"")</x:f>
      </x:c>
      <x:c r="I1084" s="1"/>
      <x:c r="J1084" s="1"/>
      <x:c r="K1084" s="1"/>
      <x:c r="L1084" s="1"/>
      <x:c r="M1084" s="1"/>
      <x:c r="N1084" s="1"/>
    </x:row>
    <x:row r="1085" ht="22" customHeight="1">
      <x:c r="A1085" s="14"/>
      <x:c r="B1085" s="15"/>
      <x:c r="C1085" s="16" t="str">
        <x:f>IF(AND(ISNUMBER(B1085),ISNUMBER(B1084),B1085&gt;0,B1084&gt;0),LN(B1085/B1084),"")</x:f>
      </x:c>
      <x:c r="D1085" s="16" t="str">
        <x:f>IF(ISNUMBER(C1085),ABS(C1085),"")</x:f>
      </x:c>
      <x:c r="E1085" s="16" t="str">
        <x:f>IF(ISNUMBER(C1085),C1085^2,"")</x:f>
      </x:c>
      <x:c r="F1085" s="16" t="str">
        <x:f>IF(AND(ISNUMBER(C1085),ISNUMBER($J$6),$J$6&gt;0),(C1085-$J$5)/$J$6,"")</x:f>
      </x:c>
      <x:c r="G1085" s="1" t="str">
        <x:f>IF(ISNUMBER(F1085),IF(ABS(F1085)&gt;3,1,0),"")</x:f>
      </x:c>
      <x:c r="H1085" s="1" t="str">
        <x:f>IF(ISNUMBER(F1085),F1085^4,"")</x:f>
      </x:c>
      <x:c r="I1085" s="1"/>
      <x:c r="J1085" s="1"/>
      <x:c r="K1085" s="1"/>
      <x:c r="L1085" s="1"/>
      <x:c r="M1085" s="1"/>
      <x:c r="N1085" s="1"/>
    </x:row>
    <x:row r="1086" ht="22" customHeight="1">
      <x:c r="A1086" s="14"/>
      <x:c r="B1086" s="15"/>
      <x:c r="C1086" s="16" t="str">
        <x:f>IF(AND(ISNUMBER(B1086),ISNUMBER(B1085),B1086&gt;0,B1085&gt;0),LN(B1086/B1085),"")</x:f>
      </x:c>
      <x:c r="D1086" s="16" t="str">
        <x:f>IF(ISNUMBER(C1086),ABS(C1086),"")</x:f>
      </x:c>
      <x:c r="E1086" s="16" t="str">
        <x:f>IF(ISNUMBER(C1086),C1086^2,"")</x:f>
      </x:c>
      <x:c r="F1086" s="16" t="str">
        <x:f>IF(AND(ISNUMBER(C1086),ISNUMBER($J$6),$J$6&gt;0),(C1086-$J$5)/$J$6,"")</x:f>
      </x:c>
      <x:c r="G1086" s="1" t="str">
        <x:f>IF(ISNUMBER(F1086),IF(ABS(F1086)&gt;3,1,0),"")</x:f>
      </x:c>
      <x:c r="H1086" s="1" t="str">
        <x:f>IF(ISNUMBER(F1086),F1086^4,"")</x:f>
      </x:c>
      <x:c r="I1086" s="1"/>
      <x:c r="J1086" s="1"/>
      <x:c r="K1086" s="1"/>
      <x:c r="L1086" s="1"/>
      <x:c r="M1086" s="1"/>
      <x:c r="N1086" s="1"/>
    </x:row>
    <x:row r="1087" ht="22" customHeight="1">
      <x:c r="A1087" s="14"/>
      <x:c r="B1087" s="15"/>
      <x:c r="C1087" s="16" t="str">
        <x:f>IF(AND(ISNUMBER(B1087),ISNUMBER(B1086),B1087&gt;0,B1086&gt;0),LN(B1087/B1086),"")</x:f>
      </x:c>
      <x:c r="D1087" s="16" t="str">
        <x:f>IF(ISNUMBER(C1087),ABS(C1087),"")</x:f>
      </x:c>
      <x:c r="E1087" s="16" t="str">
        <x:f>IF(ISNUMBER(C1087),C1087^2,"")</x:f>
      </x:c>
      <x:c r="F1087" s="16" t="str">
        <x:f>IF(AND(ISNUMBER(C1087),ISNUMBER($J$6),$J$6&gt;0),(C1087-$J$5)/$J$6,"")</x:f>
      </x:c>
      <x:c r="G1087" s="1" t="str">
        <x:f>IF(ISNUMBER(F1087),IF(ABS(F1087)&gt;3,1,0),"")</x:f>
      </x:c>
      <x:c r="H1087" s="1" t="str">
        <x:f>IF(ISNUMBER(F1087),F1087^4,"")</x:f>
      </x:c>
      <x:c r="I1087" s="1"/>
      <x:c r="J1087" s="1"/>
      <x:c r="K1087" s="1"/>
      <x:c r="L1087" s="1"/>
      <x:c r="M1087" s="1"/>
      <x:c r="N1087" s="1"/>
    </x:row>
    <x:row r="1088" ht="22" customHeight="1">
      <x:c r="A1088" s="14"/>
      <x:c r="B1088" s="15"/>
      <x:c r="C1088" s="16" t="str">
        <x:f>IF(AND(ISNUMBER(B1088),ISNUMBER(B1087),B1088&gt;0,B1087&gt;0),LN(B1088/B1087),"")</x:f>
      </x:c>
      <x:c r="D1088" s="16" t="str">
        <x:f>IF(ISNUMBER(C1088),ABS(C1088),"")</x:f>
      </x:c>
      <x:c r="E1088" s="16" t="str">
        <x:f>IF(ISNUMBER(C1088),C1088^2,"")</x:f>
      </x:c>
      <x:c r="F1088" s="16" t="str">
        <x:f>IF(AND(ISNUMBER(C1088),ISNUMBER($J$6),$J$6&gt;0),(C1088-$J$5)/$J$6,"")</x:f>
      </x:c>
      <x:c r="G1088" s="1" t="str">
        <x:f>IF(ISNUMBER(F1088),IF(ABS(F1088)&gt;3,1,0),"")</x:f>
      </x:c>
      <x:c r="H1088" s="1" t="str">
        <x:f>IF(ISNUMBER(F1088),F1088^4,"")</x:f>
      </x:c>
      <x:c r="I1088" s="1"/>
      <x:c r="J1088" s="1"/>
      <x:c r="K1088" s="1"/>
      <x:c r="L1088" s="1"/>
      <x:c r="M1088" s="1"/>
      <x:c r="N1088" s="1"/>
    </x:row>
    <x:row r="1089" ht="22" customHeight="1">
      <x:c r="A1089" s="14"/>
      <x:c r="B1089" s="15"/>
      <x:c r="C1089" s="16" t="str">
        <x:f>IF(AND(ISNUMBER(B1089),ISNUMBER(B1088),B1089&gt;0,B1088&gt;0),LN(B1089/B1088),"")</x:f>
      </x:c>
      <x:c r="D1089" s="16" t="str">
        <x:f>IF(ISNUMBER(C1089),ABS(C1089),"")</x:f>
      </x:c>
      <x:c r="E1089" s="16" t="str">
        <x:f>IF(ISNUMBER(C1089),C1089^2,"")</x:f>
      </x:c>
      <x:c r="F1089" s="16" t="str">
        <x:f>IF(AND(ISNUMBER(C1089),ISNUMBER($J$6),$J$6&gt;0),(C1089-$J$5)/$J$6,"")</x:f>
      </x:c>
      <x:c r="G1089" s="1" t="str">
        <x:f>IF(ISNUMBER(F1089),IF(ABS(F1089)&gt;3,1,0),"")</x:f>
      </x:c>
      <x:c r="H1089" s="1" t="str">
        <x:f>IF(ISNUMBER(F1089),F1089^4,"")</x:f>
      </x:c>
      <x:c r="I1089" s="1"/>
      <x:c r="J1089" s="1"/>
      <x:c r="K1089" s="1"/>
      <x:c r="L1089" s="1"/>
      <x:c r="M1089" s="1"/>
      <x:c r="N1089" s="1"/>
    </x:row>
    <x:row r="1090" ht="22" customHeight="1">
      <x:c r="A1090" s="14"/>
      <x:c r="B1090" s="15"/>
      <x:c r="C1090" s="16" t="str">
        <x:f>IF(AND(ISNUMBER(B1090),ISNUMBER(B1089),B1090&gt;0,B1089&gt;0),LN(B1090/B1089),"")</x:f>
      </x:c>
      <x:c r="D1090" s="16" t="str">
        <x:f>IF(ISNUMBER(C1090),ABS(C1090),"")</x:f>
      </x:c>
      <x:c r="E1090" s="16" t="str">
        <x:f>IF(ISNUMBER(C1090),C1090^2,"")</x:f>
      </x:c>
      <x:c r="F1090" s="16" t="str">
        <x:f>IF(AND(ISNUMBER(C1090),ISNUMBER($J$6),$J$6&gt;0),(C1090-$J$5)/$J$6,"")</x:f>
      </x:c>
      <x:c r="G1090" s="1" t="str">
        <x:f>IF(ISNUMBER(F1090),IF(ABS(F1090)&gt;3,1,0),"")</x:f>
      </x:c>
      <x:c r="H1090" s="1" t="str">
        <x:f>IF(ISNUMBER(F1090),F1090^4,"")</x:f>
      </x:c>
      <x:c r="I1090" s="1"/>
      <x:c r="J1090" s="1"/>
      <x:c r="K1090" s="1"/>
      <x:c r="L1090" s="1"/>
      <x:c r="M1090" s="1"/>
      <x:c r="N1090" s="1"/>
    </x:row>
    <x:row r="1091" ht="22" customHeight="1">
      <x:c r="A1091" s="14"/>
      <x:c r="B1091" s="15"/>
      <x:c r="C1091" s="16" t="str">
        <x:f>IF(AND(ISNUMBER(B1091),ISNUMBER(B1090),B1091&gt;0,B1090&gt;0),LN(B1091/B1090),"")</x:f>
      </x:c>
      <x:c r="D1091" s="16" t="str">
        <x:f>IF(ISNUMBER(C1091),ABS(C1091),"")</x:f>
      </x:c>
      <x:c r="E1091" s="16" t="str">
        <x:f>IF(ISNUMBER(C1091),C1091^2,"")</x:f>
      </x:c>
      <x:c r="F1091" s="16" t="str">
        <x:f>IF(AND(ISNUMBER(C1091),ISNUMBER($J$6),$J$6&gt;0),(C1091-$J$5)/$J$6,"")</x:f>
      </x:c>
      <x:c r="G1091" s="1" t="str">
        <x:f>IF(ISNUMBER(F1091),IF(ABS(F1091)&gt;3,1,0),"")</x:f>
      </x:c>
      <x:c r="H1091" s="1" t="str">
        <x:f>IF(ISNUMBER(F1091),F1091^4,"")</x:f>
      </x:c>
      <x:c r="I1091" s="1"/>
      <x:c r="J1091" s="1"/>
      <x:c r="K1091" s="1"/>
      <x:c r="L1091" s="1"/>
      <x:c r="M1091" s="1"/>
      <x:c r="N1091" s="1"/>
    </x:row>
    <x:row r="1092" ht="22" customHeight="1">
      <x:c r="A1092" s="14"/>
      <x:c r="B1092" s="15"/>
      <x:c r="C1092" s="16" t="str">
        <x:f>IF(AND(ISNUMBER(B1092),ISNUMBER(B1091),B1092&gt;0,B1091&gt;0),LN(B1092/B1091),"")</x:f>
      </x:c>
      <x:c r="D1092" s="16" t="str">
        <x:f>IF(ISNUMBER(C1092),ABS(C1092),"")</x:f>
      </x:c>
      <x:c r="E1092" s="16" t="str">
        <x:f>IF(ISNUMBER(C1092),C1092^2,"")</x:f>
      </x:c>
      <x:c r="F1092" s="16" t="str">
        <x:f>IF(AND(ISNUMBER(C1092),ISNUMBER($J$6),$J$6&gt;0),(C1092-$J$5)/$J$6,"")</x:f>
      </x:c>
      <x:c r="G1092" s="1" t="str">
        <x:f>IF(ISNUMBER(F1092),IF(ABS(F1092)&gt;3,1,0),"")</x:f>
      </x:c>
      <x:c r="H1092" s="1" t="str">
        <x:f>IF(ISNUMBER(F1092),F1092^4,"")</x:f>
      </x:c>
      <x:c r="I1092" s="1"/>
      <x:c r="J1092" s="1"/>
      <x:c r="K1092" s="1"/>
      <x:c r="L1092" s="1"/>
      <x:c r="M1092" s="1"/>
      <x:c r="N1092" s="1"/>
    </x:row>
    <x:row r="1093" ht="22" customHeight="1">
      <x:c r="A1093" s="14"/>
      <x:c r="B1093" s="15"/>
      <x:c r="C1093" s="16" t="str">
        <x:f>IF(AND(ISNUMBER(B1093),ISNUMBER(B1092),B1093&gt;0,B1092&gt;0),LN(B1093/B1092),"")</x:f>
      </x:c>
      <x:c r="D1093" s="16" t="str">
        <x:f>IF(ISNUMBER(C1093),ABS(C1093),"")</x:f>
      </x:c>
      <x:c r="E1093" s="16" t="str">
        <x:f>IF(ISNUMBER(C1093),C1093^2,"")</x:f>
      </x:c>
      <x:c r="F1093" s="16" t="str">
        <x:f>IF(AND(ISNUMBER(C1093),ISNUMBER($J$6),$J$6&gt;0),(C1093-$J$5)/$J$6,"")</x:f>
      </x:c>
      <x:c r="G1093" s="1" t="str">
        <x:f>IF(ISNUMBER(F1093),IF(ABS(F1093)&gt;3,1,0),"")</x:f>
      </x:c>
      <x:c r="H1093" s="1" t="str">
        <x:f>IF(ISNUMBER(F1093),F1093^4,"")</x:f>
      </x:c>
      <x:c r="I1093" s="1"/>
      <x:c r="J1093" s="1"/>
      <x:c r="K1093" s="1"/>
      <x:c r="L1093" s="1"/>
      <x:c r="M1093" s="1"/>
      <x:c r="N1093" s="1"/>
    </x:row>
    <x:row r="1094" ht="22" customHeight="1">
      <x:c r="A1094" s="14"/>
      <x:c r="B1094" s="15"/>
      <x:c r="C1094" s="16" t="str">
        <x:f>IF(AND(ISNUMBER(B1094),ISNUMBER(B1093),B1094&gt;0,B1093&gt;0),LN(B1094/B1093),"")</x:f>
      </x:c>
      <x:c r="D1094" s="16" t="str">
        <x:f>IF(ISNUMBER(C1094),ABS(C1094),"")</x:f>
      </x:c>
      <x:c r="E1094" s="16" t="str">
        <x:f>IF(ISNUMBER(C1094),C1094^2,"")</x:f>
      </x:c>
      <x:c r="F1094" s="16" t="str">
        <x:f>IF(AND(ISNUMBER(C1094),ISNUMBER($J$6),$J$6&gt;0),(C1094-$J$5)/$J$6,"")</x:f>
      </x:c>
      <x:c r="G1094" s="1" t="str">
        <x:f>IF(ISNUMBER(F1094),IF(ABS(F1094)&gt;3,1,0),"")</x:f>
      </x:c>
      <x:c r="H1094" s="1" t="str">
        <x:f>IF(ISNUMBER(F1094),F1094^4,"")</x:f>
      </x:c>
      <x:c r="I1094" s="1"/>
      <x:c r="J1094" s="1"/>
      <x:c r="K1094" s="1"/>
      <x:c r="L1094" s="1"/>
      <x:c r="M1094" s="1"/>
      <x:c r="N1094" s="1"/>
    </x:row>
    <x:row r="1095" ht="22" customHeight="1">
      <x:c r="A1095" s="14"/>
      <x:c r="B1095" s="15"/>
      <x:c r="C1095" s="16" t="str">
        <x:f>IF(AND(ISNUMBER(B1095),ISNUMBER(B1094),B1095&gt;0,B1094&gt;0),LN(B1095/B1094),"")</x:f>
      </x:c>
      <x:c r="D1095" s="16" t="str">
        <x:f>IF(ISNUMBER(C1095),ABS(C1095),"")</x:f>
      </x:c>
      <x:c r="E1095" s="16" t="str">
        <x:f>IF(ISNUMBER(C1095),C1095^2,"")</x:f>
      </x:c>
      <x:c r="F1095" s="16" t="str">
        <x:f>IF(AND(ISNUMBER(C1095),ISNUMBER($J$6),$J$6&gt;0),(C1095-$J$5)/$J$6,"")</x:f>
      </x:c>
      <x:c r="G1095" s="1" t="str">
        <x:f>IF(ISNUMBER(F1095),IF(ABS(F1095)&gt;3,1,0),"")</x:f>
      </x:c>
      <x:c r="H1095" s="1" t="str">
        <x:f>IF(ISNUMBER(F1095),F1095^4,"")</x:f>
      </x:c>
      <x:c r="I1095" s="1"/>
      <x:c r="J1095" s="1"/>
      <x:c r="K1095" s="1"/>
      <x:c r="L1095" s="1"/>
      <x:c r="M1095" s="1"/>
      <x:c r="N1095" s="1"/>
    </x:row>
    <x:row r="1096" ht="22" customHeight="1">
      <x:c r="A1096" s="14"/>
      <x:c r="B1096" s="15"/>
      <x:c r="C1096" s="16" t="str">
        <x:f>IF(AND(ISNUMBER(B1096),ISNUMBER(B1095),B1096&gt;0,B1095&gt;0),LN(B1096/B1095),"")</x:f>
      </x:c>
      <x:c r="D1096" s="16" t="str">
        <x:f>IF(ISNUMBER(C1096),ABS(C1096),"")</x:f>
      </x:c>
      <x:c r="E1096" s="16" t="str">
        <x:f>IF(ISNUMBER(C1096),C1096^2,"")</x:f>
      </x:c>
      <x:c r="F1096" s="16" t="str">
        <x:f>IF(AND(ISNUMBER(C1096),ISNUMBER($J$6),$J$6&gt;0),(C1096-$J$5)/$J$6,"")</x:f>
      </x:c>
      <x:c r="G1096" s="1" t="str">
        <x:f>IF(ISNUMBER(F1096),IF(ABS(F1096)&gt;3,1,0),"")</x:f>
      </x:c>
      <x:c r="H1096" s="1" t="str">
        <x:f>IF(ISNUMBER(F1096),F1096^4,"")</x:f>
      </x:c>
      <x:c r="I1096" s="1"/>
      <x:c r="J1096" s="1"/>
      <x:c r="K1096" s="1"/>
      <x:c r="L1096" s="1"/>
      <x:c r="M1096" s="1"/>
      <x:c r="N1096" s="1"/>
    </x:row>
    <x:row r="1097" ht="22" customHeight="1">
      <x:c r="A1097" s="14"/>
      <x:c r="B1097" s="15"/>
      <x:c r="C1097" s="16" t="str">
        <x:f>IF(AND(ISNUMBER(B1097),ISNUMBER(B1096),B1097&gt;0,B1096&gt;0),LN(B1097/B1096),"")</x:f>
      </x:c>
      <x:c r="D1097" s="16" t="str">
        <x:f>IF(ISNUMBER(C1097),ABS(C1097),"")</x:f>
      </x:c>
      <x:c r="E1097" s="16" t="str">
        <x:f>IF(ISNUMBER(C1097),C1097^2,"")</x:f>
      </x:c>
      <x:c r="F1097" s="16" t="str">
        <x:f>IF(AND(ISNUMBER(C1097),ISNUMBER($J$6),$J$6&gt;0),(C1097-$J$5)/$J$6,"")</x:f>
      </x:c>
      <x:c r="G1097" s="1" t="str">
        <x:f>IF(ISNUMBER(F1097),IF(ABS(F1097)&gt;3,1,0),"")</x:f>
      </x:c>
      <x:c r="H1097" s="1" t="str">
        <x:f>IF(ISNUMBER(F1097),F1097^4,"")</x:f>
      </x:c>
      <x:c r="I1097" s="1"/>
      <x:c r="J1097" s="1"/>
      <x:c r="K1097" s="1"/>
      <x:c r="L1097" s="1"/>
      <x:c r="M1097" s="1"/>
      <x:c r="N1097" s="1"/>
    </x:row>
    <x:row r="1098" ht="22" customHeight="1">
      <x:c r="A1098" s="14"/>
      <x:c r="B1098" s="15"/>
      <x:c r="C1098" s="16" t="str">
        <x:f>IF(AND(ISNUMBER(B1098),ISNUMBER(B1097),B1098&gt;0,B1097&gt;0),LN(B1098/B1097),"")</x:f>
      </x:c>
      <x:c r="D1098" s="16" t="str">
        <x:f>IF(ISNUMBER(C1098),ABS(C1098),"")</x:f>
      </x:c>
      <x:c r="E1098" s="16" t="str">
        <x:f>IF(ISNUMBER(C1098),C1098^2,"")</x:f>
      </x:c>
      <x:c r="F1098" s="16" t="str">
        <x:f>IF(AND(ISNUMBER(C1098),ISNUMBER($J$6),$J$6&gt;0),(C1098-$J$5)/$J$6,"")</x:f>
      </x:c>
      <x:c r="G1098" s="1" t="str">
        <x:f>IF(ISNUMBER(F1098),IF(ABS(F1098)&gt;3,1,0),"")</x:f>
      </x:c>
      <x:c r="H1098" s="1" t="str">
        <x:f>IF(ISNUMBER(F1098),F1098^4,"")</x:f>
      </x:c>
      <x:c r="I1098" s="1"/>
      <x:c r="J1098" s="1"/>
      <x:c r="K1098" s="1"/>
      <x:c r="L1098" s="1"/>
      <x:c r="M1098" s="1"/>
      <x:c r="N1098" s="1"/>
    </x:row>
    <x:row r="1099" ht="22" customHeight="1">
      <x:c r="A1099" s="14"/>
      <x:c r="B1099" s="15"/>
      <x:c r="C1099" s="16" t="str">
        <x:f>IF(AND(ISNUMBER(B1099),ISNUMBER(B1098),B1099&gt;0,B1098&gt;0),LN(B1099/B1098),"")</x:f>
      </x:c>
      <x:c r="D1099" s="16" t="str">
        <x:f>IF(ISNUMBER(C1099),ABS(C1099),"")</x:f>
      </x:c>
      <x:c r="E1099" s="16" t="str">
        <x:f>IF(ISNUMBER(C1099),C1099^2,"")</x:f>
      </x:c>
      <x:c r="F1099" s="16" t="str">
        <x:f>IF(AND(ISNUMBER(C1099),ISNUMBER($J$6),$J$6&gt;0),(C1099-$J$5)/$J$6,"")</x:f>
      </x:c>
      <x:c r="G1099" s="1" t="str">
        <x:f>IF(ISNUMBER(F1099),IF(ABS(F1099)&gt;3,1,0),"")</x:f>
      </x:c>
      <x:c r="H1099" s="1" t="str">
        <x:f>IF(ISNUMBER(F1099),F1099^4,"")</x:f>
      </x:c>
      <x:c r="I1099" s="1"/>
      <x:c r="J1099" s="1"/>
      <x:c r="K1099" s="1"/>
      <x:c r="L1099" s="1"/>
      <x:c r="M1099" s="1"/>
      <x:c r="N1099" s="1"/>
    </x:row>
    <x:row r="1100" ht="22" customHeight="1">
      <x:c r="A1100" s="14"/>
      <x:c r="B1100" s="15"/>
      <x:c r="C1100" s="16" t="str">
        <x:f>IF(AND(ISNUMBER(B1100),ISNUMBER(B1099),B1100&gt;0,B1099&gt;0),LN(B1100/B1099),"")</x:f>
      </x:c>
      <x:c r="D1100" s="16" t="str">
        <x:f>IF(ISNUMBER(C1100),ABS(C1100),"")</x:f>
      </x:c>
      <x:c r="E1100" s="16" t="str">
        <x:f>IF(ISNUMBER(C1100),C1100^2,"")</x:f>
      </x:c>
      <x:c r="F1100" s="16" t="str">
        <x:f>IF(AND(ISNUMBER(C1100),ISNUMBER($J$6),$J$6&gt;0),(C1100-$J$5)/$J$6,"")</x:f>
      </x:c>
      <x:c r="G1100" s="1" t="str">
        <x:f>IF(ISNUMBER(F1100),IF(ABS(F1100)&gt;3,1,0),"")</x:f>
      </x:c>
      <x:c r="H1100" s="1" t="str">
        <x:f>IF(ISNUMBER(F1100),F1100^4,"")</x:f>
      </x:c>
      <x:c r="I1100" s="1"/>
      <x:c r="J1100" s="1"/>
      <x:c r="K1100" s="1"/>
      <x:c r="L1100" s="1"/>
      <x:c r="M1100" s="1"/>
      <x:c r="N1100" s="1"/>
    </x:row>
    <x:row r="1101" ht="22" customHeight="1">
      <x:c r="A1101" s="14"/>
      <x:c r="B1101" s="15"/>
      <x:c r="C1101" s="16" t="str">
        <x:f>IF(AND(ISNUMBER(B1101),ISNUMBER(B1100),B1101&gt;0,B1100&gt;0),LN(B1101/B1100),"")</x:f>
      </x:c>
      <x:c r="D1101" s="16" t="str">
        <x:f>IF(ISNUMBER(C1101),ABS(C1101),"")</x:f>
      </x:c>
      <x:c r="E1101" s="16" t="str">
        <x:f>IF(ISNUMBER(C1101),C1101^2,"")</x:f>
      </x:c>
      <x:c r="F1101" s="16" t="str">
        <x:f>IF(AND(ISNUMBER(C1101),ISNUMBER($J$6),$J$6&gt;0),(C1101-$J$5)/$J$6,"")</x:f>
      </x:c>
      <x:c r="G1101" s="1" t="str">
        <x:f>IF(ISNUMBER(F1101),IF(ABS(F1101)&gt;3,1,0),"")</x:f>
      </x:c>
      <x:c r="H1101" s="1" t="str">
        <x:f>IF(ISNUMBER(F1101),F1101^4,"")</x:f>
      </x:c>
      <x:c r="I1101" s="1"/>
      <x:c r="J1101" s="1"/>
      <x:c r="K1101" s="1"/>
      <x:c r="L1101" s="1"/>
      <x:c r="M1101" s="1"/>
      <x:c r="N1101" s="1"/>
    </x:row>
    <x:row r="1102" ht="22" customHeight="1">
      <x:c r="A1102" s="14"/>
      <x:c r="B1102" s="15"/>
      <x:c r="C1102" s="16" t="str">
        <x:f>IF(AND(ISNUMBER(B1102),ISNUMBER(B1101),B1102&gt;0,B1101&gt;0),LN(B1102/B1101),"")</x:f>
      </x:c>
      <x:c r="D1102" s="16" t="str">
        <x:f>IF(ISNUMBER(C1102),ABS(C1102),"")</x:f>
      </x:c>
      <x:c r="E1102" s="16" t="str">
        <x:f>IF(ISNUMBER(C1102),C1102^2,"")</x:f>
      </x:c>
      <x:c r="F1102" s="16" t="str">
        <x:f>IF(AND(ISNUMBER(C1102),ISNUMBER($J$6),$J$6&gt;0),(C1102-$J$5)/$J$6,"")</x:f>
      </x:c>
      <x:c r="G1102" s="1" t="str">
        <x:f>IF(ISNUMBER(F1102),IF(ABS(F1102)&gt;3,1,0),"")</x:f>
      </x:c>
      <x:c r="H1102" s="1" t="str">
        <x:f>IF(ISNUMBER(F1102),F1102^4,"")</x:f>
      </x:c>
      <x:c r="I1102" s="1"/>
      <x:c r="J1102" s="1"/>
      <x:c r="K1102" s="1"/>
      <x:c r="L1102" s="1"/>
      <x:c r="M1102" s="1"/>
      <x:c r="N1102" s="1"/>
    </x:row>
    <x:row r="1103" ht="22" customHeight="1">
      <x:c r="A1103" s="14"/>
      <x:c r="B1103" s="15"/>
      <x:c r="C1103" s="16" t="str">
        <x:f>IF(AND(ISNUMBER(B1103),ISNUMBER(B1102),B1103&gt;0,B1102&gt;0),LN(B1103/B1102),"")</x:f>
      </x:c>
      <x:c r="D1103" s="16" t="str">
        <x:f>IF(ISNUMBER(C1103),ABS(C1103),"")</x:f>
      </x:c>
      <x:c r="E1103" s="16" t="str">
        <x:f>IF(ISNUMBER(C1103),C1103^2,"")</x:f>
      </x:c>
      <x:c r="F1103" s="16" t="str">
        <x:f>IF(AND(ISNUMBER(C1103),ISNUMBER($J$6),$J$6&gt;0),(C1103-$J$5)/$J$6,"")</x:f>
      </x:c>
      <x:c r="G1103" s="1" t="str">
        <x:f>IF(ISNUMBER(F1103),IF(ABS(F1103)&gt;3,1,0),"")</x:f>
      </x:c>
      <x:c r="H1103" s="1" t="str">
        <x:f>IF(ISNUMBER(F1103),F1103^4,"")</x:f>
      </x:c>
      <x:c r="I1103" s="1"/>
      <x:c r="J1103" s="1"/>
      <x:c r="K1103" s="1"/>
      <x:c r="L1103" s="1"/>
      <x:c r="M1103" s="1"/>
      <x:c r="N1103" s="1"/>
    </x:row>
    <x:row r="1104" ht="22" customHeight="1">
      <x:c r="A1104" s="14"/>
      <x:c r="B1104" s="15"/>
      <x:c r="C1104" s="16" t="str">
        <x:f>IF(AND(ISNUMBER(B1104),ISNUMBER(B1103),B1104&gt;0,B1103&gt;0),LN(B1104/B1103),"")</x:f>
      </x:c>
      <x:c r="D1104" s="16" t="str">
        <x:f>IF(ISNUMBER(C1104),ABS(C1104),"")</x:f>
      </x:c>
      <x:c r="E1104" s="16" t="str">
        <x:f>IF(ISNUMBER(C1104),C1104^2,"")</x:f>
      </x:c>
      <x:c r="F1104" s="16" t="str">
        <x:f>IF(AND(ISNUMBER(C1104),ISNUMBER($J$6),$J$6&gt;0),(C1104-$J$5)/$J$6,"")</x:f>
      </x:c>
      <x:c r="G1104" s="1" t="str">
        <x:f>IF(ISNUMBER(F1104),IF(ABS(F1104)&gt;3,1,0),"")</x:f>
      </x:c>
      <x:c r="H1104" s="1" t="str">
        <x:f>IF(ISNUMBER(F1104),F1104^4,"")</x:f>
      </x:c>
      <x:c r="I1104" s="1"/>
      <x:c r="J1104" s="1"/>
      <x:c r="K1104" s="1"/>
      <x:c r="L1104" s="1"/>
      <x:c r="M1104" s="1"/>
      <x:c r="N1104" s="1"/>
    </x:row>
    <x:row r="1105" ht="22" customHeight="1">
      <x:c r="A1105" s="14"/>
      <x:c r="B1105" s="15"/>
      <x:c r="C1105" s="16" t="str">
        <x:f>IF(AND(ISNUMBER(B1105),ISNUMBER(B1104),B1105&gt;0,B1104&gt;0),LN(B1105/B1104),"")</x:f>
      </x:c>
      <x:c r="D1105" s="16" t="str">
        <x:f>IF(ISNUMBER(C1105),ABS(C1105),"")</x:f>
      </x:c>
      <x:c r="E1105" s="16" t="str">
        <x:f>IF(ISNUMBER(C1105),C1105^2,"")</x:f>
      </x:c>
      <x:c r="F1105" s="16" t="str">
        <x:f>IF(AND(ISNUMBER(C1105),ISNUMBER($J$6),$J$6&gt;0),(C1105-$J$5)/$J$6,"")</x:f>
      </x:c>
      <x:c r="G1105" s="1" t="str">
        <x:f>IF(ISNUMBER(F1105),IF(ABS(F1105)&gt;3,1,0),"")</x:f>
      </x:c>
      <x:c r="H1105" s="1" t="str">
        <x:f>IF(ISNUMBER(F1105),F1105^4,"")</x:f>
      </x:c>
      <x:c r="I1105" s="1"/>
      <x:c r="J1105" s="1"/>
      <x:c r="K1105" s="1"/>
      <x:c r="L1105" s="1"/>
      <x:c r="M1105" s="1"/>
      <x:c r="N1105" s="1"/>
    </x:row>
    <x:row r="1106" ht="22" customHeight="1">
      <x:c r="A1106" s="14"/>
      <x:c r="B1106" s="15"/>
      <x:c r="C1106" s="16" t="str">
        <x:f>IF(AND(ISNUMBER(B1106),ISNUMBER(B1105),B1106&gt;0,B1105&gt;0),LN(B1106/B1105),"")</x:f>
      </x:c>
      <x:c r="D1106" s="16" t="str">
        <x:f>IF(ISNUMBER(C1106),ABS(C1106),"")</x:f>
      </x:c>
      <x:c r="E1106" s="16" t="str">
        <x:f>IF(ISNUMBER(C1106),C1106^2,"")</x:f>
      </x:c>
      <x:c r="F1106" s="16" t="str">
        <x:f>IF(AND(ISNUMBER(C1106),ISNUMBER($J$6),$J$6&gt;0),(C1106-$J$5)/$J$6,"")</x:f>
      </x:c>
      <x:c r="G1106" s="1" t="str">
        <x:f>IF(ISNUMBER(F1106),IF(ABS(F1106)&gt;3,1,0),"")</x:f>
      </x:c>
      <x:c r="H1106" s="1" t="str">
        <x:f>IF(ISNUMBER(F1106),F1106^4,"")</x:f>
      </x:c>
      <x:c r="I1106" s="1"/>
      <x:c r="J1106" s="1"/>
      <x:c r="K1106" s="1"/>
      <x:c r="L1106" s="1"/>
      <x:c r="M1106" s="1"/>
      <x:c r="N1106" s="1"/>
    </x:row>
    <x:row r="1107" ht="22" customHeight="1">
      <x:c r="A1107" s="14"/>
      <x:c r="B1107" s="15"/>
      <x:c r="C1107" s="16" t="str">
        <x:f>IF(AND(ISNUMBER(B1107),ISNUMBER(B1106),B1107&gt;0,B1106&gt;0),LN(B1107/B1106),"")</x:f>
      </x:c>
      <x:c r="D1107" s="16" t="str">
        <x:f>IF(ISNUMBER(C1107),ABS(C1107),"")</x:f>
      </x:c>
      <x:c r="E1107" s="16" t="str">
        <x:f>IF(ISNUMBER(C1107),C1107^2,"")</x:f>
      </x:c>
      <x:c r="F1107" s="16" t="str">
        <x:f>IF(AND(ISNUMBER(C1107),ISNUMBER($J$6),$J$6&gt;0),(C1107-$J$5)/$J$6,"")</x:f>
      </x:c>
      <x:c r="G1107" s="1" t="str">
        <x:f>IF(ISNUMBER(F1107),IF(ABS(F1107)&gt;3,1,0),"")</x:f>
      </x:c>
      <x:c r="H1107" s="1" t="str">
        <x:f>IF(ISNUMBER(F1107),F1107^4,"")</x:f>
      </x:c>
      <x:c r="I1107" s="1"/>
      <x:c r="J1107" s="1"/>
      <x:c r="K1107" s="1"/>
      <x:c r="L1107" s="1"/>
      <x:c r="M1107" s="1"/>
      <x:c r="N1107" s="1"/>
    </x:row>
    <x:row r="1108" ht="22" customHeight="1">
      <x:c r="A1108" s="14"/>
      <x:c r="B1108" s="15"/>
      <x:c r="C1108" s="16" t="str">
        <x:f>IF(AND(ISNUMBER(B1108),ISNUMBER(B1107),B1108&gt;0,B1107&gt;0),LN(B1108/B1107),"")</x:f>
      </x:c>
      <x:c r="D1108" s="16" t="str">
        <x:f>IF(ISNUMBER(C1108),ABS(C1108),"")</x:f>
      </x:c>
      <x:c r="E1108" s="16" t="str">
        <x:f>IF(ISNUMBER(C1108),C1108^2,"")</x:f>
      </x:c>
      <x:c r="F1108" s="16" t="str">
        <x:f>IF(AND(ISNUMBER(C1108),ISNUMBER($J$6),$J$6&gt;0),(C1108-$J$5)/$J$6,"")</x:f>
      </x:c>
      <x:c r="G1108" s="1" t="str">
        <x:f>IF(ISNUMBER(F1108),IF(ABS(F1108)&gt;3,1,0),"")</x:f>
      </x:c>
      <x:c r="H1108" s="1" t="str">
        <x:f>IF(ISNUMBER(F1108),F1108^4,"")</x:f>
      </x:c>
      <x:c r="I1108" s="1"/>
      <x:c r="J1108" s="1"/>
      <x:c r="K1108" s="1"/>
      <x:c r="L1108" s="1"/>
      <x:c r="M1108" s="1"/>
      <x:c r="N1108" s="1"/>
    </x:row>
    <x:row r="1109" ht="22" customHeight="1">
      <x:c r="A1109" s="14"/>
      <x:c r="B1109" s="15"/>
      <x:c r="C1109" s="16" t="str">
        <x:f>IF(AND(ISNUMBER(B1109),ISNUMBER(B1108),B1109&gt;0,B1108&gt;0),LN(B1109/B1108),"")</x:f>
      </x:c>
      <x:c r="D1109" s="16" t="str">
        <x:f>IF(ISNUMBER(C1109),ABS(C1109),"")</x:f>
      </x:c>
      <x:c r="E1109" s="16" t="str">
        <x:f>IF(ISNUMBER(C1109),C1109^2,"")</x:f>
      </x:c>
      <x:c r="F1109" s="16" t="str">
        <x:f>IF(AND(ISNUMBER(C1109),ISNUMBER($J$6),$J$6&gt;0),(C1109-$J$5)/$J$6,"")</x:f>
      </x:c>
      <x:c r="G1109" s="1" t="str">
        <x:f>IF(ISNUMBER(F1109),IF(ABS(F1109)&gt;3,1,0),"")</x:f>
      </x:c>
      <x:c r="H1109" s="1" t="str">
        <x:f>IF(ISNUMBER(F1109),F1109^4,"")</x:f>
      </x:c>
      <x:c r="I1109" s="1"/>
      <x:c r="J1109" s="1"/>
      <x:c r="K1109" s="1"/>
      <x:c r="L1109" s="1"/>
      <x:c r="M1109" s="1"/>
      <x:c r="N1109" s="1"/>
    </x:row>
    <x:row r="1110" ht="22" customHeight="1">
      <x:c r="A1110" s="14"/>
      <x:c r="B1110" s="15"/>
      <x:c r="C1110" s="16" t="str">
        <x:f>IF(AND(ISNUMBER(B1110),ISNUMBER(B1109),B1110&gt;0,B1109&gt;0),LN(B1110/B1109),"")</x:f>
      </x:c>
      <x:c r="D1110" s="16" t="str">
        <x:f>IF(ISNUMBER(C1110),ABS(C1110),"")</x:f>
      </x:c>
      <x:c r="E1110" s="16" t="str">
        <x:f>IF(ISNUMBER(C1110),C1110^2,"")</x:f>
      </x:c>
      <x:c r="F1110" s="16" t="str">
        <x:f>IF(AND(ISNUMBER(C1110),ISNUMBER($J$6),$J$6&gt;0),(C1110-$J$5)/$J$6,"")</x:f>
      </x:c>
      <x:c r="G1110" s="1" t="str">
        <x:f>IF(ISNUMBER(F1110),IF(ABS(F1110)&gt;3,1,0),"")</x:f>
      </x:c>
      <x:c r="H1110" s="1" t="str">
        <x:f>IF(ISNUMBER(F1110),F1110^4,"")</x:f>
      </x:c>
      <x:c r="I1110" s="1"/>
      <x:c r="J1110" s="1"/>
      <x:c r="K1110" s="1"/>
      <x:c r="L1110" s="1"/>
      <x:c r="M1110" s="1"/>
      <x:c r="N1110" s="1"/>
    </x:row>
    <x:row r="1111" ht="22" customHeight="1">
      <x:c r="A1111" s="14"/>
      <x:c r="B1111" s="15"/>
      <x:c r="C1111" s="16" t="str">
        <x:f>IF(AND(ISNUMBER(B1111),ISNUMBER(B1110),B1111&gt;0,B1110&gt;0),LN(B1111/B1110),"")</x:f>
      </x:c>
      <x:c r="D1111" s="16" t="str">
        <x:f>IF(ISNUMBER(C1111),ABS(C1111),"")</x:f>
      </x:c>
      <x:c r="E1111" s="16" t="str">
        <x:f>IF(ISNUMBER(C1111),C1111^2,"")</x:f>
      </x:c>
      <x:c r="F1111" s="16" t="str">
        <x:f>IF(AND(ISNUMBER(C1111),ISNUMBER($J$6),$J$6&gt;0),(C1111-$J$5)/$J$6,"")</x:f>
      </x:c>
      <x:c r="G1111" s="1" t="str">
        <x:f>IF(ISNUMBER(F1111),IF(ABS(F1111)&gt;3,1,0),"")</x:f>
      </x:c>
      <x:c r="H1111" s="1" t="str">
        <x:f>IF(ISNUMBER(F1111),F1111^4,"")</x:f>
      </x:c>
      <x:c r="I1111" s="1"/>
      <x:c r="J1111" s="1"/>
      <x:c r="K1111" s="1"/>
      <x:c r="L1111" s="1"/>
      <x:c r="M1111" s="1"/>
      <x:c r="N1111" s="1"/>
    </x:row>
    <x:row r="1112" ht="22" customHeight="1">
      <x:c r="A1112" s="14"/>
      <x:c r="B1112" s="15"/>
      <x:c r="C1112" s="16" t="str">
        <x:f>IF(AND(ISNUMBER(B1112),ISNUMBER(B1111),B1112&gt;0,B1111&gt;0),LN(B1112/B1111),"")</x:f>
      </x:c>
      <x:c r="D1112" s="16" t="str">
        <x:f>IF(ISNUMBER(C1112),ABS(C1112),"")</x:f>
      </x:c>
      <x:c r="E1112" s="16" t="str">
        <x:f>IF(ISNUMBER(C1112),C1112^2,"")</x:f>
      </x:c>
      <x:c r="F1112" s="16" t="str">
        <x:f>IF(AND(ISNUMBER(C1112),ISNUMBER($J$6),$J$6&gt;0),(C1112-$J$5)/$J$6,"")</x:f>
      </x:c>
      <x:c r="G1112" s="1" t="str">
        <x:f>IF(ISNUMBER(F1112),IF(ABS(F1112)&gt;3,1,0),"")</x:f>
      </x:c>
      <x:c r="H1112" s="1" t="str">
        <x:f>IF(ISNUMBER(F1112),F1112^4,"")</x:f>
      </x:c>
      <x:c r="I1112" s="1"/>
      <x:c r="J1112" s="1"/>
      <x:c r="K1112" s="1"/>
      <x:c r="L1112" s="1"/>
      <x:c r="M1112" s="1"/>
      <x:c r="N1112" s="1"/>
    </x:row>
    <x:row r="1113" ht="22" customHeight="1">
      <x:c r="A1113" s="14"/>
      <x:c r="B1113" s="15"/>
      <x:c r="C1113" s="16" t="str">
        <x:f>IF(AND(ISNUMBER(B1113),ISNUMBER(B1112),B1113&gt;0,B1112&gt;0),LN(B1113/B1112),"")</x:f>
      </x:c>
      <x:c r="D1113" s="16" t="str">
        <x:f>IF(ISNUMBER(C1113),ABS(C1113),"")</x:f>
      </x:c>
      <x:c r="E1113" s="16" t="str">
        <x:f>IF(ISNUMBER(C1113),C1113^2,"")</x:f>
      </x:c>
      <x:c r="F1113" s="16" t="str">
        <x:f>IF(AND(ISNUMBER(C1113),ISNUMBER($J$6),$J$6&gt;0),(C1113-$J$5)/$J$6,"")</x:f>
      </x:c>
      <x:c r="G1113" s="1" t="str">
        <x:f>IF(ISNUMBER(F1113),IF(ABS(F1113)&gt;3,1,0),"")</x:f>
      </x:c>
      <x:c r="H1113" s="1" t="str">
        <x:f>IF(ISNUMBER(F1113),F1113^4,"")</x:f>
      </x:c>
      <x:c r="I1113" s="1"/>
      <x:c r="J1113" s="1"/>
      <x:c r="K1113" s="1"/>
      <x:c r="L1113" s="1"/>
      <x:c r="M1113" s="1"/>
      <x:c r="N1113" s="1"/>
    </x:row>
    <x:row r="1114" ht="22" customHeight="1">
      <x:c r="A1114" s="14"/>
      <x:c r="B1114" s="15"/>
      <x:c r="C1114" s="16" t="str">
        <x:f>IF(AND(ISNUMBER(B1114),ISNUMBER(B1113),B1114&gt;0,B1113&gt;0),LN(B1114/B1113),"")</x:f>
      </x:c>
      <x:c r="D1114" s="16" t="str">
        <x:f>IF(ISNUMBER(C1114),ABS(C1114),"")</x:f>
      </x:c>
      <x:c r="E1114" s="16" t="str">
        <x:f>IF(ISNUMBER(C1114),C1114^2,"")</x:f>
      </x:c>
      <x:c r="F1114" s="16" t="str">
        <x:f>IF(AND(ISNUMBER(C1114),ISNUMBER($J$6),$J$6&gt;0),(C1114-$J$5)/$J$6,"")</x:f>
      </x:c>
      <x:c r="G1114" s="1" t="str">
        <x:f>IF(ISNUMBER(F1114),IF(ABS(F1114)&gt;3,1,0),"")</x:f>
      </x:c>
      <x:c r="H1114" s="1" t="str">
        <x:f>IF(ISNUMBER(F1114),F1114^4,"")</x:f>
      </x:c>
      <x:c r="I1114" s="1"/>
      <x:c r="J1114" s="1"/>
      <x:c r="K1114" s="1"/>
      <x:c r="L1114" s="1"/>
      <x:c r="M1114" s="1"/>
      <x:c r="N1114" s="1"/>
    </x:row>
    <x:row r="1115" ht="22" customHeight="1">
      <x:c r="A1115" s="14"/>
      <x:c r="B1115" s="15"/>
      <x:c r="C1115" s="16" t="str">
        <x:f>IF(AND(ISNUMBER(B1115),ISNUMBER(B1114),B1115&gt;0,B1114&gt;0),LN(B1115/B1114),"")</x:f>
      </x:c>
      <x:c r="D1115" s="16" t="str">
        <x:f>IF(ISNUMBER(C1115),ABS(C1115),"")</x:f>
      </x:c>
      <x:c r="E1115" s="16" t="str">
        <x:f>IF(ISNUMBER(C1115),C1115^2,"")</x:f>
      </x:c>
      <x:c r="F1115" s="16" t="str">
        <x:f>IF(AND(ISNUMBER(C1115),ISNUMBER($J$6),$J$6&gt;0),(C1115-$J$5)/$J$6,"")</x:f>
      </x:c>
      <x:c r="G1115" s="1" t="str">
        <x:f>IF(ISNUMBER(F1115),IF(ABS(F1115)&gt;3,1,0),"")</x:f>
      </x:c>
      <x:c r="H1115" s="1" t="str">
        <x:f>IF(ISNUMBER(F1115),F1115^4,"")</x:f>
      </x:c>
      <x:c r="I1115" s="1"/>
      <x:c r="J1115" s="1"/>
      <x:c r="K1115" s="1"/>
      <x:c r="L1115" s="1"/>
      <x:c r="M1115" s="1"/>
      <x:c r="N1115" s="1"/>
    </x:row>
    <x:row r="1116" ht="22" customHeight="1">
      <x:c r="A1116" s="14"/>
      <x:c r="B1116" s="15"/>
      <x:c r="C1116" s="16" t="str">
        <x:f>IF(AND(ISNUMBER(B1116),ISNUMBER(B1115),B1116&gt;0,B1115&gt;0),LN(B1116/B1115),"")</x:f>
      </x:c>
      <x:c r="D1116" s="16" t="str">
        <x:f>IF(ISNUMBER(C1116),ABS(C1116),"")</x:f>
      </x:c>
      <x:c r="E1116" s="16" t="str">
        <x:f>IF(ISNUMBER(C1116),C1116^2,"")</x:f>
      </x:c>
      <x:c r="F1116" s="16" t="str">
        <x:f>IF(AND(ISNUMBER(C1116),ISNUMBER($J$6),$J$6&gt;0),(C1116-$J$5)/$J$6,"")</x:f>
      </x:c>
      <x:c r="G1116" s="1" t="str">
        <x:f>IF(ISNUMBER(F1116),IF(ABS(F1116)&gt;3,1,0),"")</x:f>
      </x:c>
      <x:c r="H1116" s="1" t="str">
        <x:f>IF(ISNUMBER(F1116),F1116^4,"")</x:f>
      </x:c>
      <x:c r="I1116" s="1"/>
      <x:c r="J1116" s="1"/>
      <x:c r="K1116" s="1"/>
      <x:c r="L1116" s="1"/>
      <x:c r="M1116" s="1"/>
      <x:c r="N1116" s="1"/>
    </x:row>
    <x:row r="1117" ht="22" customHeight="1">
      <x:c r="A1117" s="14"/>
      <x:c r="B1117" s="15"/>
      <x:c r="C1117" s="16" t="str">
        <x:f>IF(AND(ISNUMBER(B1117),ISNUMBER(B1116),B1117&gt;0,B1116&gt;0),LN(B1117/B1116),"")</x:f>
      </x:c>
      <x:c r="D1117" s="16" t="str">
        <x:f>IF(ISNUMBER(C1117),ABS(C1117),"")</x:f>
      </x:c>
      <x:c r="E1117" s="16" t="str">
        <x:f>IF(ISNUMBER(C1117),C1117^2,"")</x:f>
      </x:c>
      <x:c r="F1117" s="16" t="str">
        <x:f>IF(AND(ISNUMBER(C1117),ISNUMBER($J$6),$J$6&gt;0),(C1117-$J$5)/$J$6,"")</x:f>
      </x:c>
      <x:c r="G1117" s="1" t="str">
        <x:f>IF(ISNUMBER(F1117),IF(ABS(F1117)&gt;3,1,0),"")</x:f>
      </x:c>
      <x:c r="H1117" s="1" t="str">
        <x:f>IF(ISNUMBER(F1117),F1117^4,"")</x:f>
      </x:c>
      <x:c r="I1117" s="1"/>
      <x:c r="J1117" s="1"/>
      <x:c r="K1117" s="1"/>
      <x:c r="L1117" s="1"/>
      <x:c r="M1117" s="1"/>
      <x:c r="N1117" s="1"/>
    </x:row>
    <x:row r="1118" ht="22" customHeight="1">
      <x:c r="A1118" s="14"/>
      <x:c r="B1118" s="15"/>
      <x:c r="C1118" s="16" t="str">
        <x:f>IF(AND(ISNUMBER(B1118),ISNUMBER(B1117),B1118&gt;0,B1117&gt;0),LN(B1118/B1117),"")</x:f>
      </x:c>
      <x:c r="D1118" s="16" t="str">
        <x:f>IF(ISNUMBER(C1118),ABS(C1118),"")</x:f>
      </x:c>
      <x:c r="E1118" s="16" t="str">
        <x:f>IF(ISNUMBER(C1118),C1118^2,"")</x:f>
      </x:c>
      <x:c r="F1118" s="16" t="str">
        <x:f>IF(AND(ISNUMBER(C1118),ISNUMBER($J$6),$J$6&gt;0),(C1118-$J$5)/$J$6,"")</x:f>
      </x:c>
      <x:c r="G1118" s="1" t="str">
        <x:f>IF(ISNUMBER(F1118),IF(ABS(F1118)&gt;3,1,0),"")</x:f>
      </x:c>
      <x:c r="H1118" s="1" t="str">
        <x:f>IF(ISNUMBER(F1118),F1118^4,"")</x:f>
      </x:c>
      <x:c r="I1118" s="1"/>
      <x:c r="J1118" s="1"/>
      <x:c r="K1118" s="1"/>
      <x:c r="L1118" s="1"/>
      <x:c r="M1118" s="1"/>
      <x:c r="N1118" s="1"/>
    </x:row>
    <x:row r="1119" ht="22" customHeight="1">
      <x:c r="A1119" s="14"/>
      <x:c r="B1119" s="15"/>
      <x:c r="C1119" s="16" t="str">
        <x:f>IF(AND(ISNUMBER(B1119),ISNUMBER(B1118),B1119&gt;0,B1118&gt;0),LN(B1119/B1118),"")</x:f>
      </x:c>
      <x:c r="D1119" s="16" t="str">
        <x:f>IF(ISNUMBER(C1119),ABS(C1119),"")</x:f>
      </x:c>
      <x:c r="E1119" s="16" t="str">
        <x:f>IF(ISNUMBER(C1119),C1119^2,"")</x:f>
      </x:c>
      <x:c r="F1119" s="16" t="str">
        <x:f>IF(AND(ISNUMBER(C1119),ISNUMBER($J$6),$J$6&gt;0),(C1119-$J$5)/$J$6,"")</x:f>
      </x:c>
      <x:c r="G1119" s="1" t="str">
        <x:f>IF(ISNUMBER(F1119),IF(ABS(F1119)&gt;3,1,0),"")</x:f>
      </x:c>
      <x:c r="H1119" s="1" t="str">
        <x:f>IF(ISNUMBER(F1119),F1119^4,"")</x:f>
      </x:c>
      <x:c r="I1119" s="1"/>
      <x:c r="J1119" s="1"/>
      <x:c r="K1119" s="1"/>
      <x:c r="L1119" s="1"/>
      <x:c r="M1119" s="1"/>
      <x:c r="N1119" s="1"/>
    </x:row>
    <x:row r="1120" ht="22" customHeight="1">
      <x:c r="A1120" s="14"/>
      <x:c r="B1120" s="15"/>
      <x:c r="C1120" s="16" t="str">
        <x:f>IF(AND(ISNUMBER(B1120),ISNUMBER(B1119),B1120&gt;0,B1119&gt;0),LN(B1120/B1119),"")</x:f>
      </x:c>
      <x:c r="D1120" s="16" t="str">
        <x:f>IF(ISNUMBER(C1120),ABS(C1120),"")</x:f>
      </x:c>
      <x:c r="E1120" s="16" t="str">
        <x:f>IF(ISNUMBER(C1120),C1120^2,"")</x:f>
      </x:c>
      <x:c r="F1120" s="16" t="str">
        <x:f>IF(AND(ISNUMBER(C1120),ISNUMBER($J$6),$J$6&gt;0),(C1120-$J$5)/$J$6,"")</x:f>
      </x:c>
      <x:c r="G1120" s="1" t="str">
        <x:f>IF(ISNUMBER(F1120),IF(ABS(F1120)&gt;3,1,0),"")</x:f>
      </x:c>
      <x:c r="H1120" s="1" t="str">
        <x:f>IF(ISNUMBER(F1120),F1120^4,"")</x:f>
      </x:c>
      <x:c r="I1120" s="1"/>
      <x:c r="J1120" s="1"/>
      <x:c r="K1120" s="1"/>
      <x:c r="L1120" s="1"/>
      <x:c r="M1120" s="1"/>
      <x:c r="N1120" s="1"/>
    </x:row>
    <x:row r="1121" ht="22" customHeight="1">
      <x:c r="A1121" s="14"/>
      <x:c r="B1121" s="15"/>
      <x:c r="C1121" s="16" t="str">
        <x:f>IF(AND(ISNUMBER(B1121),ISNUMBER(B1120),B1121&gt;0,B1120&gt;0),LN(B1121/B1120),"")</x:f>
      </x:c>
      <x:c r="D1121" s="16" t="str">
        <x:f>IF(ISNUMBER(C1121),ABS(C1121),"")</x:f>
      </x:c>
      <x:c r="E1121" s="16" t="str">
        <x:f>IF(ISNUMBER(C1121),C1121^2,"")</x:f>
      </x:c>
      <x:c r="F1121" s="16" t="str">
        <x:f>IF(AND(ISNUMBER(C1121),ISNUMBER($J$6),$J$6&gt;0),(C1121-$J$5)/$J$6,"")</x:f>
      </x:c>
      <x:c r="G1121" s="1" t="str">
        <x:f>IF(ISNUMBER(F1121),IF(ABS(F1121)&gt;3,1,0),"")</x:f>
      </x:c>
      <x:c r="H1121" s="1" t="str">
        <x:f>IF(ISNUMBER(F1121),F1121^4,"")</x:f>
      </x:c>
      <x:c r="I1121" s="1"/>
      <x:c r="J1121" s="1"/>
      <x:c r="K1121" s="1"/>
      <x:c r="L1121" s="1"/>
      <x:c r="M1121" s="1"/>
      <x:c r="N1121" s="1"/>
    </x:row>
    <x:row r="1122" ht="22" customHeight="1">
      <x:c r="A1122" s="14"/>
      <x:c r="B1122" s="15"/>
      <x:c r="C1122" s="16" t="str">
        <x:f>IF(AND(ISNUMBER(B1122),ISNUMBER(B1121),B1122&gt;0,B1121&gt;0),LN(B1122/B1121),"")</x:f>
      </x:c>
      <x:c r="D1122" s="16" t="str">
        <x:f>IF(ISNUMBER(C1122),ABS(C1122),"")</x:f>
      </x:c>
      <x:c r="E1122" s="16" t="str">
        <x:f>IF(ISNUMBER(C1122),C1122^2,"")</x:f>
      </x:c>
      <x:c r="F1122" s="16" t="str">
        <x:f>IF(AND(ISNUMBER(C1122),ISNUMBER($J$6),$J$6&gt;0),(C1122-$J$5)/$J$6,"")</x:f>
      </x:c>
      <x:c r="G1122" s="1" t="str">
        <x:f>IF(ISNUMBER(F1122),IF(ABS(F1122)&gt;3,1,0),"")</x:f>
      </x:c>
      <x:c r="H1122" s="1" t="str">
        <x:f>IF(ISNUMBER(F1122),F1122^4,"")</x:f>
      </x:c>
      <x:c r="I1122" s="1"/>
      <x:c r="J1122" s="1"/>
      <x:c r="K1122" s="1"/>
      <x:c r="L1122" s="1"/>
      <x:c r="M1122" s="1"/>
      <x:c r="N1122" s="1"/>
    </x:row>
    <x:row r="1123" ht="22" customHeight="1">
      <x:c r="A1123" s="14"/>
      <x:c r="B1123" s="15"/>
      <x:c r="C1123" s="16" t="str">
        <x:f>IF(AND(ISNUMBER(B1123),ISNUMBER(B1122),B1123&gt;0,B1122&gt;0),LN(B1123/B1122),"")</x:f>
      </x:c>
      <x:c r="D1123" s="16" t="str">
        <x:f>IF(ISNUMBER(C1123),ABS(C1123),"")</x:f>
      </x:c>
      <x:c r="E1123" s="16" t="str">
        <x:f>IF(ISNUMBER(C1123),C1123^2,"")</x:f>
      </x:c>
      <x:c r="F1123" s="16" t="str">
        <x:f>IF(AND(ISNUMBER(C1123),ISNUMBER($J$6),$J$6&gt;0),(C1123-$J$5)/$J$6,"")</x:f>
      </x:c>
      <x:c r="G1123" s="1" t="str">
        <x:f>IF(ISNUMBER(F1123),IF(ABS(F1123)&gt;3,1,0),"")</x:f>
      </x:c>
      <x:c r="H1123" s="1" t="str">
        <x:f>IF(ISNUMBER(F1123),F1123^4,"")</x:f>
      </x:c>
      <x:c r="I1123" s="1"/>
      <x:c r="J1123" s="1"/>
      <x:c r="K1123" s="1"/>
      <x:c r="L1123" s="1"/>
      <x:c r="M1123" s="1"/>
      <x:c r="N1123" s="1"/>
    </x:row>
    <x:row r="1124" ht="22" customHeight="1">
      <x:c r="A1124" s="14"/>
      <x:c r="B1124" s="15"/>
      <x:c r="C1124" s="16" t="str">
        <x:f>IF(AND(ISNUMBER(B1124),ISNUMBER(B1123),B1124&gt;0,B1123&gt;0),LN(B1124/B1123),"")</x:f>
      </x:c>
      <x:c r="D1124" s="16" t="str">
        <x:f>IF(ISNUMBER(C1124),ABS(C1124),"")</x:f>
      </x:c>
      <x:c r="E1124" s="16" t="str">
        <x:f>IF(ISNUMBER(C1124),C1124^2,"")</x:f>
      </x:c>
      <x:c r="F1124" s="16" t="str">
        <x:f>IF(AND(ISNUMBER(C1124),ISNUMBER($J$6),$J$6&gt;0),(C1124-$J$5)/$J$6,"")</x:f>
      </x:c>
      <x:c r="G1124" s="1" t="str">
        <x:f>IF(ISNUMBER(F1124),IF(ABS(F1124)&gt;3,1,0),"")</x:f>
      </x:c>
      <x:c r="H1124" s="1" t="str">
        <x:f>IF(ISNUMBER(F1124),F1124^4,"")</x:f>
      </x:c>
      <x:c r="I1124" s="1"/>
      <x:c r="J1124" s="1"/>
      <x:c r="K1124" s="1"/>
      <x:c r="L1124" s="1"/>
      <x:c r="M1124" s="1"/>
      <x:c r="N1124" s="1"/>
    </x:row>
    <x:row r="1125" ht="22" customHeight="1">
      <x:c r="A1125" s="14"/>
      <x:c r="B1125" s="15"/>
      <x:c r="C1125" s="16" t="str">
        <x:f>IF(AND(ISNUMBER(B1125),ISNUMBER(B1124),B1125&gt;0,B1124&gt;0),LN(B1125/B1124),"")</x:f>
      </x:c>
      <x:c r="D1125" s="16" t="str">
        <x:f>IF(ISNUMBER(C1125),ABS(C1125),"")</x:f>
      </x:c>
      <x:c r="E1125" s="16" t="str">
        <x:f>IF(ISNUMBER(C1125),C1125^2,"")</x:f>
      </x:c>
      <x:c r="F1125" s="16" t="str">
        <x:f>IF(AND(ISNUMBER(C1125),ISNUMBER($J$6),$J$6&gt;0),(C1125-$J$5)/$J$6,"")</x:f>
      </x:c>
      <x:c r="G1125" s="1" t="str">
        <x:f>IF(ISNUMBER(F1125),IF(ABS(F1125)&gt;3,1,0),"")</x:f>
      </x:c>
      <x:c r="H1125" s="1" t="str">
        <x:f>IF(ISNUMBER(F1125),F1125^4,"")</x:f>
      </x:c>
      <x:c r="I1125" s="1"/>
      <x:c r="J1125" s="1"/>
      <x:c r="K1125" s="1"/>
      <x:c r="L1125" s="1"/>
      <x:c r="M1125" s="1"/>
      <x:c r="N1125" s="1"/>
    </x:row>
    <x:row r="1126" ht="22" customHeight="1">
      <x:c r="A1126" s="14"/>
      <x:c r="B1126" s="15"/>
      <x:c r="C1126" s="16" t="str">
        <x:f>IF(AND(ISNUMBER(B1126),ISNUMBER(B1125),B1126&gt;0,B1125&gt;0),LN(B1126/B1125),"")</x:f>
      </x:c>
      <x:c r="D1126" s="16" t="str">
        <x:f>IF(ISNUMBER(C1126),ABS(C1126),"")</x:f>
      </x:c>
      <x:c r="E1126" s="16" t="str">
        <x:f>IF(ISNUMBER(C1126),C1126^2,"")</x:f>
      </x:c>
      <x:c r="F1126" s="16" t="str">
        <x:f>IF(AND(ISNUMBER(C1126),ISNUMBER($J$6),$J$6&gt;0),(C1126-$J$5)/$J$6,"")</x:f>
      </x:c>
      <x:c r="G1126" s="1" t="str">
        <x:f>IF(ISNUMBER(F1126),IF(ABS(F1126)&gt;3,1,0),"")</x:f>
      </x:c>
      <x:c r="H1126" s="1" t="str">
        <x:f>IF(ISNUMBER(F1126),F1126^4,"")</x:f>
      </x:c>
      <x:c r="I1126" s="1"/>
      <x:c r="J1126" s="1"/>
      <x:c r="K1126" s="1"/>
      <x:c r="L1126" s="1"/>
      <x:c r="M1126" s="1"/>
      <x:c r="N1126" s="1"/>
    </x:row>
    <x:row r="1127" ht="22" customHeight="1">
      <x:c r="A1127" s="14"/>
      <x:c r="B1127" s="15"/>
      <x:c r="C1127" s="16" t="str">
        <x:f>IF(AND(ISNUMBER(B1127),ISNUMBER(B1126),B1127&gt;0,B1126&gt;0),LN(B1127/B1126),"")</x:f>
      </x:c>
      <x:c r="D1127" s="16" t="str">
        <x:f>IF(ISNUMBER(C1127),ABS(C1127),"")</x:f>
      </x:c>
      <x:c r="E1127" s="16" t="str">
        <x:f>IF(ISNUMBER(C1127),C1127^2,"")</x:f>
      </x:c>
      <x:c r="F1127" s="16" t="str">
        <x:f>IF(AND(ISNUMBER(C1127),ISNUMBER($J$6),$J$6&gt;0),(C1127-$J$5)/$J$6,"")</x:f>
      </x:c>
      <x:c r="G1127" s="1" t="str">
        <x:f>IF(ISNUMBER(F1127),IF(ABS(F1127)&gt;3,1,0),"")</x:f>
      </x:c>
      <x:c r="H1127" s="1" t="str">
        <x:f>IF(ISNUMBER(F1127),F1127^4,"")</x:f>
      </x:c>
      <x:c r="I1127" s="1"/>
      <x:c r="J1127" s="1"/>
      <x:c r="K1127" s="1"/>
      <x:c r="L1127" s="1"/>
      <x:c r="M1127" s="1"/>
      <x:c r="N1127" s="1"/>
    </x:row>
    <x:row r="1128" ht="22" customHeight="1">
      <x:c r="A1128" s="14"/>
      <x:c r="B1128" s="15"/>
      <x:c r="C1128" s="16" t="str">
        <x:f>IF(AND(ISNUMBER(B1128),ISNUMBER(B1127),B1128&gt;0,B1127&gt;0),LN(B1128/B1127),"")</x:f>
      </x:c>
      <x:c r="D1128" s="16" t="str">
        <x:f>IF(ISNUMBER(C1128),ABS(C1128),"")</x:f>
      </x:c>
      <x:c r="E1128" s="16" t="str">
        <x:f>IF(ISNUMBER(C1128),C1128^2,"")</x:f>
      </x:c>
      <x:c r="F1128" s="16" t="str">
        <x:f>IF(AND(ISNUMBER(C1128),ISNUMBER($J$6),$J$6&gt;0),(C1128-$J$5)/$J$6,"")</x:f>
      </x:c>
      <x:c r="G1128" s="1" t="str">
        <x:f>IF(ISNUMBER(F1128),IF(ABS(F1128)&gt;3,1,0),"")</x:f>
      </x:c>
      <x:c r="H1128" s="1" t="str">
        <x:f>IF(ISNUMBER(F1128),F1128^4,"")</x:f>
      </x:c>
      <x:c r="I1128" s="1"/>
      <x:c r="J1128" s="1"/>
      <x:c r="K1128" s="1"/>
      <x:c r="L1128" s="1"/>
      <x:c r="M1128" s="1"/>
      <x:c r="N1128" s="1"/>
    </x:row>
    <x:row r="1129" ht="22" customHeight="1">
      <x:c r="A1129" s="14"/>
      <x:c r="B1129" s="15"/>
      <x:c r="C1129" s="16" t="str">
        <x:f>IF(AND(ISNUMBER(B1129),ISNUMBER(B1128),B1129&gt;0,B1128&gt;0),LN(B1129/B1128),"")</x:f>
      </x:c>
      <x:c r="D1129" s="16" t="str">
        <x:f>IF(ISNUMBER(C1129),ABS(C1129),"")</x:f>
      </x:c>
      <x:c r="E1129" s="16" t="str">
        <x:f>IF(ISNUMBER(C1129),C1129^2,"")</x:f>
      </x:c>
      <x:c r="F1129" s="16" t="str">
        <x:f>IF(AND(ISNUMBER(C1129),ISNUMBER($J$6),$J$6&gt;0),(C1129-$J$5)/$J$6,"")</x:f>
      </x:c>
      <x:c r="G1129" s="1" t="str">
        <x:f>IF(ISNUMBER(F1129),IF(ABS(F1129)&gt;3,1,0),"")</x:f>
      </x:c>
      <x:c r="H1129" s="1" t="str">
        <x:f>IF(ISNUMBER(F1129),F1129^4,"")</x:f>
      </x:c>
      <x:c r="I1129" s="1"/>
      <x:c r="J1129" s="1"/>
      <x:c r="K1129" s="1"/>
      <x:c r="L1129" s="1"/>
      <x:c r="M1129" s="1"/>
      <x:c r="N1129" s="1"/>
    </x:row>
    <x:row r="1130" ht="22" customHeight="1">
      <x:c r="A1130" s="14"/>
      <x:c r="B1130" s="15"/>
      <x:c r="C1130" s="16" t="str">
        <x:f>IF(AND(ISNUMBER(B1130),ISNUMBER(B1129),B1130&gt;0,B1129&gt;0),LN(B1130/B1129),"")</x:f>
      </x:c>
      <x:c r="D1130" s="16" t="str">
        <x:f>IF(ISNUMBER(C1130),ABS(C1130),"")</x:f>
      </x:c>
      <x:c r="E1130" s="16" t="str">
        <x:f>IF(ISNUMBER(C1130),C1130^2,"")</x:f>
      </x:c>
      <x:c r="F1130" s="16" t="str">
        <x:f>IF(AND(ISNUMBER(C1130),ISNUMBER($J$6),$J$6&gt;0),(C1130-$J$5)/$J$6,"")</x:f>
      </x:c>
      <x:c r="G1130" s="1" t="str">
        <x:f>IF(ISNUMBER(F1130),IF(ABS(F1130)&gt;3,1,0),"")</x:f>
      </x:c>
      <x:c r="H1130" s="1" t="str">
        <x:f>IF(ISNUMBER(F1130),F1130^4,"")</x:f>
      </x:c>
      <x:c r="I1130" s="1"/>
      <x:c r="J1130" s="1"/>
      <x:c r="K1130" s="1"/>
      <x:c r="L1130" s="1"/>
      <x:c r="M1130" s="1"/>
      <x:c r="N1130" s="1"/>
    </x:row>
    <x:row r="1131" ht="22" customHeight="1">
      <x:c r="A1131" s="14"/>
      <x:c r="B1131" s="15"/>
      <x:c r="C1131" s="16" t="str">
        <x:f>IF(AND(ISNUMBER(B1131),ISNUMBER(B1130),B1131&gt;0,B1130&gt;0),LN(B1131/B1130),"")</x:f>
      </x:c>
      <x:c r="D1131" s="16" t="str">
        <x:f>IF(ISNUMBER(C1131),ABS(C1131),"")</x:f>
      </x:c>
      <x:c r="E1131" s="16" t="str">
        <x:f>IF(ISNUMBER(C1131),C1131^2,"")</x:f>
      </x:c>
      <x:c r="F1131" s="16" t="str">
        <x:f>IF(AND(ISNUMBER(C1131),ISNUMBER($J$6),$J$6&gt;0),(C1131-$J$5)/$J$6,"")</x:f>
      </x:c>
      <x:c r="G1131" s="1" t="str">
        <x:f>IF(ISNUMBER(F1131),IF(ABS(F1131)&gt;3,1,0),"")</x:f>
      </x:c>
      <x:c r="H1131" s="1" t="str">
        <x:f>IF(ISNUMBER(F1131),F1131^4,"")</x:f>
      </x:c>
      <x:c r="I1131" s="1"/>
      <x:c r="J1131" s="1"/>
      <x:c r="K1131" s="1"/>
      <x:c r="L1131" s="1"/>
      <x:c r="M1131" s="1"/>
      <x:c r="N1131" s="1"/>
    </x:row>
    <x:row r="1132" ht="22" customHeight="1">
      <x:c r="A1132" s="14"/>
      <x:c r="B1132" s="15"/>
      <x:c r="C1132" s="16" t="str">
        <x:f>IF(AND(ISNUMBER(B1132),ISNUMBER(B1131),B1132&gt;0,B1131&gt;0),LN(B1132/B1131),"")</x:f>
      </x:c>
      <x:c r="D1132" s="16" t="str">
        <x:f>IF(ISNUMBER(C1132),ABS(C1132),"")</x:f>
      </x:c>
      <x:c r="E1132" s="16" t="str">
        <x:f>IF(ISNUMBER(C1132),C1132^2,"")</x:f>
      </x:c>
      <x:c r="F1132" s="16" t="str">
        <x:f>IF(AND(ISNUMBER(C1132),ISNUMBER($J$6),$J$6&gt;0),(C1132-$J$5)/$J$6,"")</x:f>
      </x:c>
      <x:c r="G1132" s="1" t="str">
        <x:f>IF(ISNUMBER(F1132),IF(ABS(F1132)&gt;3,1,0),"")</x:f>
      </x:c>
      <x:c r="H1132" s="1" t="str">
        <x:f>IF(ISNUMBER(F1132),F1132^4,"")</x:f>
      </x:c>
      <x:c r="I1132" s="1"/>
      <x:c r="J1132" s="1"/>
      <x:c r="K1132" s="1"/>
      <x:c r="L1132" s="1"/>
      <x:c r="M1132" s="1"/>
      <x:c r="N1132" s="1"/>
    </x:row>
    <x:row r="1133" ht="22" customHeight="1">
      <x:c r="A1133" s="14"/>
      <x:c r="B1133" s="15"/>
      <x:c r="C1133" s="16" t="str">
        <x:f>IF(AND(ISNUMBER(B1133),ISNUMBER(B1132),B1133&gt;0,B1132&gt;0),LN(B1133/B1132),"")</x:f>
      </x:c>
      <x:c r="D1133" s="16" t="str">
        <x:f>IF(ISNUMBER(C1133),ABS(C1133),"")</x:f>
      </x:c>
      <x:c r="E1133" s="16" t="str">
        <x:f>IF(ISNUMBER(C1133),C1133^2,"")</x:f>
      </x:c>
      <x:c r="F1133" s="16" t="str">
        <x:f>IF(AND(ISNUMBER(C1133),ISNUMBER($J$6),$J$6&gt;0),(C1133-$J$5)/$J$6,"")</x:f>
      </x:c>
      <x:c r="G1133" s="1" t="str">
        <x:f>IF(ISNUMBER(F1133),IF(ABS(F1133)&gt;3,1,0),"")</x:f>
      </x:c>
      <x:c r="H1133" s="1" t="str">
        <x:f>IF(ISNUMBER(F1133),F1133^4,"")</x:f>
      </x:c>
      <x:c r="I1133" s="1"/>
      <x:c r="J1133" s="1"/>
      <x:c r="K1133" s="1"/>
      <x:c r="L1133" s="1"/>
      <x:c r="M1133" s="1"/>
      <x:c r="N1133" s="1"/>
    </x:row>
    <x:row r="1134" ht="22" customHeight="1">
      <x:c r="A1134" s="14"/>
      <x:c r="B1134" s="15"/>
      <x:c r="C1134" s="16" t="str">
        <x:f>IF(AND(ISNUMBER(B1134),ISNUMBER(B1133),B1134&gt;0,B1133&gt;0),LN(B1134/B1133),"")</x:f>
      </x:c>
      <x:c r="D1134" s="16" t="str">
        <x:f>IF(ISNUMBER(C1134),ABS(C1134),"")</x:f>
      </x:c>
      <x:c r="E1134" s="16" t="str">
        <x:f>IF(ISNUMBER(C1134),C1134^2,"")</x:f>
      </x:c>
      <x:c r="F1134" s="16" t="str">
        <x:f>IF(AND(ISNUMBER(C1134),ISNUMBER($J$6),$J$6&gt;0),(C1134-$J$5)/$J$6,"")</x:f>
      </x:c>
      <x:c r="G1134" s="1" t="str">
        <x:f>IF(ISNUMBER(F1134),IF(ABS(F1134)&gt;3,1,0),"")</x:f>
      </x:c>
      <x:c r="H1134" s="1" t="str">
        <x:f>IF(ISNUMBER(F1134),F1134^4,"")</x:f>
      </x:c>
      <x:c r="I1134" s="1"/>
      <x:c r="J1134" s="1"/>
      <x:c r="K1134" s="1"/>
      <x:c r="L1134" s="1"/>
      <x:c r="M1134" s="1"/>
      <x:c r="N1134" s="1"/>
    </x:row>
    <x:row r="1135" ht="22" customHeight="1">
      <x:c r="A1135" s="14"/>
      <x:c r="B1135" s="15"/>
      <x:c r="C1135" s="16" t="str">
        <x:f>IF(AND(ISNUMBER(B1135),ISNUMBER(B1134),B1135&gt;0,B1134&gt;0),LN(B1135/B1134),"")</x:f>
      </x:c>
      <x:c r="D1135" s="16" t="str">
        <x:f>IF(ISNUMBER(C1135),ABS(C1135),"")</x:f>
      </x:c>
      <x:c r="E1135" s="16" t="str">
        <x:f>IF(ISNUMBER(C1135),C1135^2,"")</x:f>
      </x:c>
      <x:c r="F1135" s="16" t="str">
        <x:f>IF(AND(ISNUMBER(C1135),ISNUMBER($J$6),$J$6&gt;0),(C1135-$J$5)/$J$6,"")</x:f>
      </x:c>
      <x:c r="G1135" s="1" t="str">
        <x:f>IF(ISNUMBER(F1135),IF(ABS(F1135)&gt;3,1,0),"")</x:f>
      </x:c>
      <x:c r="H1135" s="1" t="str">
        <x:f>IF(ISNUMBER(F1135),F1135^4,"")</x:f>
      </x:c>
      <x:c r="I1135" s="1"/>
      <x:c r="J1135" s="1"/>
      <x:c r="K1135" s="1"/>
      <x:c r="L1135" s="1"/>
      <x:c r="M1135" s="1"/>
      <x:c r="N1135" s="1"/>
    </x:row>
    <x:row r="1136" ht="22" customHeight="1">
      <x:c r="A1136" s="14"/>
      <x:c r="B1136" s="15"/>
      <x:c r="C1136" s="16" t="str">
        <x:f>IF(AND(ISNUMBER(B1136),ISNUMBER(B1135),B1136&gt;0,B1135&gt;0),LN(B1136/B1135),"")</x:f>
      </x:c>
      <x:c r="D1136" s="16" t="str">
        <x:f>IF(ISNUMBER(C1136),ABS(C1136),"")</x:f>
      </x:c>
      <x:c r="E1136" s="16" t="str">
        <x:f>IF(ISNUMBER(C1136),C1136^2,"")</x:f>
      </x:c>
      <x:c r="F1136" s="16" t="str">
        <x:f>IF(AND(ISNUMBER(C1136),ISNUMBER($J$6),$J$6&gt;0),(C1136-$J$5)/$J$6,"")</x:f>
      </x:c>
      <x:c r="G1136" s="1" t="str">
        <x:f>IF(ISNUMBER(F1136),IF(ABS(F1136)&gt;3,1,0),"")</x:f>
      </x:c>
      <x:c r="H1136" s="1" t="str">
        <x:f>IF(ISNUMBER(F1136),F1136^4,"")</x:f>
      </x:c>
      <x:c r="I1136" s="1"/>
      <x:c r="J1136" s="1"/>
      <x:c r="K1136" s="1"/>
      <x:c r="L1136" s="1"/>
      <x:c r="M1136" s="1"/>
      <x:c r="N1136" s="1"/>
    </x:row>
    <x:row r="1137" ht="22" customHeight="1">
      <x:c r="A1137" s="14"/>
      <x:c r="B1137" s="15"/>
      <x:c r="C1137" s="16" t="str">
        <x:f>IF(AND(ISNUMBER(B1137),ISNUMBER(B1136),B1137&gt;0,B1136&gt;0),LN(B1137/B1136),"")</x:f>
      </x:c>
      <x:c r="D1137" s="16" t="str">
        <x:f>IF(ISNUMBER(C1137),ABS(C1137),"")</x:f>
      </x:c>
      <x:c r="E1137" s="16" t="str">
        <x:f>IF(ISNUMBER(C1137),C1137^2,"")</x:f>
      </x:c>
      <x:c r="F1137" s="16" t="str">
        <x:f>IF(AND(ISNUMBER(C1137),ISNUMBER($J$6),$J$6&gt;0),(C1137-$J$5)/$J$6,"")</x:f>
      </x:c>
      <x:c r="G1137" s="1" t="str">
        <x:f>IF(ISNUMBER(F1137),IF(ABS(F1137)&gt;3,1,0),"")</x:f>
      </x:c>
      <x:c r="H1137" s="1" t="str">
        <x:f>IF(ISNUMBER(F1137),F1137^4,"")</x:f>
      </x:c>
      <x:c r="I1137" s="1"/>
      <x:c r="J1137" s="1"/>
      <x:c r="K1137" s="1"/>
      <x:c r="L1137" s="1"/>
      <x:c r="M1137" s="1"/>
      <x:c r="N1137" s="1"/>
    </x:row>
    <x:row r="1138" ht="22" customHeight="1">
      <x:c r="A1138" s="14"/>
      <x:c r="B1138" s="15"/>
      <x:c r="C1138" s="16" t="str">
        <x:f>IF(AND(ISNUMBER(B1138),ISNUMBER(B1137),B1138&gt;0,B1137&gt;0),LN(B1138/B1137),"")</x:f>
      </x:c>
      <x:c r="D1138" s="16" t="str">
        <x:f>IF(ISNUMBER(C1138),ABS(C1138),"")</x:f>
      </x:c>
      <x:c r="E1138" s="16" t="str">
        <x:f>IF(ISNUMBER(C1138),C1138^2,"")</x:f>
      </x:c>
      <x:c r="F1138" s="16" t="str">
        <x:f>IF(AND(ISNUMBER(C1138),ISNUMBER($J$6),$J$6&gt;0),(C1138-$J$5)/$J$6,"")</x:f>
      </x:c>
      <x:c r="G1138" s="1" t="str">
        <x:f>IF(ISNUMBER(F1138),IF(ABS(F1138)&gt;3,1,0),"")</x:f>
      </x:c>
      <x:c r="H1138" s="1" t="str">
        <x:f>IF(ISNUMBER(F1138),F1138^4,"")</x:f>
      </x:c>
      <x:c r="I1138" s="1"/>
      <x:c r="J1138" s="1"/>
      <x:c r="K1138" s="1"/>
      <x:c r="L1138" s="1"/>
      <x:c r="M1138" s="1"/>
      <x:c r="N1138" s="1"/>
    </x:row>
    <x:row r="1139" ht="22" customHeight="1">
      <x:c r="A1139" s="14"/>
      <x:c r="B1139" s="15"/>
      <x:c r="C1139" s="16" t="str">
        <x:f>IF(AND(ISNUMBER(B1139),ISNUMBER(B1138),B1139&gt;0,B1138&gt;0),LN(B1139/B1138),"")</x:f>
      </x:c>
      <x:c r="D1139" s="16" t="str">
        <x:f>IF(ISNUMBER(C1139),ABS(C1139),"")</x:f>
      </x:c>
      <x:c r="E1139" s="16" t="str">
        <x:f>IF(ISNUMBER(C1139),C1139^2,"")</x:f>
      </x:c>
      <x:c r="F1139" s="16" t="str">
        <x:f>IF(AND(ISNUMBER(C1139),ISNUMBER($J$6),$J$6&gt;0),(C1139-$J$5)/$J$6,"")</x:f>
      </x:c>
      <x:c r="G1139" s="1" t="str">
        <x:f>IF(ISNUMBER(F1139),IF(ABS(F1139)&gt;3,1,0),"")</x:f>
      </x:c>
      <x:c r="H1139" s="1" t="str">
        <x:f>IF(ISNUMBER(F1139),F1139^4,"")</x:f>
      </x:c>
      <x:c r="I1139" s="1"/>
      <x:c r="J1139" s="1"/>
      <x:c r="K1139" s="1"/>
      <x:c r="L1139" s="1"/>
      <x:c r="M1139" s="1"/>
      <x:c r="N1139" s="1"/>
    </x:row>
    <x:row r="1140" ht="22" customHeight="1">
      <x:c r="A1140" s="14"/>
      <x:c r="B1140" s="15"/>
      <x:c r="C1140" s="16" t="str">
        <x:f>IF(AND(ISNUMBER(B1140),ISNUMBER(B1139),B1140&gt;0,B1139&gt;0),LN(B1140/B1139),"")</x:f>
      </x:c>
      <x:c r="D1140" s="16" t="str">
        <x:f>IF(ISNUMBER(C1140),ABS(C1140),"")</x:f>
      </x:c>
      <x:c r="E1140" s="16" t="str">
        <x:f>IF(ISNUMBER(C1140),C1140^2,"")</x:f>
      </x:c>
      <x:c r="F1140" s="16" t="str">
        <x:f>IF(AND(ISNUMBER(C1140),ISNUMBER($J$6),$J$6&gt;0),(C1140-$J$5)/$J$6,"")</x:f>
      </x:c>
      <x:c r="G1140" s="1" t="str">
        <x:f>IF(ISNUMBER(F1140),IF(ABS(F1140)&gt;3,1,0),"")</x:f>
      </x:c>
      <x:c r="H1140" s="1" t="str">
        <x:f>IF(ISNUMBER(F1140),F1140^4,"")</x:f>
      </x:c>
      <x:c r="I1140" s="1"/>
      <x:c r="J1140" s="1"/>
      <x:c r="K1140" s="1"/>
      <x:c r="L1140" s="1"/>
      <x:c r="M1140" s="1"/>
      <x:c r="N1140" s="1"/>
    </x:row>
    <x:row r="1141" ht="22" customHeight="1">
      <x:c r="A1141" s="14"/>
      <x:c r="B1141" s="15"/>
      <x:c r="C1141" s="16" t="str">
        <x:f>IF(AND(ISNUMBER(B1141),ISNUMBER(B1140),B1141&gt;0,B1140&gt;0),LN(B1141/B1140),"")</x:f>
      </x:c>
      <x:c r="D1141" s="16" t="str">
        <x:f>IF(ISNUMBER(C1141),ABS(C1141),"")</x:f>
      </x:c>
      <x:c r="E1141" s="16" t="str">
        <x:f>IF(ISNUMBER(C1141),C1141^2,"")</x:f>
      </x:c>
      <x:c r="F1141" s="16" t="str">
        <x:f>IF(AND(ISNUMBER(C1141),ISNUMBER($J$6),$J$6&gt;0),(C1141-$J$5)/$J$6,"")</x:f>
      </x:c>
      <x:c r="G1141" s="1" t="str">
        <x:f>IF(ISNUMBER(F1141),IF(ABS(F1141)&gt;3,1,0),"")</x:f>
      </x:c>
      <x:c r="H1141" s="1" t="str">
        <x:f>IF(ISNUMBER(F1141),F1141^4,"")</x:f>
      </x:c>
      <x:c r="I1141" s="1"/>
      <x:c r="J1141" s="1"/>
      <x:c r="K1141" s="1"/>
      <x:c r="L1141" s="1"/>
      <x:c r="M1141" s="1"/>
      <x:c r="N1141" s="1"/>
    </x:row>
    <x:row r="1142" ht="22" customHeight="1">
      <x:c r="A1142" s="14"/>
      <x:c r="B1142" s="15"/>
      <x:c r="C1142" s="16" t="str">
        <x:f>IF(AND(ISNUMBER(B1142),ISNUMBER(B1141),B1142&gt;0,B1141&gt;0),LN(B1142/B1141),"")</x:f>
      </x:c>
      <x:c r="D1142" s="16" t="str">
        <x:f>IF(ISNUMBER(C1142),ABS(C1142),"")</x:f>
      </x:c>
      <x:c r="E1142" s="16" t="str">
        <x:f>IF(ISNUMBER(C1142),C1142^2,"")</x:f>
      </x:c>
      <x:c r="F1142" s="16" t="str">
        <x:f>IF(AND(ISNUMBER(C1142),ISNUMBER($J$6),$J$6&gt;0),(C1142-$J$5)/$J$6,"")</x:f>
      </x:c>
      <x:c r="G1142" s="1" t="str">
        <x:f>IF(ISNUMBER(F1142),IF(ABS(F1142)&gt;3,1,0),"")</x:f>
      </x:c>
      <x:c r="H1142" s="1" t="str">
        <x:f>IF(ISNUMBER(F1142),F1142^4,"")</x:f>
      </x:c>
      <x:c r="I1142" s="1"/>
      <x:c r="J1142" s="1"/>
      <x:c r="K1142" s="1"/>
      <x:c r="L1142" s="1"/>
      <x:c r="M1142" s="1"/>
      <x:c r="N1142" s="1"/>
    </x:row>
    <x:row r="1143" ht="22" customHeight="1">
      <x:c r="A1143" s="14"/>
      <x:c r="B1143" s="15"/>
      <x:c r="C1143" s="16" t="str">
        <x:f>IF(AND(ISNUMBER(B1143),ISNUMBER(B1142),B1143&gt;0,B1142&gt;0),LN(B1143/B1142),"")</x:f>
      </x:c>
      <x:c r="D1143" s="16" t="str">
        <x:f>IF(ISNUMBER(C1143),ABS(C1143),"")</x:f>
      </x:c>
      <x:c r="E1143" s="16" t="str">
        <x:f>IF(ISNUMBER(C1143),C1143^2,"")</x:f>
      </x:c>
      <x:c r="F1143" s="16" t="str">
        <x:f>IF(AND(ISNUMBER(C1143),ISNUMBER($J$6),$J$6&gt;0),(C1143-$J$5)/$J$6,"")</x:f>
      </x:c>
      <x:c r="G1143" s="1" t="str">
        <x:f>IF(ISNUMBER(F1143),IF(ABS(F1143)&gt;3,1,0),"")</x:f>
      </x:c>
      <x:c r="H1143" s="1" t="str">
        <x:f>IF(ISNUMBER(F1143),F1143^4,"")</x:f>
      </x:c>
      <x:c r="I1143" s="1"/>
      <x:c r="J1143" s="1"/>
      <x:c r="K1143" s="1"/>
      <x:c r="L1143" s="1"/>
      <x:c r="M1143" s="1"/>
      <x:c r="N1143" s="1"/>
    </x:row>
    <x:row r="1144" ht="22" customHeight="1">
      <x:c r="A1144" s="14"/>
      <x:c r="B1144" s="15"/>
      <x:c r="C1144" s="16" t="str">
        <x:f>IF(AND(ISNUMBER(B1144),ISNUMBER(B1143),B1144&gt;0,B1143&gt;0),LN(B1144/B1143),"")</x:f>
      </x:c>
      <x:c r="D1144" s="16" t="str">
        <x:f>IF(ISNUMBER(C1144),ABS(C1144),"")</x:f>
      </x:c>
      <x:c r="E1144" s="16" t="str">
        <x:f>IF(ISNUMBER(C1144),C1144^2,"")</x:f>
      </x:c>
      <x:c r="F1144" s="16" t="str">
        <x:f>IF(AND(ISNUMBER(C1144),ISNUMBER($J$6),$J$6&gt;0),(C1144-$J$5)/$J$6,"")</x:f>
      </x:c>
      <x:c r="G1144" s="1" t="str">
        <x:f>IF(ISNUMBER(F1144),IF(ABS(F1144)&gt;3,1,0),"")</x:f>
      </x:c>
      <x:c r="H1144" s="1" t="str">
        <x:f>IF(ISNUMBER(F1144),F1144^4,"")</x:f>
      </x:c>
      <x:c r="I1144" s="1"/>
      <x:c r="J1144" s="1"/>
      <x:c r="K1144" s="1"/>
      <x:c r="L1144" s="1"/>
      <x:c r="M1144" s="1"/>
      <x:c r="N1144" s="1"/>
    </x:row>
    <x:row r="1145" ht="22" customHeight="1">
      <x:c r="A1145" s="14"/>
      <x:c r="B1145" s="15"/>
      <x:c r="C1145" s="16" t="str">
        <x:f>IF(AND(ISNUMBER(B1145),ISNUMBER(B1144),B1145&gt;0,B1144&gt;0),LN(B1145/B1144),"")</x:f>
      </x:c>
      <x:c r="D1145" s="16" t="str">
        <x:f>IF(ISNUMBER(C1145),ABS(C1145),"")</x:f>
      </x:c>
      <x:c r="E1145" s="16" t="str">
        <x:f>IF(ISNUMBER(C1145),C1145^2,"")</x:f>
      </x:c>
      <x:c r="F1145" s="16" t="str">
        <x:f>IF(AND(ISNUMBER(C1145),ISNUMBER($J$6),$J$6&gt;0),(C1145-$J$5)/$J$6,"")</x:f>
      </x:c>
      <x:c r="G1145" s="1" t="str">
        <x:f>IF(ISNUMBER(F1145),IF(ABS(F1145)&gt;3,1,0),"")</x:f>
      </x:c>
      <x:c r="H1145" s="1" t="str">
        <x:f>IF(ISNUMBER(F1145),F1145^4,"")</x:f>
      </x:c>
      <x:c r="I1145" s="1"/>
      <x:c r="J1145" s="1"/>
      <x:c r="K1145" s="1"/>
      <x:c r="L1145" s="1"/>
      <x:c r="M1145" s="1"/>
      <x:c r="N1145" s="1"/>
    </x:row>
    <x:row r="1146" ht="22" customHeight="1">
      <x:c r="A1146" s="14"/>
      <x:c r="B1146" s="15"/>
      <x:c r="C1146" s="16" t="str">
        <x:f>IF(AND(ISNUMBER(B1146),ISNUMBER(B1145),B1146&gt;0,B1145&gt;0),LN(B1146/B1145),"")</x:f>
      </x:c>
      <x:c r="D1146" s="16" t="str">
        <x:f>IF(ISNUMBER(C1146),ABS(C1146),"")</x:f>
      </x:c>
      <x:c r="E1146" s="16" t="str">
        <x:f>IF(ISNUMBER(C1146),C1146^2,"")</x:f>
      </x:c>
      <x:c r="F1146" s="16" t="str">
        <x:f>IF(AND(ISNUMBER(C1146),ISNUMBER($J$6),$J$6&gt;0),(C1146-$J$5)/$J$6,"")</x:f>
      </x:c>
      <x:c r="G1146" s="1" t="str">
        <x:f>IF(ISNUMBER(F1146),IF(ABS(F1146)&gt;3,1,0),"")</x:f>
      </x:c>
      <x:c r="H1146" s="1" t="str">
        <x:f>IF(ISNUMBER(F1146),F1146^4,"")</x:f>
      </x:c>
      <x:c r="I1146" s="1"/>
      <x:c r="J1146" s="1"/>
      <x:c r="K1146" s="1"/>
      <x:c r="L1146" s="1"/>
      <x:c r="M1146" s="1"/>
      <x:c r="N1146" s="1"/>
    </x:row>
    <x:row r="1147" ht="22" customHeight="1">
      <x:c r="A1147" s="14"/>
      <x:c r="B1147" s="15"/>
      <x:c r="C1147" s="16" t="str">
        <x:f>IF(AND(ISNUMBER(B1147),ISNUMBER(B1146),B1147&gt;0,B1146&gt;0),LN(B1147/B1146),"")</x:f>
      </x:c>
      <x:c r="D1147" s="16" t="str">
        <x:f>IF(ISNUMBER(C1147),ABS(C1147),"")</x:f>
      </x:c>
      <x:c r="E1147" s="16" t="str">
        <x:f>IF(ISNUMBER(C1147),C1147^2,"")</x:f>
      </x:c>
      <x:c r="F1147" s="16" t="str">
        <x:f>IF(AND(ISNUMBER(C1147),ISNUMBER($J$6),$J$6&gt;0),(C1147-$J$5)/$J$6,"")</x:f>
      </x:c>
      <x:c r="G1147" s="1" t="str">
        <x:f>IF(ISNUMBER(F1147),IF(ABS(F1147)&gt;3,1,0),"")</x:f>
      </x:c>
      <x:c r="H1147" s="1" t="str">
        <x:f>IF(ISNUMBER(F1147),F1147^4,"")</x:f>
      </x:c>
      <x:c r="I1147" s="1"/>
      <x:c r="J1147" s="1"/>
      <x:c r="K1147" s="1"/>
      <x:c r="L1147" s="1"/>
      <x:c r="M1147" s="1"/>
      <x:c r="N1147" s="1"/>
    </x:row>
    <x:row r="1148" ht="22" customHeight="1">
      <x:c r="A1148" s="14"/>
      <x:c r="B1148" s="15"/>
      <x:c r="C1148" s="16" t="str">
        <x:f>IF(AND(ISNUMBER(B1148),ISNUMBER(B1147),B1148&gt;0,B1147&gt;0),LN(B1148/B1147),"")</x:f>
      </x:c>
      <x:c r="D1148" s="16" t="str">
        <x:f>IF(ISNUMBER(C1148),ABS(C1148),"")</x:f>
      </x:c>
      <x:c r="E1148" s="16" t="str">
        <x:f>IF(ISNUMBER(C1148),C1148^2,"")</x:f>
      </x:c>
      <x:c r="F1148" s="16" t="str">
        <x:f>IF(AND(ISNUMBER(C1148),ISNUMBER($J$6),$J$6&gt;0),(C1148-$J$5)/$J$6,"")</x:f>
      </x:c>
      <x:c r="G1148" s="1" t="str">
        <x:f>IF(ISNUMBER(F1148),IF(ABS(F1148)&gt;3,1,0),"")</x:f>
      </x:c>
      <x:c r="H1148" s="1" t="str">
        <x:f>IF(ISNUMBER(F1148),F1148^4,"")</x:f>
      </x:c>
      <x:c r="I1148" s="1"/>
      <x:c r="J1148" s="1"/>
      <x:c r="K1148" s="1"/>
      <x:c r="L1148" s="1"/>
      <x:c r="M1148" s="1"/>
      <x:c r="N1148" s="1"/>
    </x:row>
    <x:row r="1149" ht="22" customHeight="1">
      <x:c r="A1149" s="14"/>
      <x:c r="B1149" s="15"/>
      <x:c r="C1149" s="16" t="str">
        <x:f>IF(AND(ISNUMBER(B1149),ISNUMBER(B1148),B1149&gt;0,B1148&gt;0),LN(B1149/B1148),"")</x:f>
      </x:c>
      <x:c r="D1149" s="16" t="str">
        <x:f>IF(ISNUMBER(C1149),ABS(C1149),"")</x:f>
      </x:c>
      <x:c r="E1149" s="16" t="str">
        <x:f>IF(ISNUMBER(C1149),C1149^2,"")</x:f>
      </x:c>
      <x:c r="F1149" s="16" t="str">
        <x:f>IF(AND(ISNUMBER(C1149),ISNUMBER($J$6),$J$6&gt;0),(C1149-$J$5)/$J$6,"")</x:f>
      </x:c>
      <x:c r="G1149" s="1" t="str">
        <x:f>IF(ISNUMBER(F1149),IF(ABS(F1149)&gt;3,1,0),"")</x:f>
      </x:c>
      <x:c r="H1149" s="1" t="str">
        <x:f>IF(ISNUMBER(F1149),F1149^4,"")</x:f>
      </x:c>
      <x:c r="I1149" s="1"/>
      <x:c r="J1149" s="1"/>
      <x:c r="K1149" s="1"/>
      <x:c r="L1149" s="1"/>
      <x:c r="M1149" s="1"/>
      <x:c r="N1149" s="1"/>
    </x:row>
    <x:row r="1150" ht="22" customHeight="1">
      <x:c r="A1150" s="14"/>
      <x:c r="B1150" s="15"/>
      <x:c r="C1150" s="16" t="str">
        <x:f>IF(AND(ISNUMBER(B1150),ISNUMBER(B1149),B1150&gt;0,B1149&gt;0),LN(B1150/B1149),"")</x:f>
      </x:c>
      <x:c r="D1150" s="16" t="str">
        <x:f>IF(ISNUMBER(C1150),ABS(C1150),"")</x:f>
      </x:c>
      <x:c r="E1150" s="16" t="str">
        <x:f>IF(ISNUMBER(C1150),C1150^2,"")</x:f>
      </x:c>
      <x:c r="F1150" s="16" t="str">
        <x:f>IF(AND(ISNUMBER(C1150),ISNUMBER($J$6),$J$6&gt;0),(C1150-$J$5)/$J$6,"")</x:f>
      </x:c>
      <x:c r="G1150" s="1" t="str">
        <x:f>IF(ISNUMBER(F1150),IF(ABS(F1150)&gt;3,1,0),"")</x:f>
      </x:c>
      <x:c r="H1150" s="1" t="str">
        <x:f>IF(ISNUMBER(F1150),F1150^4,"")</x:f>
      </x:c>
      <x:c r="I1150" s="1"/>
      <x:c r="J1150" s="1"/>
      <x:c r="K1150" s="1"/>
      <x:c r="L1150" s="1"/>
      <x:c r="M1150" s="1"/>
      <x:c r="N1150" s="1"/>
    </x:row>
    <x:row r="1151" ht="22" customHeight="1">
      <x:c r="A1151" s="14"/>
      <x:c r="B1151" s="15"/>
      <x:c r="C1151" s="16" t="str">
        <x:f>IF(AND(ISNUMBER(B1151),ISNUMBER(B1150),B1151&gt;0,B1150&gt;0),LN(B1151/B1150),"")</x:f>
      </x:c>
      <x:c r="D1151" s="16" t="str">
        <x:f>IF(ISNUMBER(C1151),ABS(C1151),"")</x:f>
      </x:c>
      <x:c r="E1151" s="16" t="str">
        <x:f>IF(ISNUMBER(C1151),C1151^2,"")</x:f>
      </x:c>
      <x:c r="F1151" s="16" t="str">
        <x:f>IF(AND(ISNUMBER(C1151),ISNUMBER($J$6),$J$6&gt;0),(C1151-$J$5)/$J$6,"")</x:f>
      </x:c>
      <x:c r="G1151" s="1" t="str">
        <x:f>IF(ISNUMBER(F1151),IF(ABS(F1151)&gt;3,1,0),"")</x:f>
      </x:c>
      <x:c r="H1151" s="1" t="str">
        <x:f>IF(ISNUMBER(F1151),F1151^4,"")</x:f>
      </x:c>
      <x:c r="I1151" s="1"/>
      <x:c r="J1151" s="1"/>
      <x:c r="K1151" s="1"/>
      <x:c r="L1151" s="1"/>
      <x:c r="M1151" s="1"/>
      <x:c r="N1151" s="1"/>
    </x:row>
    <x:row r="1152" ht="22" customHeight="1">
      <x:c r="A1152" s="14"/>
      <x:c r="B1152" s="15"/>
      <x:c r="C1152" s="16" t="str">
        <x:f>IF(AND(ISNUMBER(B1152),ISNUMBER(B1151),B1152&gt;0,B1151&gt;0),LN(B1152/B1151),"")</x:f>
      </x:c>
      <x:c r="D1152" s="16" t="str">
        <x:f>IF(ISNUMBER(C1152),ABS(C1152),"")</x:f>
      </x:c>
      <x:c r="E1152" s="16" t="str">
        <x:f>IF(ISNUMBER(C1152),C1152^2,"")</x:f>
      </x:c>
      <x:c r="F1152" s="16" t="str">
        <x:f>IF(AND(ISNUMBER(C1152),ISNUMBER($J$6),$J$6&gt;0),(C1152-$J$5)/$J$6,"")</x:f>
      </x:c>
      <x:c r="G1152" s="1" t="str">
        <x:f>IF(ISNUMBER(F1152),IF(ABS(F1152)&gt;3,1,0),"")</x:f>
      </x:c>
      <x:c r="H1152" s="1" t="str">
        <x:f>IF(ISNUMBER(F1152),F1152^4,"")</x:f>
      </x:c>
      <x:c r="I1152" s="1"/>
      <x:c r="J1152" s="1"/>
      <x:c r="K1152" s="1"/>
      <x:c r="L1152" s="1"/>
      <x:c r="M1152" s="1"/>
      <x:c r="N1152" s="1"/>
    </x:row>
    <x:row r="1153" ht="22" customHeight="1">
      <x:c r="A1153" s="14"/>
      <x:c r="B1153" s="15"/>
      <x:c r="C1153" s="16" t="str">
        <x:f>IF(AND(ISNUMBER(B1153),ISNUMBER(B1152),B1153&gt;0,B1152&gt;0),LN(B1153/B1152),"")</x:f>
      </x:c>
      <x:c r="D1153" s="16" t="str">
        <x:f>IF(ISNUMBER(C1153),ABS(C1153),"")</x:f>
      </x:c>
      <x:c r="E1153" s="16" t="str">
        <x:f>IF(ISNUMBER(C1153),C1153^2,"")</x:f>
      </x:c>
      <x:c r="F1153" s="16" t="str">
        <x:f>IF(AND(ISNUMBER(C1153),ISNUMBER($J$6),$J$6&gt;0),(C1153-$J$5)/$J$6,"")</x:f>
      </x:c>
      <x:c r="G1153" s="1" t="str">
        <x:f>IF(ISNUMBER(F1153),IF(ABS(F1153)&gt;3,1,0),"")</x:f>
      </x:c>
      <x:c r="H1153" s="1" t="str">
        <x:f>IF(ISNUMBER(F1153),F1153^4,"")</x:f>
      </x:c>
      <x:c r="I1153" s="1"/>
      <x:c r="J1153" s="1"/>
      <x:c r="K1153" s="1"/>
      <x:c r="L1153" s="1"/>
      <x:c r="M1153" s="1"/>
      <x:c r="N1153" s="1"/>
    </x:row>
    <x:row r="1154" ht="22" customHeight="1">
      <x:c r="A1154" s="14"/>
      <x:c r="B1154" s="15"/>
      <x:c r="C1154" s="16" t="str">
        <x:f>IF(AND(ISNUMBER(B1154),ISNUMBER(B1153),B1154&gt;0,B1153&gt;0),LN(B1154/B1153),"")</x:f>
      </x:c>
      <x:c r="D1154" s="16" t="str">
        <x:f>IF(ISNUMBER(C1154),ABS(C1154),"")</x:f>
      </x:c>
      <x:c r="E1154" s="16" t="str">
        <x:f>IF(ISNUMBER(C1154),C1154^2,"")</x:f>
      </x:c>
      <x:c r="F1154" s="16" t="str">
        <x:f>IF(AND(ISNUMBER(C1154),ISNUMBER($J$6),$J$6&gt;0),(C1154-$J$5)/$J$6,"")</x:f>
      </x:c>
      <x:c r="G1154" s="1" t="str">
        <x:f>IF(ISNUMBER(F1154),IF(ABS(F1154)&gt;3,1,0),"")</x:f>
      </x:c>
      <x:c r="H1154" s="1" t="str">
        <x:f>IF(ISNUMBER(F1154),F1154^4,"")</x:f>
      </x:c>
      <x:c r="I1154" s="1"/>
      <x:c r="J1154" s="1"/>
      <x:c r="K1154" s="1"/>
      <x:c r="L1154" s="1"/>
      <x:c r="M1154" s="1"/>
      <x:c r="N1154" s="1"/>
    </x:row>
    <x:row r="1155" ht="22" customHeight="1">
      <x:c r="A1155" s="14"/>
      <x:c r="B1155" s="15"/>
      <x:c r="C1155" s="16" t="str">
        <x:f>IF(AND(ISNUMBER(B1155),ISNUMBER(B1154),B1155&gt;0,B1154&gt;0),LN(B1155/B1154),"")</x:f>
      </x:c>
      <x:c r="D1155" s="16" t="str">
        <x:f>IF(ISNUMBER(C1155),ABS(C1155),"")</x:f>
      </x:c>
      <x:c r="E1155" s="16" t="str">
        <x:f>IF(ISNUMBER(C1155),C1155^2,"")</x:f>
      </x:c>
      <x:c r="F1155" s="16" t="str">
        <x:f>IF(AND(ISNUMBER(C1155),ISNUMBER($J$6),$J$6&gt;0),(C1155-$J$5)/$J$6,"")</x:f>
      </x:c>
      <x:c r="G1155" s="1" t="str">
        <x:f>IF(ISNUMBER(F1155),IF(ABS(F1155)&gt;3,1,0),"")</x:f>
      </x:c>
      <x:c r="H1155" s="1" t="str">
        <x:f>IF(ISNUMBER(F1155),F1155^4,"")</x:f>
      </x:c>
      <x:c r="I1155" s="1"/>
      <x:c r="J1155" s="1"/>
      <x:c r="K1155" s="1"/>
      <x:c r="L1155" s="1"/>
      <x:c r="M1155" s="1"/>
      <x:c r="N1155" s="1"/>
    </x:row>
    <x:row r="1156" ht="22" customHeight="1">
      <x:c r="A1156" s="14"/>
      <x:c r="B1156" s="15"/>
      <x:c r="C1156" s="16" t="str">
        <x:f>IF(AND(ISNUMBER(B1156),ISNUMBER(B1155),B1156&gt;0,B1155&gt;0),LN(B1156/B1155),"")</x:f>
      </x:c>
      <x:c r="D1156" s="16" t="str">
        <x:f>IF(ISNUMBER(C1156),ABS(C1156),"")</x:f>
      </x:c>
      <x:c r="E1156" s="16" t="str">
        <x:f>IF(ISNUMBER(C1156),C1156^2,"")</x:f>
      </x:c>
      <x:c r="F1156" s="16" t="str">
        <x:f>IF(AND(ISNUMBER(C1156),ISNUMBER($J$6),$J$6&gt;0),(C1156-$J$5)/$J$6,"")</x:f>
      </x:c>
      <x:c r="G1156" s="1" t="str">
        <x:f>IF(ISNUMBER(F1156),IF(ABS(F1156)&gt;3,1,0),"")</x:f>
      </x:c>
      <x:c r="H1156" s="1" t="str">
        <x:f>IF(ISNUMBER(F1156),F1156^4,"")</x:f>
      </x:c>
      <x:c r="I1156" s="1"/>
      <x:c r="J1156" s="1"/>
      <x:c r="K1156" s="1"/>
      <x:c r="L1156" s="1"/>
      <x:c r="M1156" s="1"/>
      <x:c r="N1156" s="1"/>
    </x:row>
    <x:row r="1157" ht="22" customHeight="1">
      <x:c r="A1157" s="14"/>
      <x:c r="B1157" s="15"/>
      <x:c r="C1157" s="16" t="str">
        <x:f>IF(AND(ISNUMBER(B1157),ISNUMBER(B1156),B1157&gt;0,B1156&gt;0),LN(B1157/B1156),"")</x:f>
      </x:c>
      <x:c r="D1157" s="16" t="str">
        <x:f>IF(ISNUMBER(C1157),ABS(C1157),"")</x:f>
      </x:c>
      <x:c r="E1157" s="16" t="str">
        <x:f>IF(ISNUMBER(C1157),C1157^2,"")</x:f>
      </x:c>
      <x:c r="F1157" s="16" t="str">
        <x:f>IF(AND(ISNUMBER(C1157),ISNUMBER($J$6),$J$6&gt;0),(C1157-$J$5)/$J$6,"")</x:f>
      </x:c>
      <x:c r="G1157" s="1" t="str">
        <x:f>IF(ISNUMBER(F1157),IF(ABS(F1157)&gt;3,1,0),"")</x:f>
      </x:c>
      <x:c r="H1157" s="1" t="str">
        <x:f>IF(ISNUMBER(F1157),F1157^4,"")</x:f>
      </x:c>
      <x:c r="I1157" s="1"/>
      <x:c r="J1157" s="1"/>
      <x:c r="K1157" s="1"/>
      <x:c r="L1157" s="1"/>
      <x:c r="M1157" s="1"/>
      <x:c r="N1157" s="1"/>
    </x:row>
    <x:row r="1158" ht="22" customHeight="1">
      <x:c r="A1158" s="14"/>
      <x:c r="B1158" s="15"/>
      <x:c r="C1158" s="16" t="str">
        <x:f>IF(AND(ISNUMBER(B1158),ISNUMBER(B1157),B1158&gt;0,B1157&gt;0),LN(B1158/B1157),"")</x:f>
      </x:c>
      <x:c r="D1158" s="16" t="str">
        <x:f>IF(ISNUMBER(C1158),ABS(C1158),"")</x:f>
      </x:c>
      <x:c r="E1158" s="16" t="str">
        <x:f>IF(ISNUMBER(C1158),C1158^2,"")</x:f>
      </x:c>
      <x:c r="F1158" s="16" t="str">
        <x:f>IF(AND(ISNUMBER(C1158),ISNUMBER($J$6),$J$6&gt;0),(C1158-$J$5)/$J$6,"")</x:f>
      </x:c>
      <x:c r="G1158" s="1" t="str">
        <x:f>IF(ISNUMBER(F1158),IF(ABS(F1158)&gt;3,1,0),"")</x:f>
      </x:c>
      <x:c r="H1158" s="1" t="str">
        <x:f>IF(ISNUMBER(F1158),F1158^4,"")</x:f>
      </x:c>
      <x:c r="I1158" s="1"/>
      <x:c r="J1158" s="1"/>
      <x:c r="K1158" s="1"/>
      <x:c r="L1158" s="1"/>
      <x:c r="M1158" s="1"/>
      <x:c r="N1158" s="1"/>
    </x:row>
    <x:row r="1159" ht="22" customHeight="1">
      <x:c r="A1159" s="14"/>
      <x:c r="B1159" s="15"/>
      <x:c r="C1159" s="16" t="str">
        <x:f>IF(AND(ISNUMBER(B1159),ISNUMBER(B1158),B1159&gt;0,B1158&gt;0),LN(B1159/B1158),"")</x:f>
      </x:c>
      <x:c r="D1159" s="16" t="str">
        <x:f>IF(ISNUMBER(C1159),ABS(C1159),"")</x:f>
      </x:c>
      <x:c r="E1159" s="16" t="str">
        <x:f>IF(ISNUMBER(C1159),C1159^2,"")</x:f>
      </x:c>
      <x:c r="F1159" s="16" t="str">
        <x:f>IF(AND(ISNUMBER(C1159),ISNUMBER($J$6),$J$6&gt;0),(C1159-$J$5)/$J$6,"")</x:f>
      </x:c>
      <x:c r="G1159" s="1" t="str">
        <x:f>IF(ISNUMBER(F1159),IF(ABS(F1159)&gt;3,1,0),"")</x:f>
      </x:c>
      <x:c r="H1159" s="1" t="str">
        <x:f>IF(ISNUMBER(F1159),F1159^4,"")</x:f>
      </x:c>
      <x:c r="I1159" s="1"/>
      <x:c r="J1159" s="1"/>
      <x:c r="K1159" s="1"/>
      <x:c r="L1159" s="1"/>
      <x:c r="M1159" s="1"/>
      <x:c r="N1159" s="1"/>
    </x:row>
    <x:row r="1160" ht="22" customHeight="1">
      <x:c r="A1160" s="14"/>
      <x:c r="B1160" s="15"/>
      <x:c r="C1160" s="16" t="str">
        <x:f>IF(AND(ISNUMBER(B1160),ISNUMBER(B1159),B1160&gt;0,B1159&gt;0),LN(B1160/B1159),"")</x:f>
      </x:c>
      <x:c r="D1160" s="16" t="str">
        <x:f>IF(ISNUMBER(C1160),ABS(C1160),"")</x:f>
      </x:c>
      <x:c r="E1160" s="16" t="str">
        <x:f>IF(ISNUMBER(C1160),C1160^2,"")</x:f>
      </x:c>
      <x:c r="F1160" s="16" t="str">
        <x:f>IF(AND(ISNUMBER(C1160),ISNUMBER($J$6),$J$6&gt;0),(C1160-$J$5)/$J$6,"")</x:f>
      </x:c>
      <x:c r="G1160" s="1" t="str">
        <x:f>IF(ISNUMBER(F1160),IF(ABS(F1160)&gt;3,1,0),"")</x:f>
      </x:c>
      <x:c r="H1160" s="1" t="str">
        <x:f>IF(ISNUMBER(F1160),F1160^4,"")</x:f>
      </x:c>
      <x:c r="I1160" s="1"/>
      <x:c r="J1160" s="1"/>
      <x:c r="K1160" s="1"/>
      <x:c r="L1160" s="1"/>
      <x:c r="M1160" s="1"/>
      <x:c r="N1160" s="1"/>
    </x:row>
    <x:row r="1161" ht="22" customHeight="1">
      <x:c r="A1161" s="14"/>
      <x:c r="B1161" s="15"/>
      <x:c r="C1161" s="16" t="str">
        <x:f>IF(AND(ISNUMBER(B1161),ISNUMBER(B1160),B1161&gt;0,B1160&gt;0),LN(B1161/B1160),"")</x:f>
      </x:c>
      <x:c r="D1161" s="16" t="str">
        <x:f>IF(ISNUMBER(C1161),ABS(C1161),"")</x:f>
      </x:c>
      <x:c r="E1161" s="16" t="str">
        <x:f>IF(ISNUMBER(C1161),C1161^2,"")</x:f>
      </x:c>
      <x:c r="F1161" s="16" t="str">
        <x:f>IF(AND(ISNUMBER(C1161),ISNUMBER($J$6),$J$6&gt;0),(C1161-$J$5)/$J$6,"")</x:f>
      </x:c>
      <x:c r="G1161" s="1" t="str">
        <x:f>IF(ISNUMBER(F1161),IF(ABS(F1161)&gt;3,1,0),"")</x:f>
      </x:c>
      <x:c r="H1161" s="1" t="str">
        <x:f>IF(ISNUMBER(F1161),F1161^4,"")</x:f>
      </x:c>
      <x:c r="I1161" s="1"/>
      <x:c r="J1161" s="1"/>
      <x:c r="K1161" s="1"/>
      <x:c r="L1161" s="1"/>
      <x:c r="M1161" s="1"/>
      <x:c r="N1161" s="1"/>
    </x:row>
    <x:row r="1162" ht="22" customHeight="1">
      <x:c r="A1162" s="14"/>
      <x:c r="B1162" s="15"/>
      <x:c r="C1162" s="16" t="str">
        <x:f>IF(AND(ISNUMBER(B1162),ISNUMBER(B1161),B1162&gt;0,B1161&gt;0),LN(B1162/B1161),"")</x:f>
      </x:c>
      <x:c r="D1162" s="16" t="str">
        <x:f>IF(ISNUMBER(C1162),ABS(C1162),"")</x:f>
      </x:c>
      <x:c r="E1162" s="16" t="str">
        <x:f>IF(ISNUMBER(C1162),C1162^2,"")</x:f>
      </x:c>
      <x:c r="F1162" s="16" t="str">
        <x:f>IF(AND(ISNUMBER(C1162),ISNUMBER($J$6),$J$6&gt;0),(C1162-$J$5)/$J$6,"")</x:f>
      </x:c>
      <x:c r="G1162" s="1" t="str">
        <x:f>IF(ISNUMBER(F1162),IF(ABS(F1162)&gt;3,1,0),"")</x:f>
      </x:c>
      <x:c r="H1162" s="1" t="str">
        <x:f>IF(ISNUMBER(F1162),F1162^4,"")</x:f>
      </x:c>
      <x:c r="I1162" s="1"/>
      <x:c r="J1162" s="1"/>
      <x:c r="K1162" s="1"/>
      <x:c r="L1162" s="1"/>
      <x:c r="M1162" s="1"/>
      <x:c r="N1162" s="1"/>
    </x:row>
    <x:row r="1163" ht="22" customHeight="1">
      <x:c r="A1163" s="14"/>
      <x:c r="B1163" s="15"/>
      <x:c r="C1163" s="16" t="str">
        <x:f>IF(AND(ISNUMBER(B1163),ISNUMBER(B1162),B1163&gt;0,B1162&gt;0),LN(B1163/B1162),"")</x:f>
      </x:c>
      <x:c r="D1163" s="16" t="str">
        <x:f>IF(ISNUMBER(C1163),ABS(C1163),"")</x:f>
      </x:c>
      <x:c r="E1163" s="16" t="str">
        <x:f>IF(ISNUMBER(C1163),C1163^2,"")</x:f>
      </x:c>
      <x:c r="F1163" s="16" t="str">
        <x:f>IF(AND(ISNUMBER(C1163),ISNUMBER($J$6),$J$6&gt;0),(C1163-$J$5)/$J$6,"")</x:f>
      </x:c>
      <x:c r="G1163" s="1" t="str">
        <x:f>IF(ISNUMBER(F1163),IF(ABS(F1163)&gt;3,1,0),"")</x:f>
      </x:c>
      <x:c r="H1163" s="1" t="str">
        <x:f>IF(ISNUMBER(F1163),F1163^4,"")</x:f>
      </x:c>
      <x:c r="I1163" s="1"/>
      <x:c r="J1163" s="1"/>
      <x:c r="K1163" s="1"/>
      <x:c r="L1163" s="1"/>
      <x:c r="M1163" s="1"/>
      <x:c r="N1163" s="1"/>
    </x:row>
    <x:row r="1164" ht="22" customHeight="1">
      <x:c r="A1164" s="14"/>
      <x:c r="B1164" s="15"/>
      <x:c r="C1164" s="16" t="str">
        <x:f>IF(AND(ISNUMBER(B1164),ISNUMBER(B1163),B1164&gt;0,B1163&gt;0),LN(B1164/B1163),"")</x:f>
      </x:c>
      <x:c r="D1164" s="16" t="str">
        <x:f>IF(ISNUMBER(C1164),ABS(C1164),"")</x:f>
      </x:c>
      <x:c r="E1164" s="16" t="str">
        <x:f>IF(ISNUMBER(C1164),C1164^2,"")</x:f>
      </x:c>
      <x:c r="F1164" s="16" t="str">
        <x:f>IF(AND(ISNUMBER(C1164),ISNUMBER($J$6),$J$6&gt;0),(C1164-$J$5)/$J$6,"")</x:f>
      </x:c>
      <x:c r="G1164" s="1" t="str">
        <x:f>IF(ISNUMBER(F1164),IF(ABS(F1164)&gt;3,1,0),"")</x:f>
      </x:c>
      <x:c r="H1164" s="1" t="str">
        <x:f>IF(ISNUMBER(F1164),F1164^4,"")</x:f>
      </x:c>
      <x:c r="I1164" s="1"/>
      <x:c r="J1164" s="1"/>
      <x:c r="K1164" s="1"/>
      <x:c r="L1164" s="1"/>
      <x:c r="M1164" s="1"/>
      <x:c r="N1164" s="1"/>
    </x:row>
    <x:row r="1165" ht="22" customHeight="1">
      <x:c r="A1165" s="14"/>
      <x:c r="B1165" s="15"/>
      <x:c r="C1165" s="16" t="str">
        <x:f>IF(AND(ISNUMBER(B1165),ISNUMBER(B1164),B1165&gt;0,B1164&gt;0),LN(B1165/B1164),"")</x:f>
      </x:c>
      <x:c r="D1165" s="16" t="str">
        <x:f>IF(ISNUMBER(C1165),ABS(C1165),"")</x:f>
      </x:c>
      <x:c r="E1165" s="16" t="str">
        <x:f>IF(ISNUMBER(C1165),C1165^2,"")</x:f>
      </x:c>
      <x:c r="F1165" s="16" t="str">
        <x:f>IF(AND(ISNUMBER(C1165),ISNUMBER($J$6),$J$6&gt;0),(C1165-$J$5)/$J$6,"")</x:f>
      </x:c>
      <x:c r="G1165" s="1" t="str">
        <x:f>IF(ISNUMBER(F1165),IF(ABS(F1165)&gt;3,1,0),"")</x:f>
      </x:c>
      <x:c r="H1165" s="1" t="str">
        <x:f>IF(ISNUMBER(F1165),F1165^4,"")</x:f>
      </x:c>
      <x:c r="I1165" s="1"/>
      <x:c r="J1165" s="1"/>
      <x:c r="K1165" s="1"/>
      <x:c r="L1165" s="1"/>
      <x:c r="M1165" s="1"/>
      <x:c r="N1165" s="1"/>
    </x:row>
    <x:row r="1166" ht="22" customHeight="1">
      <x:c r="A1166" s="14"/>
      <x:c r="B1166" s="15"/>
      <x:c r="C1166" s="16" t="str">
        <x:f>IF(AND(ISNUMBER(B1166),ISNUMBER(B1165),B1166&gt;0,B1165&gt;0),LN(B1166/B1165),"")</x:f>
      </x:c>
      <x:c r="D1166" s="16" t="str">
        <x:f>IF(ISNUMBER(C1166),ABS(C1166),"")</x:f>
      </x:c>
      <x:c r="E1166" s="16" t="str">
        <x:f>IF(ISNUMBER(C1166),C1166^2,"")</x:f>
      </x:c>
      <x:c r="F1166" s="16" t="str">
        <x:f>IF(AND(ISNUMBER(C1166),ISNUMBER($J$6),$J$6&gt;0),(C1166-$J$5)/$J$6,"")</x:f>
      </x:c>
      <x:c r="G1166" s="1" t="str">
        <x:f>IF(ISNUMBER(F1166),IF(ABS(F1166)&gt;3,1,0),"")</x:f>
      </x:c>
      <x:c r="H1166" s="1" t="str">
        <x:f>IF(ISNUMBER(F1166),F1166^4,"")</x:f>
      </x:c>
      <x:c r="I1166" s="1"/>
      <x:c r="J1166" s="1"/>
      <x:c r="K1166" s="1"/>
      <x:c r="L1166" s="1"/>
      <x:c r="M1166" s="1"/>
      <x:c r="N1166" s="1"/>
    </x:row>
    <x:row r="1167" ht="22" customHeight="1">
      <x:c r="A1167" s="14"/>
      <x:c r="B1167" s="15"/>
      <x:c r="C1167" s="16" t="str">
        <x:f>IF(AND(ISNUMBER(B1167),ISNUMBER(B1166),B1167&gt;0,B1166&gt;0),LN(B1167/B1166),"")</x:f>
      </x:c>
      <x:c r="D1167" s="16" t="str">
        <x:f>IF(ISNUMBER(C1167),ABS(C1167),"")</x:f>
      </x:c>
      <x:c r="E1167" s="16" t="str">
        <x:f>IF(ISNUMBER(C1167),C1167^2,"")</x:f>
      </x:c>
      <x:c r="F1167" s="16" t="str">
        <x:f>IF(AND(ISNUMBER(C1167),ISNUMBER($J$6),$J$6&gt;0),(C1167-$J$5)/$J$6,"")</x:f>
      </x:c>
      <x:c r="G1167" s="1" t="str">
        <x:f>IF(ISNUMBER(F1167),IF(ABS(F1167)&gt;3,1,0),"")</x:f>
      </x:c>
      <x:c r="H1167" s="1" t="str">
        <x:f>IF(ISNUMBER(F1167),F1167^4,"")</x:f>
      </x:c>
      <x:c r="I1167" s="1"/>
      <x:c r="J1167" s="1"/>
      <x:c r="K1167" s="1"/>
      <x:c r="L1167" s="1"/>
      <x:c r="M1167" s="1"/>
      <x:c r="N1167" s="1"/>
    </x:row>
    <x:row r="1168" ht="22" customHeight="1">
      <x:c r="A1168" s="14"/>
      <x:c r="B1168" s="15"/>
      <x:c r="C1168" s="16" t="str">
        <x:f>IF(AND(ISNUMBER(B1168),ISNUMBER(B1167),B1168&gt;0,B1167&gt;0),LN(B1168/B1167),"")</x:f>
      </x:c>
      <x:c r="D1168" s="16" t="str">
        <x:f>IF(ISNUMBER(C1168),ABS(C1168),"")</x:f>
      </x:c>
      <x:c r="E1168" s="16" t="str">
        <x:f>IF(ISNUMBER(C1168),C1168^2,"")</x:f>
      </x:c>
      <x:c r="F1168" s="16" t="str">
        <x:f>IF(AND(ISNUMBER(C1168),ISNUMBER($J$6),$J$6&gt;0),(C1168-$J$5)/$J$6,"")</x:f>
      </x:c>
      <x:c r="G1168" s="1" t="str">
        <x:f>IF(ISNUMBER(F1168),IF(ABS(F1168)&gt;3,1,0),"")</x:f>
      </x:c>
      <x:c r="H1168" s="1" t="str">
        <x:f>IF(ISNUMBER(F1168),F1168^4,"")</x:f>
      </x:c>
      <x:c r="I1168" s="1"/>
      <x:c r="J1168" s="1"/>
      <x:c r="K1168" s="1"/>
      <x:c r="L1168" s="1"/>
      <x:c r="M1168" s="1"/>
      <x:c r="N1168" s="1"/>
    </x:row>
    <x:row r="1169" ht="22" customHeight="1">
      <x:c r="A1169" s="14"/>
      <x:c r="B1169" s="15"/>
      <x:c r="C1169" s="16" t="str">
        <x:f>IF(AND(ISNUMBER(B1169),ISNUMBER(B1168),B1169&gt;0,B1168&gt;0),LN(B1169/B1168),"")</x:f>
      </x:c>
      <x:c r="D1169" s="16" t="str">
        <x:f>IF(ISNUMBER(C1169),ABS(C1169),"")</x:f>
      </x:c>
      <x:c r="E1169" s="16" t="str">
        <x:f>IF(ISNUMBER(C1169),C1169^2,"")</x:f>
      </x:c>
      <x:c r="F1169" s="16" t="str">
        <x:f>IF(AND(ISNUMBER(C1169),ISNUMBER($J$6),$J$6&gt;0),(C1169-$J$5)/$J$6,"")</x:f>
      </x:c>
      <x:c r="G1169" s="1" t="str">
        <x:f>IF(ISNUMBER(F1169),IF(ABS(F1169)&gt;3,1,0),"")</x:f>
      </x:c>
      <x:c r="H1169" s="1" t="str">
        <x:f>IF(ISNUMBER(F1169),F1169^4,"")</x:f>
      </x:c>
      <x:c r="I1169" s="1"/>
      <x:c r="J1169" s="1"/>
      <x:c r="K1169" s="1"/>
      <x:c r="L1169" s="1"/>
      <x:c r="M1169" s="1"/>
      <x:c r="N1169" s="1"/>
    </x:row>
    <x:row r="1170" ht="22" customHeight="1">
      <x:c r="A1170" s="14"/>
      <x:c r="B1170" s="15"/>
      <x:c r="C1170" s="16" t="str">
        <x:f>IF(AND(ISNUMBER(B1170),ISNUMBER(B1169),B1170&gt;0,B1169&gt;0),LN(B1170/B1169),"")</x:f>
      </x:c>
      <x:c r="D1170" s="16" t="str">
        <x:f>IF(ISNUMBER(C1170),ABS(C1170),"")</x:f>
      </x:c>
      <x:c r="E1170" s="16" t="str">
        <x:f>IF(ISNUMBER(C1170),C1170^2,"")</x:f>
      </x:c>
      <x:c r="F1170" s="16" t="str">
        <x:f>IF(AND(ISNUMBER(C1170),ISNUMBER($J$6),$J$6&gt;0),(C1170-$J$5)/$J$6,"")</x:f>
      </x:c>
      <x:c r="G1170" s="1" t="str">
        <x:f>IF(ISNUMBER(F1170),IF(ABS(F1170)&gt;3,1,0),"")</x:f>
      </x:c>
      <x:c r="H1170" s="1" t="str">
        <x:f>IF(ISNUMBER(F1170),F1170^4,"")</x:f>
      </x:c>
      <x:c r="I1170" s="1"/>
      <x:c r="J1170" s="1"/>
      <x:c r="K1170" s="1"/>
      <x:c r="L1170" s="1"/>
      <x:c r="M1170" s="1"/>
      <x:c r="N1170" s="1"/>
    </x:row>
    <x:row r="1171" ht="22" customHeight="1">
      <x:c r="A1171" s="14"/>
      <x:c r="B1171" s="15"/>
      <x:c r="C1171" s="16" t="str">
        <x:f>IF(AND(ISNUMBER(B1171),ISNUMBER(B1170),B1171&gt;0,B1170&gt;0),LN(B1171/B1170),"")</x:f>
      </x:c>
      <x:c r="D1171" s="16" t="str">
        <x:f>IF(ISNUMBER(C1171),ABS(C1171),"")</x:f>
      </x:c>
      <x:c r="E1171" s="16" t="str">
        <x:f>IF(ISNUMBER(C1171),C1171^2,"")</x:f>
      </x:c>
      <x:c r="F1171" s="16" t="str">
        <x:f>IF(AND(ISNUMBER(C1171),ISNUMBER($J$6),$J$6&gt;0),(C1171-$J$5)/$J$6,"")</x:f>
      </x:c>
      <x:c r="G1171" s="1" t="str">
        <x:f>IF(ISNUMBER(F1171),IF(ABS(F1171)&gt;3,1,0),"")</x:f>
      </x:c>
      <x:c r="H1171" s="1" t="str">
        <x:f>IF(ISNUMBER(F1171),F1171^4,"")</x:f>
      </x:c>
      <x:c r="I1171" s="1"/>
      <x:c r="J1171" s="1"/>
      <x:c r="K1171" s="1"/>
      <x:c r="L1171" s="1"/>
      <x:c r="M1171" s="1"/>
      <x:c r="N1171" s="1"/>
    </x:row>
    <x:row r="1172" ht="22" customHeight="1">
      <x:c r="A1172" s="14"/>
      <x:c r="B1172" s="15"/>
      <x:c r="C1172" s="16" t="str">
        <x:f>IF(AND(ISNUMBER(B1172),ISNUMBER(B1171),B1172&gt;0,B1171&gt;0),LN(B1172/B1171),"")</x:f>
      </x:c>
      <x:c r="D1172" s="16" t="str">
        <x:f>IF(ISNUMBER(C1172),ABS(C1172),"")</x:f>
      </x:c>
      <x:c r="E1172" s="16" t="str">
        <x:f>IF(ISNUMBER(C1172),C1172^2,"")</x:f>
      </x:c>
      <x:c r="F1172" s="16" t="str">
        <x:f>IF(AND(ISNUMBER(C1172),ISNUMBER($J$6),$J$6&gt;0),(C1172-$J$5)/$J$6,"")</x:f>
      </x:c>
      <x:c r="G1172" s="1" t="str">
        <x:f>IF(ISNUMBER(F1172),IF(ABS(F1172)&gt;3,1,0),"")</x:f>
      </x:c>
      <x:c r="H1172" s="1" t="str">
        <x:f>IF(ISNUMBER(F1172),F1172^4,"")</x:f>
      </x:c>
      <x:c r="I1172" s="1"/>
      <x:c r="J1172" s="1"/>
      <x:c r="K1172" s="1"/>
      <x:c r="L1172" s="1"/>
      <x:c r="M1172" s="1"/>
      <x:c r="N1172" s="1"/>
    </x:row>
    <x:row r="1173" ht="22" customHeight="1">
      <x:c r="A1173" s="14"/>
      <x:c r="B1173" s="15"/>
      <x:c r="C1173" s="16" t="str">
        <x:f>IF(AND(ISNUMBER(B1173),ISNUMBER(B1172),B1173&gt;0,B1172&gt;0),LN(B1173/B1172),"")</x:f>
      </x:c>
      <x:c r="D1173" s="16" t="str">
        <x:f>IF(ISNUMBER(C1173),ABS(C1173),"")</x:f>
      </x:c>
      <x:c r="E1173" s="16" t="str">
        <x:f>IF(ISNUMBER(C1173),C1173^2,"")</x:f>
      </x:c>
      <x:c r="F1173" s="16" t="str">
        <x:f>IF(AND(ISNUMBER(C1173),ISNUMBER($J$6),$J$6&gt;0),(C1173-$J$5)/$J$6,"")</x:f>
      </x:c>
      <x:c r="G1173" s="1" t="str">
        <x:f>IF(ISNUMBER(F1173),IF(ABS(F1173)&gt;3,1,0),"")</x:f>
      </x:c>
      <x:c r="H1173" s="1" t="str">
        <x:f>IF(ISNUMBER(F1173),F1173^4,"")</x:f>
      </x:c>
      <x:c r="I1173" s="1"/>
      <x:c r="J1173" s="1"/>
      <x:c r="K1173" s="1"/>
      <x:c r="L1173" s="1"/>
      <x:c r="M1173" s="1"/>
      <x:c r="N1173" s="1"/>
    </x:row>
    <x:row r="1174" ht="22" customHeight="1">
      <x:c r="A1174" s="14"/>
      <x:c r="B1174" s="15"/>
      <x:c r="C1174" s="16" t="str">
        <x:f>IF(AND(ISNUMBER(B1174),ISNUMBER(B1173),B1174&gt;0,B1173&gt;0),LN(B1174/B1173),"")</x:f>
      </x:c>
      <x:c r="D1174" s="16" t="str">
        <x:f>IF(ISNUMBER(C1174),ABS(C1174),"")</x:f>
      </x:c>
      <x:c r="E1174" s="16" t="str">
        <x:f>IF(ISNUMBER(C1174),C1174^2,"")</x:f>
      </x:c>
      <x:c r="F1174" s="16" t="str">
        <x:f>IF(AND(ISNUMBER(C1174),ISNUMBER($J$6),$J$6&gt;0),(C1174-$J$5)/$J$6,"")</x:f>
      </x:c>
      <x:c r="G1174" s="1" t="str">
        <x:f>IF(ISNUMBER(F1174),IF(ABS(F1174)&gt;3,1,0),"")</x:f>
      </x:c>
      <x:c r="H1174" s="1" t="str">
        <x:f>IF(ISNUMBER(F1174),F1174^4,"")</x:f>
      </x:c>
      <x:c r="I1174" s="1"/>
      <x:c r="J1174" s="1"/>
      <x:c r="K1174" s="1"/>
      <x:c r="L1174" s="1"/>
      <x:c r="M1174" s="1"/>
      <x:c r="N1174" s="1"/>
    </x:row>
    <x:row r="1175" ht="22" customHeight="1">
      <x:c r="A1175" s="14"/>
      <x:c r="B1175" s="15"/>
      <x:c r="C1175" s="16" t="str">
        <x:f>IF(AND(ISNUMBER(B1175),ISNUMBER(B1174),B1175&gt;0,B1174&gt;0),LN(B1175/B1174),"")</x:f>
      </x:c>
      <x:c r="D1175" s="16" t="str">
        <x:f>IF(ISNUMBER(C1175),ABS(C1175),"")</x:f>
      </x:c>
      <x:c r="E1175" s="16" t="str">
        <x:f>IF(ISNUMBER(C1175),C1175^2,"")</x:f>
      </x:c>
      <x:c r="F1175" s="16" t="str">
        <x:f>IF(AND(ISNUMBER(C1175),ISNUMBER($J$6),$J$6&gt;0),(C1175-$J$5)/$J$6,"")</x:f>
      </x:c>
      <x:c r="G1175" s="1" t="str">
        <x:f>IF(ISNUMBER(F1175),IF(ABS(F1175)&gt;3,1,0),"")</x:f>
      </x:c>
      <x:c r="H1175" s="1" t="str">
        <x:f>IF(ISNUMBER(F1175),F1175^4,"")</x:f>
      </x:c>
      <x:c r="I1175" s="1"/>
      <x:c r="J1175" s="1"/>
      <x:c r="K1175" s="1"/>
      <x:c r="L1175" s="1"/>
      <x:c r="M1175" s="1"/>
      <x:c r="N1175" s="1"/>
    </x:row>
    <x:row r="1176" ht="22" customHeight="1">
      <x:c r="A1176" s="14"/>
      <x:c r="B1176" s="15"/>
      <x:c r="C1176" s="16" t="str">
        <x:f>IF(AND(ISNUMBER(B1176),ISNUMBER(B1175),B1176&gt;0,B1175&gt;0),LN(B1176/B1175),"")</x:f>
      </x:c>
      <x:c r="D1176" s="16" t="str">
        <x:f>IF(ISNUMBER(C1176),ABS(C1176),"")</x:f>
      </x:c>
      <x:c r="E1176" s="16" t="str">
        <x:f>IF(ISNUMBER(C1176),C1176^2,"")</x:f>
      </x:c>
      <x:c r="F1176" s="16" t="str">
        <x:f>IF(AND(ISNUMBER(C1176),ISNUMBER($J$6),$J$6&gt;0),(C1176-$J$5)/$J$6,"")</x:f>
      </x:c>
      <x:c r="G1176" s="1" t="str">
        <x:f>IF(ISNUMBER(F1176),IF(ABS(F1176)&gt;3,1,0),"")</x:f>
      </x:c>
      <x:c r="H1176" s="1" t="str">
        <x:f>IF(ISNUMBER(F1176),F1176^4,"")</x:f>
      </x:c>
      <x:c r="I1176" s="1"/>
      <x:c r="J1176" s="1"/>
      <x:c r="K1176" s="1"/>
      <x:c r="L1176" s="1"/>
      <x:c r="M1176" s="1"/>
      <x:c r="N1176" s="1"/>
    </x:row>
    <x:row r="1177" ht="22" customHeight="1">
      <x:c r="A1177" s="14"/>
      <x:c r="B1177" s="15"/>
      <x:c r="C1177" s="16" t="str">
        <x:f>IF(AND(ISNUMBER(B1177),ISNUMBER(B1176),B1177&gt;0,B1176&gt;0),LN(B1177/B1176),"")</x:f>
      </x:c>
      <x:c r="D1177" s="16" t="str">
        <x:f>IF(ISNUMBER(C1177),ABS(C1177),"")</x:f>
      </x:c>
      <x:c r="E1177" s="16" t="str">
        <x:f>IF(ISNUMBER(C1177),C1177^2,"")</x:f>
      </x:c>
      <x:c r="F1177" s="16" t="str">
        <x:f>IF(AND(ISNUMBER(C1177),ISNUMBER($J$6),$J$6&gt;0),(C1177-$J$5)/$J$6,"")</x:f>
      </x:c>
      <x:c r="G1177" s="1" t="str">
        <x:f>IF(ISNUMBER(F1177),IF(ABS(F1177)&gt;3,1,0),"")</x:f>
      </x:c>
      <x:c r="H1177" s="1" t="str">
        <x:f>IF(ISNUMBER(F1177),F1177^4,"")</x:f>
      </x:c>
      <x:c r="I1177" s="1"/>
      <x:c r="J1177" s="1"/>
      <x:c r="K1177" s="1"/>
      <x:c r="L1177" s="1"/>
      <x:c r="M1177" s="1"/>
      <x:c r="N1177" s="1"/>
    </x:row>
    <x:row r="1178" ht="22" customHeight="1">
      <x:c r="A1178" s="14"/>
      <x:c r="B1178" s="15"/>
      <x:c r="C1178" s="16" t="str">
        <x:f>IF(AND(ISNUMBER(B1178),ISNUMBER(B1177),B1178&gt;0,B1177&gt;0),LN(B1178/B1177),"")</x:f>
      </x:c>
      <x:c r="D1178" s="16" t="str">
        <x:f>IF(ISNUMBER(C1178),ABS(C1178),"")</x:f>
      </x:c>
      <x:c r="E1178" s="16" t="str">
        <x:f>IF(ISNUMBER(C1178),C1178^2,"")</x:f>
      </x:c>
      <x:c r="F1178" s="16" t="str">
        <x:f>IF(AND(ISNUMBER(C1178),ISNUMBER($J$6),$J$6&gt;0),(C1178-$J$5)/$J$6,"")</x:f>
      </x:c>
      <x:c r="G1178" s="1" t="str">
        <x:f>IF(ISNUMBER(F1178),IF(ABS(F1178)&gt;3,1,0),"")</x:f>
      </x:c>
      <x:c r="H1178" s="1" t="str">
        <x:f>IF(ISNUMBER(F1178),F1178^4,"")</x:f>
      </x:c>
      <x:c r="I1178" s="1"/>
      <x:c r="J1178" s="1"/>
      <x:c r="K1178" s="1"/>
      <x:c r="L1178" s="1"/>
      <x:c r="M1178" s="1"/>
      <x:c r="N1178" s="1"/>
    </x:row>
    <x:row r="1179" ht="22" customHeight="1">
      <x:c r="A1179" s="14"/>
      <x:c r="B1179" s="15"/>
      <x:c r="C1179" s="16" t="str">
        <x:f>IF(AND(ISNUMBER(B1179),ISNUMBER(B1178),B1179&gt;0,B1178&gt;0),LN(B1179/B1178),"")</x:f>
      </x:c>
      <x:c r="D1179" s="16" t="str">
        <x:f>IF(ISNUMBER(C1179),ABS(C1179),"")</x:f>
      </x:c>
      <x:c r="E1179" s="16" t="str">
        <x:f>IF(ISNUMBER(C1179),C1179^2,"")</x:f>
      </x:c>
      <x:c r="F1179" s="16" t="str">
        <x:f>IF(AND(ISNUMBER(C1179),ISNUMBER($J$6),$J$6&gt;0),(C1179-$J$5)/$J$6,"")</x:f>
      </x:c>
      <x:c r="G1179" s="1" t="str">
        <x:f>IF(ISNUMBER(F1179),IF(ABS(F1179)&gt;3,1,0),"")</x:f>
      </x:c>
      <x:c r="H1179" s="1" t="str">
        <x:f>IF(ISNUMBER(F1179),F1179^4,"")</x:f>
      </x:c>
      <x:c r="I1179" s="1"/>
      <x:c r="J1179" s="1"/>
      <x:c r="K1179" s="1"/>
      <x:c r="L1179" s="1"/>
      <x:c r="M1179" s="1"/>
      <x:c r="N1179" s="1"/>
    </x:row>
    <x:row r="1180" ht="22" customHeight="1">
      <x:c r="A1180" s="14"/>
      <x:c r="B1180" s="15"/>
      <x:c r="C1180" s="16" t="str">
        <x:f>IF(AND(ISNUMBER(B1180),ISNUMBER(B1179),B1180&gt;0,B1179&gt;0),LN(B1180/B1179),"")</x:f>
      </x:c>
      <x:c r="D1180" s="16" t="str">
        <x:f>IF(ISNUMBER(C1180),ABS(C1180),"")</x:f>
      </x:c>
      <x:c r="E1180" s="16" t="str">
        <x:f>IF(ISNUMBER(C1180),C1180^2,"")</x:f>
      </x:c>
      <x:c r="F1180" s="16" t="str">
        <x:f>IF(AND(ISNUMBER(C1180),ISNUMBER($J$6),$J$6&gt;0),(C1180-$J$5)/$J$6,"")</x:f>
      </x:c>
      <x:c r="G1180" s="1" t="str">
        <x:f>IF(ISNUMBER(F1180),IF(ABS(F1180)&gt;3,1,0),"")</x:f>
      </x:c>
      <x:c r="H1180" s="1" t="str">
        <x:f>IF(ISNUMBER(F1180),F1180^4,"")</x:f>
      </x:c>
      <x:c r="I1180" s="1"/>
      <x:c r="J1180" s="1"/>
      <x:c r="K1180" s="1"/>
      <x:c r="L1180" s="1"/>
      <x:c r="M1180" s="1"/>
      <x:c r="N1180" s="1"/>
    </x:row>
    <x:row r="1181" ht="22" customHeight="1">
      <x:c r="A1181" s="14"/>
      <x:c r="B1181" s="15"/>
      <x:c r="C1181" s="16" t="str">
        <x:f>IF(AND(ISNUMBER(B1181),ISNUMBER(B1180),B1181&gt;0,B1180&gt;0),LN(B1181/B1180),"")</x:f>
      </x:c>
      <x:c r="D1181" s="16" t="str">
        <x:f>IF(ISNUMBER(C1181),ABS(C1181),"")</x:f>
      </x:c>
      <x:c r="E1181" s="16" t="str">
        <x:f>IF(ISNUMBER(C1181),C1181^2,"")</x:f>
      </x:c>
      <x:c r="F1181" s="16" t="str">
        <x:f>IF(AND(ISNUMBER(C1181),ISNUMBER($J$6),$J$6&gt;0),(C1181-$J$5)/$J$6,"")</x:f>
      </x:c>
      <x:c r="G1181" s="1" t="str">
        <x:f>IF(ISNUMBER(F1181),IF(ABS(F1181)&gt;3,1,0),"")</x:f>
      </x:c>
      <x:c r="H1181" s="1" t="str">
        <x:f>IF(ISNUMBER(F1181),F1181^4,"")</x:f>
      </x:c>
      <x:c r="I1181" s="1"/>
      <x:c r="J1181" s="1"/>
      <x:c r="K1181" s="1"/>
      <x:c r="L1181" s="1"/>
      <x:c r="M1181" s="1"/>
      <x:c r="N1181" s="1"/>
    </x:row>
    <x:row r="1182" ht="22" customHeight="1">
      <x:c r="A1182" s="14"/>
      <x:c r="B1182" s="15"/>
      <x:c r="C1182" s="16" t="str">
        <x:f>IF(AND(ISNUMBER(B1182),ISNUMBER(B1181),B1182&gt;0,B1181&gt;0),LN(B1182/B1181),"")</x:f>
      </x:c>
      <x:c r="D1182" s="16" t="str">
        <x:f>IF(ISNUMBER(C1182),ABS(C1182),"")</x:f>
      </x:c>
      <x:c r="E1182" s="16" t="str">
        <x:f>IF(ISNUMBER(C1182),C1182^2,"")</x:f>
      </x:c>
      <x:c r="F1182" s="16" t="str">
        <x:f>IF(AND(ISNUMBER(C1182),ISNUMBER($J$6),$J$6&gt;0),(C1182-$J$5)/$J$6,"")</x:f>
      </x:c>
      <x:c r="G1182" s="1" t="str">
        <x:f>IF(ISNUMBER(F1182),IF(ABS(F1182)&gt;3,1,0),"")</x:f>
      </x:c>
      <x:c r="H1182" s="1" t="str">
        <x:f>IF(ISNUMBER(F1182),F1182^4,"")</x:f>
      </x:c>
      <x:c r="I1182" s="1"/>
      <x:c r="J1182" s="1"/>
      <x:c r="K1182" s="1"/>
      <x:c r="L1182" s="1"/>
      <x:c r="M1182" s="1"/>
      <x:c r="N1182" s="1"/>
    </x:row>
    <x:row r="1183" ht="22" customHeight="1">
      <x:c r="A1183" s="14"/>
      <x:c r="B1183" s="15"/>
      <x:c r="C1183" s="16" t="str">
        <x:f>IF(AND(ISNUMBER(B1183),ISNUMBER(B1182),B1183&gt;0,B1182&gt;0),LN(B1183/B1182),"")</x:f>
      </x:c>
      <x:c r="D1183" s="16" t="str">
        <x:f>IF(ISNUMBER(C1183),ABS(C1183),"")</x:f>
      </x:c>
      <x:c r="E1183" s="16" t="str">
        <x:f>IF(ISNUMBER(C1183),C1183^2,"")</x:f>
      </x:c>
      <x:c r="F1183" s="16" t="str">
        <x:f>IF(AND(ISNUMBER(C1183),ISNUMBER($J$6),$J$6&gt;0),(C1183-$J$5)/$J$6,"")</x:f>
      </x:c>
      <x:c r="G1183" s="1" t="str">
        <x:f>IF(ISNUMBER(F1183),IF(ABS(F1183)&gt;3,1,0),"")</x:f>
      </x:c>
      <x:c r="H1183" s="1" t="str">
        <x:f>IF(ISNUMBER(F1183),F1183^4,"")</x:f>
      </x:c>
      <x:c r="I1183" s="1"/>
      <x:c r="J1183" s="1"/>
      <x:c r="K1183" s="1"/>
      <x:c r="L1183" s="1"/>
      <x:c r="M1183" s="1"/>
      <x:c r="N1183" s="1"/>
    </x:row>
    <x:row r="1184" ht="22" customHeight="1">
      <x:c r="A1184" s="14"/>
      <x:c r="B1184" s="15"/>
      <x:c r="C1184" s="16" t="str">
        <x:f>IF(AND(ISNUMBER(B1184),ISNUMBER(B1183),B1184&gt;0,B1183&gt;0),LN(B1184/B1183),"")</x:f>
      </x:c>
      <x:c r="D1184" s="16" t="str">
        <x:f>IF(ISNUMBER(C1184),ABS(C1184),"")</x:f>
      </x:c>
      <x:c r="E1184" s="16" t="str">
        <x:f>IF(ISNUMBER(C1184),C1184^2,"")</x:f>
      </x:c>
      <x:c r="F1184" s="16" t="str">
        <x:f>IF(AND(ISNUMBER(C1184),ISNUMBER($J$6),$J$6&gt;0),(C1184-$J$5)/$J$6,"")</x:f>
      </x:c>
      <x:c r="G1184" s="1" t="str">
        <x:f>IF(ISNUMBER(F1184),IF(ABS(F1184)&gt;3,1,0),"")</x:f>
      </x:c>
      <x:c r="H1184" s="1" t="str">
        <x:f>IF(ISNUMBER(F1184),F1184^4,"")</x:f>
      </x:c>
      <x:c r="I1184" s="1"/>
      <x:c r="J1184" s="1"/>
      <x:c r="K1184" s="1"/>
      <x:c r="L1184" s="1"/>
      <x:c r="M1184" s="1"/>
      <x:c r="N1184" s="1"/>
    </x:row>
    <x:row r="1185" ht="22" customHeight="1">
      <x:c r="A1185" s="14"/>
      <x:c r="B1185" s="15"/>
      <x:c r="C1185" s="16" t="str">
        <x:f>IF(AND(ISNUMBER(B1185),ISNUMBER(B1184),B1185&gt;0,B1184&gt;0),LN(B1185/B1184),"")</x:f>
      </x:c>
      <x:c r="D1185" s="16" t="str">
        <x:f>IF(ISNUMBER(C1185),ABS(C1185),"")</x:f>
      </x:c>
      <x:c r="E1185" s="16" t="str">
        <x:f>IF(ISNUMBER(C1185),C1185^2,"")</x:f>
      </x:c>
      <x:c r="F1185" s="16" t="str">
        <x:f>IF(AND(ISNUMBER(C1185),ISNUMBER($J$6),$J$6&gt;0),(C1185-$J$5)/$J$6,"")</x:f>
      </x:c>
      <x:c r="G1185" s="1" t="str">
        <x:f>IF(ISNUMBER(F1185),IF(ABS(F1185)&gt;3,1,0),"")</x:f>
      </x:c>
      <x:c r="H1185" s="1" t="str">
        <x:f>IF(ISNUMBER(F1185),F1185^4,"")</x:f>
      </x:c>
      <x:c r="I1185" s="1"/>
      <x:c r="J1185" s="1"/>
      <x:c r="K1185" s="1"/>
      <x:c r="L1185" s="1"/>
      <x:c r="M1185" s="1"/>
      <x:c r="N1185" s="1"/>
    </x:row>
    <x:row r="1186" ht="22" customHeight="1">
      <x:c r="A1186" s="14"/>
      <x:c r="B1186" s="15"/>
      <x:c r="C1186" s="16" t="str">
        <x:f>IF(AND(ISNUMBER(B1186),ISNUMBER(B1185),B1186&gt;0,B1185&gt;0),LN(B1186/B1185),"")</x:f>
      </x:c>
      <x:c r="D1186" s="16" t="str">
        <x:f>IF(ISNUMBER(C1186),ABS(C1186),"")</x:f>
      </x:c>
      <x:c r="E1186" s="16" t="str">
        <x:f>IF(ISNUMBER(C1186),C1186^2,"")</x:f>
      </x:c>
      <x:c r="F1186" s="16" t="str">
        <x:f>IF(AND(ISNUMBER(C1186),ISNUMBER($J$6),$J$6&gt;0),(C1186-$J$5)/$J$6,"")</x:f>
      </x:c>
      <x:c r="G1186" s="1" t="str">
        <x:f>IF(ISNUMBER(F1186),IF(ABS(F1186)&gt;3,1,0),"")</x:f>
      </x:c>
      <x:c r="H1186" s="1" t="str">
        <x:f>IF(ISNUMBER(F1186),F1186^4,"")</x:f>
      </x:c>
      <x:c r="I1186" s="1"/>
      <x:c r="J1186" s="1"/>
      <x:c r="K1186" s="1"/>
      <x:c r="L1186" s="1"/>
      <x:c r="M1186" s="1"/>
      <x:c r="N1186" s="1"/>
    </x:row>
    <x:row r="1187" ht="22" customHeight="1">
      <x:c r="A1187" s="14"/>
      <x:c r="B1187" s="15"/>
      <x:c r="C1187" s="16" t="str">
        <x:f>IF(AND(ISNUMBER(B1187),ISNUMBER(B1186),B1187&gt;0,B1186&gt;0),LN(B1187/B1186),"")</x:f>
      </x:c>
      <x:c r="D1187" s="16" t="str">
        <x:f>IF(ISNUMBER(C1187),ABS(C1187),"")</x:f>
      </x:c>
      <x:c r="E1187" s="16" t="str">
        <x:f>IF(ISNUMBER(C1187),C1187^2,"")</x:f>
      </x:c>
      <x:c r="F1187" s="16" t="str">
        <x:f>IF(AND(ISNUMBER(C1187),ISNUMBER($J$6),$J$6&gt;0),(C1187-$J$5)/$J$6,"")</x:f>
      </x:c>
      <x:c r="G1187" s="1" t="str">
        <x:f>IF(ISNUMBER(F1187),IF(ABS(F1187)&gt;3,1,0),"")</x:f>
      </x:c>
      <x:c r="H1187" s="1" t="str">
        <x:f>IF(ISNUMBER(F1187),F1187^4,"")</x:f>
      </x:c>
      <x:c r="I1187" s="1"/>
      <x:c r="J1187" s="1"/>
      <x:c r="K1187" s="1"/>
      <x:c r="L1187" s="1"/>
      <x:c r="M1187" s="1"/>
      <x:c r="N1187" s="1"/>
    </x:row>
    <x:row r="1188" ht="22" customHeight="1">
      <x:c r="A1188" s="14"/>
      <x:c r="B1188" s="15"/>
      <x:c r="C1188" s="16" t="str">
        <x:f>IF(AND(ISNUMBER(B1188),ISNUMBER(B1187),B1188&gt;0,B1187&gt;0),LN(B1188/B1187),"")</x:f>
      </x:c>
      <x:c r="D1188" s="16" t="str">
        <x:f>IF(ISNUMBER(C1188),ABS(C1188),"")</x:f>
      </x:c>
      <x:c r="E1188" s="16" t="str">
        <x:f>IF(ISNUMBER(C1188),C1188^2,"")</x:f>
      </x:c>
      <x:c r="F1188" s="16" t="str">
        <x:f>IF(AND(ISNUMBER(C1188),ISNUMBER($J$6),$J$6&gt;0),(C1188-$J$5)/$J$6,"")</x:f>
      </x:c>
      <x:c r="G1188" s="1" t="str">
        <x:f>IF(ISNUMBER(F1188),IF(ABS(F1188)&gt;3,1,0),"")</x:f>
      </x:c>
      <x:c r="H1188" s="1" t="str">
        <x:f>IF(ISNUMBER(F1188),F1188^4,"")</x:f>
      </x:c>
      <x:c r="I1188" s="1"/>
      <x:c r="J1188" s="1"/>
      <x:c r="K1188" s="1"/>
      <x:c r="L1188" s="1"/>
      <x:c r="M1188" s="1"/>
      <x:c r="N1188" s="1"/>
    </x:row>
    <x:row r="1189" ht="22" customHeight="1">
      <x:c r="A1189" s="14"/>
      <x:c r="B1189" s="15"/>
      <x:c r="C1189" s="16" t="str">
        <x:f>IF(AND(ISNUMBER(B1189),ISNUMBER(B1188),B1189&gt;0,B1188&gt;0),LN(B1189/B1188),"")</x:f>
      </x:c>
      <x:c r="D1189" s="16" t="str">
        <x:f>IF(ISNUMBER(C1189),ABS(C1189),"")</x:f>
      </x:c>
      <x:c r="E1189" s="16" t="str">
        <x:f>IF(ISNUMBER(C1189),C1189^2,"")</x:f>
      </x:c>
      <x:c r="F1189" s="16" t="str">
        <x:f>IF(AND(ISNUMBER(C1189),ISNUMBER($J$6),$J$6&gt;0),(C1189-$J$5)/$J$6,"")</x:f>
      </x:c>
      <x:c r="G1189" s="1" t="str">
        <x:f>IF(ISNUMBER(F1189),IF(ABS(F1189)&gt;3,1,0),"")</x:f>
      </x:c>
      <x:c r="H1189" s="1" t="str">
        <x:f>IF(ISNUMBER(F1189),F1189^4,"")</x:f>
      </x:c>
      <x:c r="I1189" s="1"/>
      <x:c r="J1189" s="1"/>
      <x:c r="K1189" s="1"/>
      <x:c r="L1189" s="1"/>
      <x:c r="M1189" s="1"/>
      <x:c r="N1189" s="1"/>
    </x:row>
    <x:row r="1190" ht="22" customHeight="1">
      <x:c r="A1190" s="14"/>
      <x:c r="B1190" s="15"/>
      <x:c r="C1190" s="16" t="str">
        <x:f>IF(AND(ISNUMBER(B1190),ISNUMBER(B1189),B1190&gt;0,B1189&gt;0),LN(B1190/B1189),"")</x:f>
      </x:c>
      <x:c r="D1190" s="16" t="str">
        <x:f>IF(ISNUMBER(C1190),ABS(C1190),"")</x:f>
      </x:c>
      <x:c r="E1190" s="16" t="str">
        <x:f>IF(ISNUMBER(C1190),C1190^2,"")</x:f>
      </x:c>
      <x:c r="F1190" s="16" t="str">
        <x:f>IF(AND(ISNUMBER(C1190),ISNUMBER($J$6),$J$6&gt;0),(C1190-$J$5)/$J$6,"")</x:f>
      </x:c>
      <x:c r="G1190" s="1" t="str">
        <x:f>IF(ISNUMBER(F1190),IF(ABS(F1190)&gt;3,1,0),"")</x:f>
      </x:c>
      <x:c r="H1190" s="1" t="str">
        <x:f>IF(ISNUMBER(F1190),F1190^4,"")</x:f>
      </x:c>
      <x:c r="I1190" s="1"/>
      <x:c r="J1190" s="1"/>
      <x:c r="K1190" s="1"/>
      <x:c r="L1190" s="1"/>
      <x:c r="M1190" s="1"/>
      <x:c r="N1190" s="1"/>
    </x:row>
    <x:row r="1191" ht="22" customHeight="1">
      <x:c r="A1191" s="14"/>
      <x:c r="B1191" s="15"/>
      <x:c r="C1191" s="16" t="str">
        <x:f>IF(AND(ISNUMBER(B1191),ISNUMBER(B1190),B1191&gt;0,B1190&gt;0),LN(B1191/B1190),"")</x:f>
      </x:c>
      <x:c r="D1191" s="16" t="str">
        <x:f>IF(ISNUMBER(C1191),ABS(C1191),"")</x:f>
      </x:c>
      <x:c r="E1191" s="16" t="str">
        <x:f>IF(ISNUMBER(C1191),C1191^2,"")</x:f>
      </x:c>
      <x:c r="F1191" s="16" t="str">
        <x:f>IF(AND(ISNUMBER(C1191),ISNUMBER($J$6),$J$6&gt;0),(C1191-$J$5)/$J$6,"")</x:f>
      </x:c>
      <x:c r="G1191" s="1" t="str">
        <x:f>IF(ISNUMBER(F1191),IF(ABS(F1191)&gt;3,1,0),"")</x:f>
      </x:c>
      <x:c r="H1191" s="1" t="str">
        <x:f>IF(ISNUMBER(F1191),F1191^4,"")</x:f>
      </x:c>
      <x:c r="I1191" s="1"/>
      <x:c r="J1191" s="1"/>
      <x:c r="K1191" s="1"/>
      <x:c r="L1191" s="1"/>
      <x:c r="M1191" s="1"/>
      <x:c r="N1191" s="1"/>
    </x:row>
    <x:row r="1192" ht="22" customHeight="1">
      <x:c r="A1192" s="14"/>
      <x:c r="B1192" s="15"/>
      <x:c r="C1192" s="16" t="str">
        <x:f>IF(AND(ISNUMBER(B1192),ISNUMBER(B1191),B1192&gt;0,B1191&gt;0),LN(B1192/B1191),"")</x:f>
      </x:c>
      <x:c r="D1192" s="16" t="str">
        <x:f>IF(ISNUMBER(C1192),ABS(C1192),"")</x:f>
      </x:c>
      <x:c r="E1192" s="16" t="str">
        <x:f>IF(ISNUMBER(C1192),C1192^2,"")</x:f>
      </x:c>
      <x:c r="F1192" s="16" t="str">
        <x:f>IF(AND(ISNUMBER(C1192),ISNUMBER($J$6),$J$6&gt;0),(C1192-$J$5)/$J$6,"")</x:f>
      </x:c>
      <x:c r="G1192" s="1" t="str">
        <x:f>IF(ISNUMBER(F1192),IF(ABS(F1192)&gt;3,1,0),"")</x:f>
      </x:c>
      <x:c r="H1192" s="1" t="str">
        <x:f>IF(ISNUMBER(F1192),F1192^4,"")</x:f>
      </x:c>
      <x:c r="I1192" s="1"/>
      <x:c r="J1192" s="1"/>
      <x:c r="K1192" s="1"/>
      <x:c r="L1192" s="1"/>
      <x:c r="M1192" s="1"/>
      <x:c r="N1192" s="1"/>
    </x:row>
    <x:row r="1193" ht="22" customHeight="1">
      <x:c r="A1193" s="14"/>
      <x:c r="B1193" s="15"/>
      <x:c r="C1193" s="16" t="str">
        <x:f>IF(AND(ISNUMBER(B1193),ISNUMBER(B1192),B1193&gt;0,B1192&gt;0),LN(B1193/B1192),"")</x:f>
      </x:c>
      <x:c r="D1193" s="16" t="str">
        <x:f>IF(ISNUMBER(C1193),ABS(C1193),"")</x:f>
      </x:c>
      <x:c r="E1193" s="16" t="str">
        <x:f>IF(ISNUMBER(C1193),C1193^2,"")</x:f>
      </x:c>
      <x:c r="F1193" s="16" t="str">
        <x:f>IF(AND(ISNUMBER(C1193),ISNUMBER($J$6),$J$6&gt;0),(C1193-$J$5)/$J$6,"")</x:f>
      </x:c>
      <x:c r="G1193" s="1" t="str">
        <x:f>IF(ISNUMBER(F1193),IF(ABS(F1193)&gt;3,1,0),"")</x:f>
      </x:c>
      <x:c r="H1193" s="1" t="str">
        <x:f>IF(ISNUMBER(F1193),F1193^4,"")</x:f>
      </x:c>
      <x:c r="I1193" s="1"/>
      <x:c r="J1193" s="1"/>
      <x:c r="K1193" s="1"/>
      <x:c r="L1193" s="1"/>
      <x:c r="M1193" s="1"/>
      <x:c r="N1193" s="1"/>
    </x:row>
    <x:row r="1194" ht="22" customHeight="1">
      <x:c r="A1194" s="14"/>
      <x:c r="B1194" s="15"/>
      <x:c r="C1194" s="16" t="str">
        <x:f>IF(AND(ISNUMBER(B1194),ISNUMBER(B1193),B1194&gt;0,B1193&gt;0),LN(B1194/B1193),"")</x:f>
      </x:c>
      <x:c r="D1194" s="16" t="str">
        <x:f>IF(ISNUMBER(C1194),ABS(C1194),"")</x:f>
      </x:c>
      <x:c r="E1194" s="16" t="str">
        <x:f>IF(ISNUMBER(C1194),C1194^2,"")</x:f>
      </x:c>
      <x:c r="F1194" s="16" t="str">
        <x:f>IF(AND(ISNUMBER(C1194),ISNUMBER($J$6),$J$6&gt;0),(C1194-$J$5)/$J$6,"")</x:f>
      </x:c>
      <x:c r="G1194" s="1" t="str">
        <x:f>IF(ISNUMBER(F1194),IF(ABS(F1194)&gt;3,1,0),"")</x:f>
      </x:c>
      <x:c r="H1194" s="1" t="str">
        <x:f>IF(ISNUMBER(F1194),F1194^4,"")</x:f>
      </x:c>
      <x:c r="I1194" s="1"/>
      <x:c r="J1194" s="1"/>
      <x:c r="K1194" s="1"/>
      <x:c r="L1194" s="1"/>
      <x:c r="M1194" s="1"/>
      <x:c r="N1194" s="1"/>
    </x:row>
    <x:row r="1195" ht="22" customHeight="1">
      <x:c r="A1195" s="14"/>
      <x:c r="B1195" s="15"/>
      <x:c r="C1195" s="16" t="str">
        <x:f>IF(AND(ISNUMBER(B1195),ISNUMBER(B1194),B1195&gt;0,B1194&gt;0),LN(B1195/B1194),"")</x:f>
      </x:c>
      <x:c r="D1195" s="16" t="str">
        <x:f>IF(ISNUMBER(C1195),ABS(C1195),"")</x:f>
      </x:c>
      <x:c r="E1195" s="16" t="str">
        <x:f>IF(ISNUMBER(C1195),C1195^2,"")</x:f>
      </x:c>
      <x:c r="F1195" s="16" t="str">
        <x:f>IF(AND(ISNUMBER(C1195),ISNUMBER($J$6),$J$6&gt;0),(C1195-$J$5)/$J$6,"")</x:f>
      </x:c>
      <x:c r="G1195" s="1" t="str">
        <x:f>IF(ISNUMBER(F1195),IF(ABS(F1195)&gt;3,1,0),"")</x:f>
      </x:c>
      <x:c r="H1195" s="1" t="str">
        <x:f>IF(ISNUMBER(F1195),F1195^4,"")</x:f>
      </x:c>
      <x:c r="I1195" s="1"/>
      <x:c r="J1195" s="1"/>
      <x:c r="K1195" s="1"/>
      <x:c r="L1195" s="1"/>
      <x:c r="M1195" s="1"/>
      <x:c r="N1195" s="1"/>
    </x:row>
    <x:row r="1196" ht="22" customHeight="1">
      <x:c r="A1196" s="14"/>
      <x:c r="B1196" s="15"/>
      <x:c r="C1196" s="16" t="str">
        <x:f>IF(AND(ISNUMBER(B1196),ISNUMBER(B1195),B1196&gt;0,B1195&gt;0),LN(B1196/B1195),"")</x:f>
      </x:c>
      <x:c r="D1196" s="16" t="str">
        <x:f>IF(ISNUMBER(C1196),ABS(C1196),"")</x:f>
      </x:c>
      <x:c r="E1196" s="16" t="str">
        <x:f>IF(ISNUMBER(C1196),C1196^2,"")</x:f>
      </x:c>
      <x:c r="F1196" s="16" t="str">
        <x:f>IF(AND(ISNUMBER(C1196),ISNUMBER($J$6),$J$6&gt;0),(C1196-$J$5)/$J$6,"")</x:f>
      </x:c>
      <x:c r="G1196" s="1" t="str">
        <x:f>IF(ISNUMBER(F1196),IF(ABS(F1196)&gt;3,1,0),"")</x:f>
      </x:c>
      <x:c r="H1196" s="1" t="str">
        <x:f>IF(ISNUMBER(F1196),F1196^4,"")</x:f>
      </x:c>
      <x:c r="I1196" s="1"/>
      <x:c r="J1196" s="1"/>
      <x:c r="K1196" s="1"/>
      <x:c r="L1196" s="1"/>
      <x:c r="M1196" s="1"/>
      <x:c r="N1196" s="1"/>
    </x:row>
    <x:row r="1197" ht="22" customHeight="1">
      <x:c r="A1197" s="14"/>
      <x:c r="B1197" s="15"/>
      <x:c r="C1197" s="16" t="str">
        <x:f>IF(AND(ISNUMBER(B1197),ISNUMBER(B1196),B1197&gt;0,B1196&gt;0),LN(B1197/B1196),"")</x:f>
      </x:c>
      <x:c r="D1197" s="16" t="str">
        <x:f>IF(ISNUMBER(C1197),ABS(C1197),"")</x:f>
      </x:c>
      <x:c r="E1197" s="16" t="str">
        <x:f>IF(ISNUMBER(C1197),C1197^2,"")</x:f>
      </x:c>
      <x:c r="F1197" s="16" t="str">
        <x:f>IF(AND(ISNUMBER(C1197),ISNUMBER($J$6),$J$6&gt;0),(C1197-$J$5)/$J$6,"")</x:f>
      </x:c>
      <x:c r="G1197" s="1" t="str">
        <x:f>IF(ISNUMBER(F1197),IF(ABS(F1197)&gt;3,1,0),"")</x:f>
      </x:c>
      <x:c r="H1197" s="1" t="str">
        <x:f>IF(ISNUMBER(F1197),F1197^4,"")</x:f>
      </x:c>
      <x:c r="I1197" s="1"/>
      <x:c r="J1197" s="1"/>
      <x:c r="K1197" s="1"/>
      <x:c r="L1197" s="1"/>
      <x:c r="M1197" s="1"/>
      <x:c r="N1197" s="1"/>
    </x:row>
    <x:row r="1198" ht="22" customHeight="1">
      <x:c r="A1198" s="14"/>
      <x:c r="B1198" s="15"/>
      <x:c r="C1198" s="16" t="str">
        <x:f>IF(AND(ISNUMBER(B1198),ISNUMBER(B1197),B1198&gt;0,B1197&gt;0),LN(B1198/B1197),"")</x:f>
      </x:c>
      <x:c r="D1198" s="16" t="str">
        <x:f>IF(ISNUMBER(C1198),ABS(C1198),"")</x:f>
      </x:c>
      <x:c r="E1198" s="16" t="str">
        <x:f>IF(ISNUMBER(C1198),C1198^2,"")</x:f>
      </x:c>
      <x:c r="F1198" s="16" t="str">
        <x:f>IF(AND(ISNUMBER(C1198),ISNUMBER($J$6),$J$6&gt;0),(C1198-$J$5)/$J$6,"")</x:f>
      </x:c>
      <x:c r="G1198" s="1" t="str">
        <x:f>IF(ISNUMBER(F1198),IF(ABS(F1198)&gt;3,1,0),"")</x:f>
      </x:c>
      <x:c r="H1198" s="1" t="str">
        <x:f>IF(ISNUMBER(F1198),F1198^4,"")</x:f>
      </x:c>
      <x:c r="I1198" s="1"/>
      <x:c r="J1198" s="1"/>
      <x:c r="K1198" s="1"/>
      <x:c r="L1198" s="1"/>
      <x:c r="M1198" s="1"/>
      <x:c r="N1198" s="1"/>
    </x:row>
    <x:row r="1199" ht="22" customHeight="1">
      <x:c r="A1199" s="14"/>
      <x:c r="B1199" s="15"/>
      <x:c r="C1199" s="16" t="str">
        <x:f>IF(AND(ISNUMBER(B1199),ISNUMBER(B1198),B1199&gt;0,B1198&gt;0),LN(B1199/B1198),"")</x:f>
      </x:c>
      <x:c r="D1199" s="16" t="str">
        <x:f>IF(ISNUMBER(C1199),ABS(C1199),"")</x:f>
      </x:c>
      <x:c r="E1199" s="16" t="str">
        <x:f>IF(ISNUMBER(C1199),C1199^2,"")</x:f>
      </x:c>
      <x:c r="F1199" s="16" t="str">
        <x:f>IF(AND(ISNUMBER(C1199),ISNUMBER($J$6),$J$6&gt;0),(C1199-$J$5)/$J$6,"")</x:f>
      </x:c>
      <x:c r="G1199" s="1" t="str">
        <x:f>IF(ISNUMBER(F1199),IF(ABS(F1199)&gt;3,1,0),"")</x:f>
      </x:c>
      <x:c r="H1199" s="1" t="str">
        <x:f>IF(ISNUMBER(F1199),F1199^4,"")</x:f>
      </x:c>
      <x:c r="I1199" s="1"/>
      <x:c r="J1199" s="1"/>
      <x:c r="K1199" s="1"/>
      <x:c r="L1199" s="1"/>
      <x:c r="M1199" s="1"/>
      <x:c r="N1199" s="1"/>
    </x:row>
    <x:row r="1200" ht="22" customHeight="1">
      <x:c r="A1200" s="14"/>
      <x:c r="B1200" s="15"/>
      <x:c r="C1200" s="16" t="str">
        <x:f>IF(AND(ISNUMBER(B1200),ISNUMBER(B1199),B1200&gt;0,B1199&gt;0),LN(B1200/B1199),"")</x:f>
      </x:c>
      <x:c r="D1200" s="16" t="str">
        <x:f>IF(ISNUMBER(C1200),ABS(C1200),"")</x:f>
      </x:c>
      <x:c r="E1200" s="16" t="str">
        <x:f>IF(ISNUMBER(C1200),C1200^2,"")</x:f>
      </x:c>
      <x:c r="F1200" s="16" t="str">
        <x:f>IF(AND(ISNUMBER(C1200),ISNUMBER($J$6),$J$6&gt;0),(C1200-$J$5)/$J$6,"")</x:f>
      </x:c>
      <x:c r="G1200" s="1" t="str">
        <x:f>IF(ISNUMBER(F1200),IF(ABS(F1200)&gt;3,1,0),"")</x:f>
      </x:c>
      <x:c r="H1200" s="1" t="str">
        <x:f>IF(ISNUMBER(F1200),F1200^4,"")</x:f>
      </x:c>
      <x:c r="I1200" s="1"/>
      <x:c r="J1200" s="1"/>
      <x:c r="K1200" s="1"/>
      <x:c r="L1200" s="1"/>
      <x:c r="M1200" s="1"/>
      <x:c r="N1200" s="1"/>
    </x:row>
    <x:row r="1201" ht="22" customHeight="1">
      <x:c r="A1201" s="14"/>
      <x:c r="B1201" s="15"/>
      <x:c r="C1201" s="16" t="str">
        <x:f>IF(AND(ISNUMBER(B1201),ISNUMBER(B1200),B1201&gt;0,B1200&gt;0),LN(B1201/B1200),"")</x:f>
      </x:c>
      <x:c r="D1201" s="16" t="str">
        <x:f>IF(ISNUMBER(C1201),ABS(C1201),"")</x:f>
      </x:c>
      <x:c r="E1201" s="16" t="str">
        <x:f>IF(ISNUMBER(C1201),C1201^2,"")</x:f>
      </x:c>
      <x:c r="F1201" s="16" t="str">
        <x:f>IF(AND(ISNUMBER(C1201),ISNUMBER($J$6),$J$6&gt;0),(C1201-$J$5)/$J$6,"")</x:f>
      </x:c>
      <x:c r="G1201" s="1" t="str">
        <x:f>IF(ISNUMBER(F1201),IF(ABS(F1201)&gt;3,1,0),"")</x:f>
      </x:c>
      <x:c r="H1201" s="1" t="str">
        <x:f>IF(ISNUMBER(F1201),F1201^4,"")</x:f>
      </x:c>
      <x:c r="I1201" s="1"/>
      <x:c r="J1201" s="1"/>
      <x:c r="K1201" s="1"/>
      <x:c r="L1201" s="1"/>
      <x:c r="M1201" s="1"/>
      <x:c r="N1201" s="1"/>
    </x:row>
    <x:row r="1202" ht="22" customHeight="1">
      <x:c r="A1202" s="14"/>
      <x:c r="B1202" s="15"/>
      <x:c r="C1202" s="16" t="str">
        <x:f>IF(AND(ISNUMBER(B1202),ISNUMBER(B1201),B1202&gt;0,B1201&gt;0),LN(B1202/B1201),"")</x:f>
      </x:c>
      <x:c r="D1202" s="16" t="str">
        <x:f>IF(ISNUMBER(C1202),ABS(C1202),"")</x:f>
      </x:c>
      <x:c r="E1202" s="16" t="str">
        <x:f>IF(ISNUMBER(C1202),C1202^2,"")</x:f>
      </x:c>
      <x:c r="F1202" s="16" t="str">
        <x:f>IF(AND(ISNUMBER(C1202),ISNUMBER($J$6),$J$6&gt;0),(C1202-$J$5)/$J$6,"")</x:f>
      </x:c>
      <x:c r="G1202" s="1" t="str">
        <x:f>IF(ISNUMBER(F1202),IF(ABS(F1202)&gt;3,1,0),"")</x:f>
      </x:c>
      <x:c r="H1202" s="1" t="str">
        <x:f>IF(ISNUMBER(F1202),F1202^4,"")</x:f>
      </x:c>
      <x:c r="I1202" s="1"/>
      <x:c r="J1202" s="1"/>
      <x:c r="K1202" s="1"/>
      <x:c r="L1202" s="1"/>
      <x:c r="M1202" s="1"/>
      <x:c r="N1202" s="1"/>
    </x:row>
    <x:row r="1203" ht="22" customHeight="1">
      <x:c r="A1203" s="14"/>
      <x:c r="B1203" s="15"/>
      <x:c r="C1203" s="16" t="str">
        <x:f>IF(AND(ISNUMBER(B1203),ISNUMBER(B1202),B1203&gt;0,B1202&gt;0),LN(B1203/B1202),"")</x:f>
      </x:c>
      <x:c r="D1203" s="16" t="str">
        <x:f>IF(ISNUMBER(C1203),ABS(C1203),"")</x:f>
      </x:c>
      <x:c r="E1203" s="16" t="str">
        <x:f>IF(ISNUMBER(C1203),C1203^2,"")</x:f>
      </x:c>
      <x:c r="F1203" s="16" t="str">
        <x:f>IF(AND(ISNUMBER(C1203),ISNUMBER($J$6),$J$6&gt;0),(C1203-$J$5)/$J$6,"")</x:f>
      </x:c>
      <x:c r="G1203" s="1" t="str">
        <x:f>IF(ISNUMBER(F1203),IF(ABS(F1203)&gt;3,1,0),"")</x:f>
      </x:c>
      <x:c r="H1203" s="1" t="str">
        <x:f>IF(ISNUMBER(F1203),F1203^4,"")</x:f>
      </x:c>
      <x:c r="I1203" s="1"/>
      <x:c r="J1203" s="1"/>
      <x:c r="K1203" s="1"/>
      <x:c r="L1203" s="1"/>
      <x:c r="M1203" s="1"/>
      <x:c r="N1203" s="1"/>
    </x:row>
    <x:row r="1204" ht="22" customHeight="1">
      <x:c r="A1204" s="14"/>
      <x:c r="B1204" s="15"/>
      <x:c r="C1204" s="16" t="str">
        <x:f>IF(AND(ISNUMBER(B1204),ISNUMBER(B1203),B1204&gt;0,B1203&gt;0),LN(B1204/B1203),"")</x:f>
      </x:c>
      <x:c r="D1204" s="16" t="str">
        <x:f>IF(ISNUMBER(C1204),ABS(C1204),"")</x:f>
      </x:c>
      <x:c r="E1204" s="16" t="str">
        <x:f>IF(ISNUMBER(C1204),C1204^2,"")</x:f>
      </x:c>
      <x:c r="F1204" s="16" t="str">
        <x:f>IF(AND(ISNUMBER(C1204),ISNUMBER($J$6),$J$6&gt;0),(C1204-$J$5)/$J$6,"")</x:f>
      </x:c>
      <x:c r="G1204" s="1" t="str">
        <x:f>IF(ISNUMBER(F1204),IF(ABS(F1204)&gt;3,1,0),"")</x:f>
      </x:c>
      <x:c r="H1204" s="1" t="str">
        <x:f>IF(ISNUMBER(F1204),F1204^4,"")</x:f>
      </x:c>
      <x:c r="I1204" s="1"/>
      <x:c r="J1204" s="1"/>
      <x:c r="K1204" s="1"/>
      <x:c r="L1204" s="1"/>
      <x:c r="M1204" s="1"/>
      <x:c r="N1204" s="1"/>
    </x:row>
    <x:row r="1205" ht="22" customHeight="1">
      <x:c r="A1205" s="14"/>
      <x:c r="B1205" s="15"/>
      <x:c r="C1205" s="16" t="str">
        <x:f>IF(AND(ISNUMBER(B1205),ISNUMBER(B1204),B1205&gt;0,B1204&gt;0),LN(B1205/B1204),"")</x:f>
      </x:c>
      <x:c r="D1205" s="16" t="str">
        <x:f>IF(ISNUMBER(C1205),ABS(C1205),"")</x:f>
      </x:c>
      <x:c r="E1205" s="16" t="str">
        <x:f>IF(ISNUMBER(C1205),C1205^2,"")</x:f>
      </x:c>
      <x:c r="F1205" s="16" t="str">
        <x:f>IF(AND(ISNUMBER(C1205),ISNUMBER($J$6),$J$6&gt;0),(C1205-$J$5)/$J$6,"")</x:f>
      </x:c>
      <x:c r="G1205" s="1" t="str">
        <x:f>IF(ISNUMBER(F1205),IF(ABS(F1205)&gt;3,1,0),"")</x:f>
      </x:c>
      <x:c r="H1205" s="1" t="str">
        <x:f>IF(ISNUMBER(F1205),F1205^4,"")</x:f>
      </x:c>
      <x:c r="I1205" s="1"/>
      <x:c r="J1205" s="1"/>
      <x:c r="K1205" s="1"/>
      <x:c r="L1205" s="1"/>
      <x:c r="M1205" s="1"/>
      <x:c r="N1205" s="1"/>
    </x:row>
    <x:row r="1206" ht="22" customHeight="1">
      <x:c r="A1206" s="14"/>
      <x:c r="B1206" s="15"/>
      <x:c r="C1206" s="16" t="str">
        <x:f>IF(AND(ISNUMBER(B1206),ISNUMBER(B1205),B1206&gt;0,B1205&gt;0),LN(B1206/B1205),"")</x:f>
      </x:c>
      <x:c r="D1206" s="16" t="str">
        <x:f>IF(ISNUMBER(C1206),ABS(C1206),"")</x:f>
      </x:c>
      <x:c r="E1206" s="16" t="str">
        <x:f>IF(ISNUMBER(C1206),C1206^2,"")</x:f>
      </x:c>
      <x:c r="F1206" s="16" t="str">
        <x:f>IF(AND(ISNUMBER(C1206),ISNUMBER($J$6),$J$6&gt;0),(C1206-$J$5)/$J$6,"")</x:f>
      </x:c>
      <x:c r="G1206" s="1" t="str">
        <x:f>IF(ISNUMBER(F1206),IF(ABS(F1206)&gt;3,1,0),"")</x:f>
      </x:c>
      <x:c r="H1206" s="1" t="str">
        <x:f>IF(ISNUMBER(F1206),F1206^4,"")</x:f>
      </x:c>
      <x:c r="I1206" s="1"/>
      <x:c r="J1206" s="1"/>
      <x:c r="K1206" s="1"/>
      <x:c r="L1206" s="1"/>
      <x:c r="M1206" s="1"/>
      <x:c r="N1206" s="1"/>
    </x:row>
    <x:row r="1207" ht="22" customHeight="1">
      <x:c r="A1207" s="14"/>
      <x:c r="B1207" s="15"/>
      <x:c r="C1207" s="16" t="str">
        <x:f>IF(AND(ISNUMBER(B1207),ISNUMBER(B1206),B1207&gt;0,B1206&gt;0),LN(B1207/B1206),"")</x:f>
      </x:c>
      <x:c r="D1207" s="16" t="str">
        <x:f>IF(ISNUMBER(C1207),ABS(C1207),"")</x:f>
      </x:c>
      <x:c r="E1207" s="16" t="str">
        <x:f>IF(ISNUMBER(C1207),C1207^2,"")</x:f>
      </x:c>
      <x:c r="F1207" s="16" t="str">
        <x:f>IF(AND(ISNUMBER(C1207),ISNUMBER($J$6),$J$6&gt;0),(C1207-$J$5)/$J$6,"")</x:f>
      </x:c>
      <x:c r="G1207" s="1" t="str">
        <x:f>IF(ISNUMBER(F1207),IF(ABS(F1207)&gt;3,1,0),"")</x:f>
      </x:c>
      <x:c r="H1207" s="1" t="str">
        <x:f>IF(ISNUMBER(F1207),F1207^4,"")</x:f>
      </x:c>
      <x:c r="I1207" s="1"/>
      <x:c r="J1207" s="1"/>
      <x:c r="K1207" s="1"/>
      <x:c r="L1207" s="1"/>
      <x:c r="M1207" s="1"/>
      <x:c r="N1207" s="1"/>
    </x:row>
    <x:row r="1208" ht="22" customHeight="1">
      <x:c r="A1208" s="14"/>
      <x:c r="B1208" s="15"/>
      <x:c r="C1208" s="16" t="str">
        <x:f>IF(AND(ISNUMBER(B1208),ISNUMBER(B1207),B1208&gt;0,B1207&gt;0),LN(B1208/B1207),"")</x:f>
      </x:c>
      <x:c r="D1208" s="16" t="str">
        <x:f>IF(ISNUMBER(C1208),ABS(C1208),"")</x:f>
      </x:c>
      <x:c r="E1208" s="16" t="str">
        <x:f>IF(ISNUMBER(C1208),C1208^2,"")</x:f>
      </x:c>
      <x:c r="F1208" s="16" t="str">
        <x:f>IF(AND(ISNUMBER(C1208),ISNUMBER($J$6),$J$6&gt;0),(C1208-$J$5)/$J$6,"")</x:f>
      </x:c>
      <x:c r="G1208" s="1" t="str">
        <x:f>IF(ISNUMBER(F1208),IF(ABS(F1208)&gt;3,1,0),"")</x:f>
      </x:c>
      <x:c r="H1208" s="1" t="str">
        <x:f>IF(ISNUMBER(F1208),F1208^4,"")</x:f>
      </x:c>
      <x:c r="I1208" s="1"/>
      <x:c r="J1208" s="1"/>
      <x:c r="K1208" s="1"/>
      <x:c r="L1208" s="1"/>
      <x:c r="M1208" s="1"/>
      <x:c r="N1208" s="1"/>
    </x:row>
    <x:row r="1209" ht="22" customHeight="1">
      <x:c r="A1209" s="14"/>
      <x:c r="B1209" s="15"/>
      <x:c r="C1209" s="16" t="str">
        <x:f>IF(AND(ISNUMBER(B1209),ISNUMBER(B1208),B1209&gt;0,B1208&gt;0),LN(B1209/B1208),"")</x:f>
      </x:c>
      <x:c r="D1209" s="16" t="str">
        <x:f>IF(ISNUMBER(C1209),ABS(C1209),"")</x:f>
      </x:c>
      <x:c r="E1209" s="16" t="str">
        <x:f>IF(ISNUMBER(C1209),C1209^2,"")</x:f>
      </x:c>
      <x:c r="F1209" s="16" t="str">
        <x:f>IF(AND(ISNUMBER(C1209),ISNUMBER($J$6),$J$6&gt;0),(C1209-$J$5)/$J$6,"")</x:f>
      </x:c>
      <x:c r="G1209" s="1" t="str">
        <x:f>IF(ISNUMBER(F1209),IF(ABS(F1209)&gt;3,1,0),"")</x:f>
      </x:c>
      <x:c r="H1209" s="1" t="str">
        <x:f>IF(ISNUMBER(F1209),F1209^4,"")</x:f>
      </x:c>
      <x:c r="I1209" s="1"/>
      <x:c r="J1209" s="1"/>
      <x:c r="K1209" s="1"/>
      <x:c r="L1209" s="1"/>
      <x:c r="M1209" s="1"/>
      <x:c r="N1209" s="1"/>
    </x:row>
    <x:row r="1210" ht="22" customHeight="1">
      <x:c r="A1210" s="14"/>
      <x:c r="B1210" s="15"/>
      <x:c r="C1210" s="16" t="str">
        <x:f>IF(AND(ISNUMBER(B1210),ISNUMBER(B1209),B1210&gt;0,B1209&gt;0),LN(B1210/B1209),"")</x:f>
      </x:c>
      <x:c r="D1210" s="16" t="str">
        <x:f>IF(ISNUMBER(C1210),ABS(C1210),"")</x:f>
      </x:c>
      <x:c r="E1210" s="16" t="str">
        <x:f>IF(ISNUMBER(C1210),C1210^2,"")</x:f>
      </x:c>
      <x:c r="F1210" s="16" t="str">
        <x:f>IF(AND(ISNUMBER(C1210),ISNUMBER($J$6),$J$6&gt;0),(C1210-$J$5)/$J$6,"")</x:f>
      </x:c>
      <x:c r="G1210" s="1" t="str">
        <x:f>IF(ISNUMBER(F1210),IF(ABS(F1210)&gt;3,1,0),"")</x:f>
      </x:c>
      <x:c r="H1210" s="1" t="str">
        <x:f>IF(ISNUMBER(F1210),F1210^4,"")</x:f>
      </x:c>
      <x:c r="I1210" s="1"/>
      <x:c r="J1210" s="1"/>
      <x:c r="K1210" s="1"/>
      <x:c r="L1210" s="1"/>
      <x:c r="M1210" s="1"/>
      <x:c r="N1210" s="1"/>
    </x:row>
    <x:row r="1211" ht="22" customHeight="1">
      <x:c r="A1211" s="14"/>
      <x:c r="B1211" s="15"/>
      <x:c r="C1211" s="16" t="str">
        <x:f>IF(AND(ISNUMBER(B1211),ISNUMBER(B1210),B1211&gt;0,B1210&gt;0),LN(B1211/B1210),"")</x:f>
      </x:c>
      <x:c r="D1211" s="16" t="str">
        <x:f>IF(ISNUMBER(C1211),ABS(C1211),"")</x:f>
      </x:c>
      <x:c r="E1211" s="16" t="str">
        <x:f>IF(ISNUMBER(C1211),C1211^2,"")</x:f>
      </x:c>
      <x:c r="F1211" s="16" t="str">
        <x:f>IF(AND(ISNUMBER(C1211),ISNUMBER($J$6),$J$6&gt;0),(C1211-$J$5)/$J$6,"")</x:f>
      </x:c>
      <x:c r="G1211" s="1" t="str">
        <x:f>IF(ISNUMBER(F1211),IF(ABS(F1211)&gt;3,1,0),"")</x:f>
      </x:c>
      <x:c r="H1211" s="1" t="str">
        <x:f>IF(ISNUMBER(F1211),F1211^4,"")</x:f>
      </x:c>
      <x:c r="I1211" s="1"/>
      <x:c r="J1211" s="1"/>
      <x:c r="K1211" s="1"/>
      <x:c r="L1211" s="1"/>
      <x:c r="M1211" s="1"/>
      <x:c r="N1211" s="1"/>
    </x:row>
    <x:row r="1212" ht="22" customHeight="1">
      <x:c r="A1212" s="14"/>
      <x:c r="B1212" s="15"/>
      <x:c r="C1212" s="16" t="str">
        <x:f>IF(AND(ISNUMBER(B1212),ISNUMBER(B1211),B1212&gt;0,B1211&gt;0),LN(B1212/B1211),"")</x:f>
      </x:c>
      <x:c r="D1212" s="16" t="str">
        <x:f>IF(ISNUMBER(C1212),ABS(C1212),"")</x:f>
      </x:c>
      <x:c r="E1212" s="16" t="str">
        <x:f>IF(ISNUMBER(C1212),C1212^2,"")</x:f>
      </x:c>
      <x:c r="F1212" s="16" t="str">
        <x:f>IF(AND(ISNUMBER(C1212),ISNUMBER($J$6),$J$6&gt;0),(C1212-$J$5)/$J$6,"")</x:f>
      </x:c>
      <x:c r="G1212" s="1" t="str">
        <x:f>IF(ISNUMBER(F1212),IF(ABS(F1212)&gt;3,1,0),"")</x:f>
      </x:c>
      <x:c r="H1212" s="1" t="str">
        <x:f>IF(ISNUMBER(F1212),F1212^4,"")</x:f>
      </x:c>
      <x:c r="I1212" s="1"/>
      <x:c r="J1212" s="1"/>
      <x:c r="K1212" s="1"/>
      <x:c r="L1212" s="1"/>
      <x:c r="M1212" s="1"/>
      <x:c r="N1212" s="1"/>
    </x:row>
    <x:row r="1213" ht="22" customHeight="1">
      <x:c r="A1213" s="14"/>
      <x:c r="B1213" s="15"/>
      <x:c r="C1213" s="16" t="str">
        <x:f>IF(AND(ISNUMBER(B1213),ISNUMBER(B1212),B1213&gt;0,B1212&gt;0),LN(B1213/B1212),"")</x:f>
      </x:c>
      <x:c r="D1213" s="16" t="str">
        <x:f>IF(ISNUMBER(C1213),ABS(C1213),"")</x:f>
      </x:c>
      <x:c r="E1213" s="16" t="str">
        <x:f>IF(ISNUMBER(C1213),C1213^2,"")</x:f>
      </x:c>
      <x:c r="F1213" s="16" t="str">
        <x:f>IF(AND(ISNUMBER(C1213),ISNUMBER($J$6),$J$6&gt;0),(C1213-$J$5)/$J$6,"")</x:f>
      </x:c>
      <x:c r="G1213" s="1" t="str">
        <x:f>IF(ISNUMBER(F1213),IF(ABS(F1213)&gt;3,1,0),"")</x:f>
      </x:c>
      <x:c r="H1213" s="1" t="str">
        <x:f>IF(ISNUMBER(F1213),F1213^4,"")</x:f>
      </x:c>
      <x:c r="I1213" s="1"/>
      <x:c r="J1213" s="1"/>
      <x:c r="K1213" s="1"/>
      <x:c r="L1213" s="1"/>
      <x:c r="M1213" s="1"/>
      <x:c r="N1213" s="1"/>
    </x:row>
    <x:row r="1214" ht="22" customHeight="1">
      <x:c r="A1214" s="14"/>
      <x:c r="B1214" s="15"/>
      <x:c r="C1214" s="16" t="str">
        <x:f>IF(AND(ISNUMBER(B1214),ISNUMBER(B1213),B1214&gt;0,B1213&gt;0),LN(B1214/B1213),"")</x:f>
      </x:c>
      <x:c r="D1214" s="16" t="str">
        <x:f>IF(ISNUMBER(C1214),ABS(C1214),"")</x:f>
      </x:c>
      <x:c r="E1214" s="16" t="str">
        <x:f>IF(ISNUMBER(C1214),C1214^2,"")</x:f>
      </x:c>
      <x:c r="F1214" s="16" t="str">
        <x:f>IF(AND(ISNUMBER(C1214),ISNUMBER($J$6),$J$6&gt;0),(C1214-$J$5)/$J$6,"")</x:f>
      </x:c>
      <x:c r="G1214" s="1" t="str">
        <x:f>IF(ISNUMBER(F1214),IF(ABS(F1214)&gt;3,1,0),"")</x:f>
      </x:c>
      <x:c r="H1214" s="1" t="str">
        <x:f>IF(ISNUMBER(F1214),F1214^4,"")</x:f>
      </x:c>
      <x:c r="I1214" s="1"/>
      <x:c r="J1214" s="1"/>
      <x:c r="K1214" s="1"/>
      <x:c r="L1214" s="1"/>
      <x:c r="M1214" s="1"/>
      <x:c r="N1214" s="1"/>
    </x:row>
    <x:row r="1215" ht="22" customHeight="1">
      <x:c r="A1215" s="14"/>
      <x:c r="B1215" s="15"/>
      <x:c r="C1215" s="16" t="str">
        <x:f>IF(AND(ISNUMBER(B1215),ISNUMBER(B1214),B1215&gt;0,B1214&gt;0),LN(B1215/B1214),"")</x:f>
      </x:c>
      <x:c r="D1215" s="16" t="str">
        <x:f>IF(ISNUMBER(C1215),ABS(C1215),"")</x:f>
      </x:c>
      <x:c r="E1215" s="16" t="str">
        <x:f>IF(ISNUMBER(C1215),C1215^2,"")</x:f>
      </x:c>
      <x:c r="F1215" s="16" t="str">
        <x:f>IF(AND(ISNUMBER(C1215),ISNUMBER($J$6),$J$6&gt;0),(C1215-$J$5)/$J$6,"")</x:f>
      </x:c>
      <x:c r="G1215" s="1" t="str">
        <x:f>IF(ISNUMBER(F1215),IF(ABS(F1215)&gt;3,1,0),"")</x:f>
      </x:c>
      <x:c r="H1215" s="1" t="str">
        <x:f>IF(ISNUMBER(F1215),F1215^4,"")</x:f>
      </x:c>
      <x:c r="I1215" s="1"/>
      <x:c r="J1215" s="1"/>
      <x:c r="K1215" s="1"/>
      <x:c r="L1215" s="1"/>
      <x:c r="M1215" s="1"/>
      <x:c r="N1215" s="1"/>
    </x:row>
    <x:row r="1216" ht="22" customHeight="1">
      <x:c r="A1216" s="14"/>
      <x:c r="B1216" s="15"/>
      <x:c r="C1216" s="16" t="str">
        <x:f>IF(AND(ISNUMBER(B1216),ISNUMBER(B1215),B1216&gt;0,B1215&gt;0),LN(B1216/B1215),"")</x:f>
      </x:c>
      <x:c r="D1216" s="16" t="str">
        <x:f>IF(ISNUMBER(C1216),ABS(C1216),"")</x:f>
      </x:c>
      <x:c r="E1216" s="16" t="str">
        <x:f>IF(ISNUMBER(C1216),C1216^2,"")</x:f>
      </x:c>
      <x:c r="F1216" s="16" t="str">
        <x:f>IF(AND(ISNUMBER(C1216),ISNUMBER($J$6),$J$6&gt;0),(C1216-$J$5)/$J$6,"")</x:f>
      </x:c>
      <x:c r="G1216" s="1" t="str">
        <x:f>IF(ISNUMBER(F1216),IF(ABS(F1216)&gt;3,1,0),"")</x:f>
      </x:c>
      <x:c r="H1216" s="1" t="str">
        <x:f>IF(ISNUMBER(F1216),F1216^4,"")</x:f>
      </x:c>
      <x:c r="I1216" s="1"/>
      <x:c r="J1216" s="1"/>
      <x:c r="K1216" s="1"/>
      <x:c r="L1216" s="1"/>
      <x:c r="M1216" s="1"/>
      <x:c r="N1216" s="1"/>
    </x:row>
    <x:row r="1217" ht="22" customHeight="1">
      <x:c r="A1217" s="14"/>
      <x:c r="B1217" s="15"/>
      <x:c r="C1217" s="16" t="str">
        <x:f>IF(AND(ISNUMBER(B1217),ISNUMBER(B1216),B1217&gt;0,B1216&gt;0),LN(B1217/B1216),"")</x:f>
      </x:c>
      <x:c r="D1217" s="16" t="str">
        <x:f>IF(ISNUMBER(C1217),ABS(C1217),"")</x:f>
      </x:c>
      <x:c r="E1217" s="16" t="str">
        <x:f>IF(ISNUMBER(C1217),C1217^2,"")</x:f>
      </x:c>
      <x:c r="F1217" s="16" t="str">
        <x:f>IF(AND(ISNUMBER(C1217),ISNUMBER($J$6),$J$6&gt;0),(C1217-$J$5)/$J$6,"")</x:f>
      </x:c>
      <x:c r="G1217" s="1" t="str">
        <x:f>IF(ISNUMBER(F1217),IF(ABS(F1217)&gt;3,1,0),"")</x:f>
      </x:c>
      <x:c r="H1217" s="1" t="str">
        <x:f>IF(ISNUMBER(F1217),F1217^4,"")</x:f>
      </x:c>
      <x:c r="I1217" s="1"/>
      <x:c r="J1217" s="1"/>
      <x:c r="K1217" s="1"/>
      <x:c r="L1217" s="1"/>
      <x:c r="M1217" s="1"/>
      <x:c r="N1217" s="1"/>
    </x:row>
    <x:row r="1218" ht="22" customHeight="1">
      <x:c r="A1218" s="14"/>
      <x:c r="B1218" s="15"/>
      <x:c r="C1218" s="16" t="str">
        <x:f>IF(AND(ISNUMBER(B1218),ISNUMBER(B1217),B1218&gt;0,B1217&gt;0),LN(B1218/B1217),"")</x:f>
      </x:c>
      <x:c r="D1218" s="16" t="str">
        <x:f>IF(ISNUMBER(C1218),ABS(C1218),"")</x:f>
      </x:c>
      <x:c r="E1218" s="16" t="str">
        <x:f>IF(ISNUMBER(C1218),C1218^2,"")</x:f>
      </x:c>
      <x:c r="F1218" s="16" t="str">
        <x:f>IF(AND(ISNUMBER(C1218),ISNUMBER($J$6),$J$6&gt;0),(C1218-$J$5)/$J$6,"")</x:f>
      </x:c>
      <x:c r="G1218" s="1" t="str">
        <x:f>IF(ISNUMBER(F1218),IF(ABS(F1218)&gt;3,1,0),"")</x:f>
      </x:c>
      <x:c r="H1218" s="1" t="str">
        <x:f>IF(ISNUMBER(F1218),F1218^4,"")</x:f>
      </x:c>
      <x:c r="I1218" s="1"/>
      <x:c r="J1218" s="1"/>
      <x:c r="K1218" s="1"/>
      <x:c r="L1218" s="1"/>
      <x:c r="M1218" s="1"/>
      <x:c r="N1218" s="1"/>
    </x:row>
    <x:row r="1219" ht="22" customHeight="1">
      <x:c r="A1219" s="14"/>
      <x:c r="B1219" s="15"/>
      <x:c r="C1219" s="16" t="str">
        <x:f>IF(AND(ISNUMBER(B1219),ISNUMBER(B1218),B1219&gt;0,B1218&gt;0),LN(B1219/B1218),"")</x:f>
      </x:c>
      <x:c r="D1219" s="16" t="str">
        <x:f>IF(ISNUMBER(C1219),ABS(C1219),"")</x:f>
      </x:c>
      <x:c r="E1219" s="16" t="str">
        <x:f>IF(ISNUMBER(C1219),C1219^2,"")</x:f>
      </x:c>
      <x:c r="F1219" s="16" t="str">
        <x:f>IF(AND(ISNUMBER(C1219),ISNUMBER($J$6),$J$6&gt;0),(C1219-$J$5)/$J$6,"")</x:f>
      </x:c>
      <x:c r="G1219" s="1" t="str">
        <x:f>IF(ISNUMBER(F1219),IF(ABS(F1219)&gt;3,1,0),"")</x:f>
      </x:c>
      <x:c r="H1219" s="1" t="str">
        <x:f>IF(ISNUMBER(F1219),F1219^4,"")</x:f>
      </x:c>
      <x:c r="I1219" s="1"/>
      <x:c r="J1219" s="1"/>
      <x:c r="K1219" s="1"/>
      <x:c r="L1219" s="1"/>
      <x:c r="M1219" s="1"/>
      <x:c r="N1219" s="1"/>
    </x:row>
    <x:row r="1220" ht="22" customHeight="1">
      <x:c r="A1220" s="14"/>
      <x:c r="B1220" s="15"/>
      <x:c r="C1220" s="16" t="str">
        <x:f>IF(AND(ISNUMBER(B1220),ISNUMBER(B1219),B1220&gt;0,B1219&gt;0),LN(B1220/B1219),"")</x:f>
      </x:c>
      <x:c r="D1220" s="16" t="str">
        <x:f>IF(ISNUMBER(C1220),ABS(C1220),"")</x:f>
      </x:c>
      <x:c r="E1220" s="16" t="str">
        <x:f>IF(ISNUMBER(C1220),C1220^2,"")</x:f>
      </x:c>
      <x:c r="F1220" s="16" t="str">
        <x:f>IF(AND(ISNUMBER(C1220),ISNUMBER($J$6),$J$6&gt;0),(C1220-$J$5)/$J$6,"")</x:f>
      </x:c>
      <x:c r="G1220" s="1" t="str">
        <x:f>IF(ISNUMBER(F1220),IF(ABS(F1220)&gt;3,1,0),"")</x:f>
      </x:c>
      <x:c r="H1220" s="1" t="str">
        <x:f>IF(ISNUMBER(F1220),F1220^4,"")</x:f>
      </x:c>
      <x:c r="I1220" s="1"/>
      <x:c r="J1220" s="1"/>
      <x:c r="K1220" s="1"/>
      <x:c r="L1220" s="1"/>
      <x:c r="M1220" s="1"/>
      <x:c r="N1220" s="1"/>
    </x:row>
    <x:row r="1221" ht="22" customHeight="1">
      <x:c r="A1221" s="14"/>
      <x:c r="B1221" s="15"/>
      <x:c r="C1221" s="16" t="str">
        <x:f>IF(AND(ISNUMBER(B1221),ISNUMBER(B1220),B1221&gt;0,B1220&gt;0),LN(B1221/B1220),"")</x:f>
      </x:c>
      <x:c r="D1221" s="16" t="str">
        <x:f>IF(ISNUMBER(C1221),ABS(C1221),"")</x:f>
      </x:c>
      <x:c r="E1221" s="16" t="str">
        <x:f>IF(ISNUMBER(C1221),C1221^2,"")</x:f>
      </x:c>
      <x:c r="F1221" s="16" t="str">
        <x:f>IF(AND(ISNUMBER(C1221),ISNUMBER($J$6),$J$6&gt;0),(C1221-$J$5)/$J$6,"")</x:f>
      </x:c>
      <x:c r="G1221" s="1" t="str">
        <x:f>IF(ISNUMBER(F1221),IF(ABS(F1221)&gt;3,1,0),"")</x:f>
      </x:c>
      <x:c r="H1221" s="1" t="str">
        <x:f>IF(ISNUMBER(F1221),F1221^4,"")</x:f>
      </x:c>
      <x:c r="I1221" s="1"/>
      <x:c r="J1221" s="1"/>
      <x:c r="K1221" s="1"/>
      <x:c r="L1221" s="1"/>
      <x:c r="M1221" s="1"/>
      <x:c r="N1221" s="1"/>
    </x:row>
    <x:row r="1222" ht="22" customHeight="1">
      <x:c r="A1222" s="14"/>
      <x:c r="B1222" s="15"/>
      <x:c r="C1222" s="16" t="str">
        <x:f>IF(AND(ISNUMBER(B1222),ISNUMBER(B1221),B1222&gt;0,B1221&gt;0),LN(B1222/B1221),"")</x:f>
      </x:c>
      <x:c r="D1222" s="16" t="str">
        <x:f>IF(ISNUMBER(C1222),ABS(C1222),"")</x:f>
      </x:c>
      <x:c r="E1222" s="16" t="str">
        <x:f>IF(ISNUMBER(C1222),C1222^2,"")</x:f>
      </x:c>
      <x:c r="F1222" s="16" t="str">
        <x:f>IF(AND(ISNUMBER(C1222),ISNUMBER($J$6),$J$6&gt;0),(C1222-$J$5)/$J$6,"")</x:f>
      </x:c>
      <x:c r="G1222" s="1" t="str">
        <x:f>IF(ISNUMBER(F1222),IF(ABS(F1222)&gt;3,1,0),"")</x:f>
      </x:c>
      <x:c r="H1222" s="1" t="str">
        <x:f>IF(ISNUMBER(F1222),F1222^4,"")</x:f>
      </x:c>
      <x:c r="I1222" s="1"/>
      <x:c r="J1222" s="1"/>
      <x:c r="K1222" s="1"/>
      <x:c r="L1222" s="1"/>
      <x:c r="M1222" s="1"/>
      <x:c r="N1222" s="1"/>
    </x:row>
    <x:row r="1223" ht="22" customHeight="1">
      <x:c r="A1223" s="14"/>
      <x:c r="B1223" s="15"/>
      <x:c r="C1223" s="16" t="str">
        <x:f>IF(AND(ISNUMBER(B1223),ISNUMBER(B1222),B1223&gt;0,B1222&gt;0),LN(B1223/B1222),"")</x:f>
      </x:c>
      <x:c r="D1223" s="16" t="str">
        <x:f>IF(ISNUMBER(C1223),ABS(C1223),"")</x:f>
      </x:c>
      <x:c r="E1223" s="16" t="str">
        <x:f>IF(ISNUMBER(C1223),C1223^2,"")</x:f>
      </x:c>
      <x:c r="F1223" s="16" t="str">
        <x:f>IF(AND(ISNUMBER(C1223),ISNUMBER($J$6),$J$6&gt;0),(C1223-$J$5)/$J$6,"")</x:f>
      </x:c>
      <x:c r="G1223" s="1" t="str">
        <x:f>IF(ISNUMBER(F1223),IF(ABS(F1223)&gt;3,1,0),"")</x:f>
      </x:c>
      <x:c r="H1223" s="1" t="str">
        <x:f>IF(ISNUMBER(F1223),F1223^4,"")</x:f>
      </x:c>
      <x:c r="I1223" s="1"/>
      <x:c r="J1223" s="1"/>
      <x:c r="K1223" s="1"/>
      <x:c r="L1223" s="1"/>
      <x:c r="M1223" s="1"/>
      <x:c r="N1223" s="1"/>
    </x:row>
    <x:row r="1224" ht="22" customHeight="1">
      <x:c r="A1224" s="14"/>
      <x:c r="B1224" s="15"/>
      <x:c r="C1224" s="16" t="str">
        <x:f>IF(AND(ISNUMBER(B1224),ISNUMBER(B1223),B1224&gt;0,B1223&gt;0),LN(B1224/B1223),"")</x:f>
      </x:c>
      <x:c r="D1224" s="16" t="str">
        <x:f>IF(ISNUMBER(C1224),ABS(C1224),"")</x:f>
      </x:c>
      <x:c r="E1224" s="16" t="str">
        <x:f>IF(ISNUMBER(C1224),C1224^2,"")</x:f>
      </x:c>
      <x:c r="F1224" s="16" t="str">
        <x:f>IF(AND(ISNUMBER(C1224),ISNUMBER($J$6),$J$6&gt;0),(C1224-$J$5)/$J$6,"")</x:f>
      </x:c>
      <x:c r="G1224" s="1" t="str">
        <x:f>IF(ISNUMBER(F1224),IF(ABS(F1224)&gt;3,1,0),"")</x:f>
      </x:c>
      <x:c r="H1224" s="1" t="str">
        <x:f>IF(ISNUMBER(F1224),F1224^4,"")</x:f>
      </x:c>
      <x:c r="I1224" s="1"/>
      <x:c r="J1224" s="1"/>
      <x:c r="K1224" s="1"/>
      <x:c r="L1224" s="1"/>
      <x:c r="M1224" s="1"/>
      <x:c r="N1224" s="1"/>
    </x:row>
    <x:row r="1225" ht="22" customHeight="1">
      <x:c r="A1225" s="14"/>
      <x:c r="B1225" s="15"/>
      <x:c r="C1225" s="16" t="str">
        <x:f>IF(AND(ISNUMBER(B1225),ISNUMBER(B1224),B1225&gt;0,B1224&gt;0),LN(B1225/B1224),"")</x:f>
      </x:c>
      <x:c r="D1225" s="16" t="str">
        <x:f>IF(ISNUMBER(C1225),ABS(C1225),"")</x:f>
      </x:c>
      <x:c r="E1225" s="16" t="str">
        <x:f>IF(ISNUMBER(C1225),C1225^2,"")</x:f>
      </x:c>
      <x:c r="F1225" s="16" t="str">
        <x:f>IF(AND(ISNUMBER(C1225),ISNUMBER($J$6),$J$6&gt;0),(C1225-$J$5)/$J$6,"")</x:f>
      </x:c>
      <x:c r="G1225" s="1" t="str">
        <x:f>IF(ISNUMBER(F1225),IF(ABS(F1225)&gt;3,1,0),"")</x:f>
      </x:c>
      <x:c r="H1225" s="1" t="str">
        <x:f>IF(ISNUMBER(F1225),F1225^4,"")</x:f>
      </x:c>
      <x:c r="I1225" s="1"/>
      <x:c r="J1225" s="1"/>
      <x:c r="K1225" s="1"/>
      <x:c r="L1225" s="1"/>
      <x:c r="M1225" s="1"/>
      <x:c r="N1225" s="1"/>
    </x:row>
    <x:row r="1226" ht="22" customHeight="1">
      <x:c r="A1226" s="14"/>
      <x:c r="B1226" s="15"/>
      <x:c r="C1226" s="16" t="str">
        <x:f>IF(AND(ISNUMBER(B1226),ISNUMBER(B1225),B1226&gt;0,B1225&gt;0),LN(B1226/B1225),"")</x:f>
      </x:c>
      <x:c r="D1226" s="16" t="str">
        <x:f>IF(ISNUMBER(C1226),ABS(C1226),"")</x:f>
      </x:c>
      <x:c r="E1226" s="16" t="str">
        <x:f>IF(ISNUMBER(C1226),C1226^2,"")</x:f>
      </x:c>
      <x:c r="F1226" s="16" t="str">
        <x:f>IF(AND(ISNUMBER(C1226),ISNUMBER($J$6),$J$6&gt;0),(C1226-$J$5)/$J$6,"")</x:f>
      </x:c>
      <x:c r="G1226" s="1" t="str">
        <x:f>IF(ISNUMBER(F1226),IF(ABS(F1226)&gt;3,1,0),"")</x:f>
      </x:c>
      <x:c r="H1226" s="1" t="str">
        <x:f>IF(ISNUMBER(F1226),F1226^4,"")</x:f>
      </x:c>
      <x:c r="I1226" s="1"/>
      <x:c r="J1226" s="1"/>
      <x:c r="K1226" s="1"/>
      <x:c r="L1226" s="1"/>
      <x:c r="M1226" s="1"/>
      <x:c r="N1226" s="1"/>
    </x:row>
    <x:row r="1227" ht="22" customHeight="1">
      <x:c r="A1227" s="14"/>
      <x:c r="B1227" s="15"/>
      <x:c r="C1227" s="16" t="str">
        <x:f>IF(AND(ISNUMBER(B1227),ISNUMBER(B1226),B1227&gt;0,B1226&gt;0),LN(B1227/B1226),"")</x:f>
      </x:c>
      <x:c r="D1227" s="16" t="str">
        <x:f>IF(ISNUMBER(C1227),ABS(C1227),"")</x:f>
      </x:c>
      <x:c r="E1227" s="16" t="str">
        <x:f>IF(ISNUMBER(C1227),C1227^2,"")</x:f>
      </x:c>
      <x:c r="F1227" s="16" t="str">
        <x:f>IF(AND(ISNUMBER(C1227),ISNUMBER($J$6),$J$6&gt;0),(C1227-$J$5)/$J$6,"")</x:f>
      </x:c>
      <x:c r="G1227" s="1" t="str">
        <x:f>IF(ISNUMBER(F1227),IF(ABS(F1227)&gt;3,1,0),"")</x:f>
      </x:c>
      <x:c r="H1227" s="1" t="str">
        <x:f>IF(ISNUMBER(F1227),F1227^4,"")</x:f>
      </x:c>
      <x:c r="I1227" s="1"/>
      <x:c r="J1227" s="1"/>
      <x:c r="K1227" s="1"/>
      <x:c r="L1227" s="1"/>
      <x:c r="M1227" s="1"/>
      <x:c r="N1227" s="1"/>
    </x:row>
    <x:row r="1228" ht="22" customHeight="1">
      <x:c r="A1228" s="14"/>
      <x:c r="B1228" s="15"/>
      <x:c r="C1228" s="16" t="str">
        <x:f>IF(AND(ISNUMBER(B1228),ISNUMBER(B1227),B1228&gt;0,B1227&gt;0),LN(B1228/B1227),"")</x:f>
      </x:c>
      <x:c r="D1228" s="16" t="str">
        <x:f>IF(ISNUMBER(C1228),ABS(C1228),"")</x:f>
      </x:c>
      <x:c r="E1228" s="16" t="str">
        <x:f>IF(ISNUMBER(C1228),C1228^2,"")</x:f>
      </x:c>
      <x:c r="F1228" s="16" t="str">
        <x:f>IF(AND(ISNUMBER(C1228),ISNUMBER($J$6),$J$6&gt;0),(C1228-$J$5)/$J$6,"")</x:f>
      </x:c>
      <x:c r="G1228" s="1" t="str">
        <x:f>IF(ISNUMBER(F1228),IF(ABS(F1228)&gt;3,1,0),"")</x:f>
      </x:c>
      <x:c r="H1228" s="1" t="str">
        <x:f>IF(ISNUMBER(F1228),F1228^4,"")</x:f>
      </x:c>
      <x:c r="I1228" s="1"/>
      <x:c r="J1228" s="1"/>
      <x:c r="K1228" s="1"/>
      <x:c r="L1228" s="1"/>
      <x:c r="M1228" s="1"/>
      <x:c r="N1228" s="1"/>
    </x:row>
    <x:row r="1229" ht="22" customHeight="1">
      <x:c r="A1229" s="14"/>
      <x:c r="B1229" s="15"/>
      <x:c r="C1229" s="16" t="str">
        <x:f>IF(AND(ISNUMBER(B1229),ISNUMBER(B1228),B1229&gt;0,B1228&gt;0),LN(B1229/B1228),"")</x:f>
      </x:c>
      <x:c r="D1229" s="16" t="str">
        <x:f>IF(ISNUMBER(C1229),ABS(C1229),"")</x:f>
      </x:c>
      <x:c r="E1229" s="16" t="str">
        <x:f>IF(ISNUMBER(C1229),C1229^2,"")</x:f>
      </x:c>
      <x:c r="F1229" s="16" t="str">
        <x:f>IF(AND(ISNUMBER(C1229),ISNUMBER($J$6),$J$6&gt;0),(C1229-$J$5)/$J$6,"")</x:f>
      </x:c>
      <x:c r="G1229" s="1" t="str">
        <x:f>IF(ISNUMBER(F1229),IF(ABS(F1229)&gt;3,1,0),"")</x:f>
      </x:c>
      <x:c r="H1229" s="1" t="str">
        <x:f>IF(ISNUMBER(F1229),F1229^4,"")</x:f>
      </x:c>
      <x:c r="I1229" s="1"/>
      <x:c r="J1229" s="1"/>
      <x:c r="K1229" s="1"/>
      <x:c r="L1229" s="1"/>
      <x:c r="M1229" s="1"/>
      <x:c r="N1229" s="1"/>
    </x:row>
    <x:row r="1230" ht="22" customHeight="1">
      <x:c r="A1230" s="14"/>
      <x:c r="B1230" s="15"/>
      <x:c r="C1230" s="16" t="str">
        <x:f>IF(AND(ISNUMBER(B1230),ISNUMBER(B1229),B1230&gt;0,B1229&gt;0),LN(B1230/B1229),"")</x:f>
      </x:c>
      <x:c r="D1230" s="16" t="str">
        <x:f>IF(ISNUMBER(C1230),ABS(C1230),"")</x:f>
      </x:c>
      <x:c r="E1230" s="16" t="str">
        <x:f>IF(ISNUMBER(C1230),C1230^2,"")</x:f>
      </x:c>
      <x:c r="F1230" s="16" t="str">
        <x:f>IF(AND(ISNUMBER(C1230),ISNUMBER($J$6),$J$6&gt;0),(C1230-$J$5)/$J$6,"")</x:f>
      </x:c>
      <x:c r="G1230" s="1" t="str">
        <x:f>IF(ISNUMBER(F1230),IF(ABS(F1230)&gt;3,1,0),"")</x:f>
      </x:c>
      <x:c r="H1230" s="1" t="str">
        <x:f>IF(ISNUMBER(F1230),F1230^4,"")</x:f>
      </x:c>
      <x:c r="I1230" s="1"/>
      <x:c r="J1230" s="1"/>
      <x:c r="K1230" s="1"/>
      <x:c r="L1230" s="1"/>
      <x:c r="M1230" s="1"/>
      <x:c r="N1230" s="1"/>
    </x:row>
    <x:row r="1231" ht="22" customHeight="1">
      <x:c r="A1231" s="14"/>
      <x:c r="B1231" s="15"/>
      <x:c r="C1231" s="16" t="str">
        <x:f>IF(AND(ISNUMBER(B1231),ISNUMBER(B1230),B1231&gt;0,B1230&gt;0),LN(B1231/B1230),"")</x:f>
      </x:c>
      <x:c r="D1231" s="16" t="str">
        <x:f>IF(ISNUMBER(C1231),ABS(C1231),"")</x:f>
      </x:c>
      <x:c r="E1231" s="16" t="str">
        <x:f>IF(ISNUMBER(C1231),C1231^2,"")</x:f>
      </x:c>
      <x:c r="F1231" s="16" t="str">
        <x:f>IF(AND(ISNUMBER(C1231),ISNUMBER($J$6),$J$6&gt;0),(C1231-$J$5)/$J$6,"")</x:f>
      </x:c>
      <x:c r="G1231" s="1" t="str">
        <x:f>IF(ISNUMBER(F1231),IF(ABS(F1231)&gt;3,1,0),"")</x:f>
      </x:c>
      <x:c r="H1231" s="1" t="str">
        <x:f>IF(ISNUMBER(F1231),F1231^4,"")</x:f>
      </x:c>
      <x:c r="I1231" s="1"/>
      <x:c r="J1231" s="1"/>
      <x:c r="K1231" s="1"/>
      <x:c r="L1231" s="1"/>
      <x:c r="M1231" s="1"/>
      <x:c r="N1231" s="1"/>
    </x:row>
    <x:row r="1232" ht="22" customHeight="1">
      <x:c r="A1232" s="14"/>
      <x:c r="B1232" s="15"/>
      <x:c r="C1232" s="16" t="str">
        <x:f>IF(AND(ISNUMBER(B1232),ISNUMBER(B1231),B1232&gt;0,B1231&gt;0),LN(B1232/B1231),"")</x:f>
      </x:c>
      <x:c r="D1232" s="16" t="str">
        <x:f>IF(ISNUMBER(C1232),ABS(C1232),"")</x:f>
      </x:c>
      <x:c r="E1232" s="16" t="str">
        <x:f>IF(ISNUMBER(C1232),C1232^2,"")</x:f>
      </x:c>
      <x:c r="F1232" s="16" t="str">
        <x:f>IF(AND(ISNUMBER(C1232),ISNUMBER($J$6),$J$6&gt;0),(C1232-$J$5)/$J$6,"")</x:f>
      </x:c>
      <x:c r="G1232" s="1" t="str">
        <x:f>IF(ISNUMBER(F1232),IF(ABS(F1232)&gt;3,1,0),"")</x:f>
      </x:c>
      <x:c r="H1232" s="1" t="str">
        <x:f>IF(ISNUMBER(F1232),F1232^4,"")</x:f>
      </x:c>
      <x:c r="I1232" s="1"/>
      <x:c r="J1232" s="1"/>
      <x:c r="K1232" s="1"/>
      <x:c r="L1232" s="1"/>
      <x:c r="M1232" s="1"/>
      <x:c r="N1232" s="1"/>
    </x:row>
    <x:row r="1233" ht="22" customHeight="1">
      <x:c r="A1233" s="14"/>
      <x:c r="B1233" s="15"/>
      <x:c r="C1233" s="16" t="str">
        <x:f>IF(AND(ISNUMBER(B1233),ISNUMBER(B1232),B1233&gt;0,B1232&gt;0),LN(B1233/B1232),"")</x:f>
      </x:c>
      <x:c r="D1233" s="16" t="str">
        <x:f>IF(ISNUMBER(C1233),ABS(C1233),"")</x:f>
      </x:c>
      <x:c r="E1233" s="16" t="str">
        <x:f>IF(ISNUMBER(C1233),C1233^2,"")</x:f>
      </x:c>
      <x:c r="F1233" s="16" t="str">
        <x:f>IF(AND(ISNUMBER(C1233),ISNUMBER($J$6),$J$6&gt;0),(C1233-$J$5)/$J$6,"")</x:f>
      </x:c>
      <x:c r="G1233" s="1" t="str">
        <x:f>IF(ISNUMBER(F1233),IF(ABS(F1233)&gt;3,1,0),"")</x:f>
      </x:c>
      <x:c r="H1233" s="1" t="str">
        <x:f>IF(ISNUMBER(F1233),F1233^4,"")</x:f>
      </x:c>
      <x:c r="I1233" s="1"/>
      <x:c r="J1233" s="1"/>
      <x:c r="K1233" s="1"/>
      <x:c r="L1233" s="1"/>
      <x:c r="M1233" s="1"/>
      <x:c r="N1233" s="1"/>
    </x:row>
    <x:row r="1234" ht="22" customHeight="1">
      <x:c r="A1234" s="14"/>
      <x:c r="B1234" s="15"/>
      <x:c r="C1234" s="16" t="str">
        <x:f>IF(AND(ISNUMBER(B1234),ISNUMBER(B1233),B1234&gt;0,B1233&gt;0),LN(B1234/B1233),"")</x:f>
      </x:c>
      <x:c r="D1234" s="16" t="str">
        <x:f>IF(ISNUMBER(C1234),ABS(C1234),"")</x:f>
      </x:c>
      <x:c r="E1234" s="16" t="str">
        <x:f>IF(ISNUMBER(C1234),C1234^2,"")</x:f>
      </x:c>
      <x:c r="F1234" s="16" t="str">
        <x:f>IF(AND(ISNUMBER(C1234),ISNUMBER($J$6),$J$6&gt;0),(C1234-$J$5)/$J$6,"")</x:f>
      </x:c>
      <x:c r="G1234" s="1" t="str">
        <x:f>IF(ISNUMBER(F1234),IF(ABS(F1234)&gt;3,1,0),"")</x:f>
      </x:c>
      <x:c r="H1234" s="1" t="str">
        <x:f>IF(ISNUMBER(F1234),F1234^4,"")</x:f>
      </x:c>
      <x:c r="I1234" s="1"/>
      <x:c r="J1234" s="1"/>
      <x:c r="K1234" s="1"/>
      <x:c r="L1234" s="1"/>
      <x:c r="M1234" s="1"/>
      <x:c r="N1234" s="1"/>
    </x:row>
    <x:row r="1235" ht="22" customHeight="1">
      <x:c r="A1235" s="14"/>
      <x:c r="B1235" s="15"/>
      <x:c r="C1235" s="16" t="str">
        <x:f>IF(AND(ISNUMBER(B1235),ISNUMBER(B1234),B1235&gt;0,B1234&gt;0),LN(B1235/B1234),"")</x:f>
      </x:c>
      <x:c r="D1235" s="16" t="str">
        <x:f>IF(ISNUMBER(C1235),ABS(C1235),"")</x:f>
      </x:c>
      <x:c r="E1235" s="16" t="str">
        <x:f>IF(ISNUMBER(C1235),C1235^2,"")</x:f>
      </x:c>
      <x:c r="F1235" s="16" t="str">
        <x:f>IF(AND(ISNUMBER(C1235),ISNUMBER($J$6),$J$6&gt;0),(C1235-$J$5)/$J$6,"")</x:f>
      </x:c>
      <x:c r="G1235" s="1" t="str">
        <x:f>IF(ISNUMBER(F1235),IF(ABS(F1235)&gt;3,1,0),"")</x:f>
      </x:c>
      <x:c r="H1235" s="1" t="str">
        <x:f>IF(ISNUMBER(F1235),F1235^4,"")</x:f>
      </x:c>
      <x:c r="I1235" s="1"/>
      <x:c r="J1235" s="1"/>
      <x:c r="K1235" s="1"/>
      <x:c r="L1235" s="1"/>
      <x:c r="M1235" s="1"/>
      <x:c r="N1235" s="1"/>
    </x:row>
    <x:row r="1236" ht="22" customHeight="1">
      <x:c r="A1236" s="14"/>
      <x:c r="B1236" s="15"/>
      <x:c r="C1236" s="16" t="str">
        <x:f>IF(AND(ISNUMBER(B1236),ISNUMBER(B1235),B1236&gt;0,B1235&gt;0),LN(B1236/B1235),"")</x:f>
      </x:c>
      <x:c r="D1236" s="16" t="str">
        <x:f>IF(ISNUMBER(C1236),ABS(C1236),"")</x:f>
      </x:c>
      <x:c r="E1236" s="16" t="str">
        <x:f>IF(ISNUMBER(C1236),C1236^2,"")</x:f>
      </x:c>
      <x:c r="F1236" s="16" t="str">
        <x:f>IF(AND(ISNUMBER(C1236),ISNUMBER($J$6),$J$6&gt;0),(C1236-$J$5)/$J$6,"")</x:f>
      </x:c>
      <x:c r="G1236" s="1" t="str">
        <x:f>IF(ISNUMBER(F1236),IF(ABS(F1236)&gt;3,1,0),"")</x:f>
      </x:c>
      <x:c r="H1236" s="1" t="str">
        <x:f>IF(ISNUMBER(F1236),F1236^4,"")</x:f>
      </x:c>
      <x:c r="I1236" s="1"/>
      <x:c r="J1236" s="1"/>
      <x:c r="K1236" s="1"/>
      <x:c r="L1236" s="1"/>
      <x:c r="M1236" s="1"/>
      <x:c r="N1236" s="1"/>
    </x:row>
    <x:row r="1237" ht="22" customHeight="1">
      <x:c r="A1237" s="14"/>
      <x:c r="B1237" s="15"/>
      <x:c r="C1237" s="16" t="str">
        <x:f>IF(AND(ISNUMBER(B1237),ISNUMBER(B1236),B1237&gt;0,B1236&gt;0),LN(B1237/B1236),"")</x:f>
      </x:c>
      <x:c r="D1237" s="16" t="str">
        <x:f>IF(ISNUMBER(C1237),ABS(C1237),"")</x:f>
      </x:c>
      <x:c r="E1237" s="16" t="str">
        <x:f>IF(ISNUMBER(C1237),C1237^2,"")</x:f>
      </x:c>
      <x:c r="F1237" s="16" t="str">
        <x:f>IF(AND(ISNUMBER(C1237),ISNUMBER($J$6),$J$6&gt;0),(C1237-$J$5)/$J$6,"")</x:f>
      </x:c>
      <x:c r="G1237" s="1" t="str">
        <x:f>IF(ISNUMBER(F1237),IF(ABS(F1237)&gt;3,1,0),"")</x:f>
      </x:c>
      <x:c r="H1237" s="1" t="str">
        <x:f>IF(ISNUMBER(F1237),F1237^4,"")</x:f>
      </x:c>
      <x:c r="I1237" s="1"/>
      <x:c r="J1237" s="1"/>
      <x:c r="K1237" s="1"/>
      <x:c r="L1237" s="1"/>
      <x:c r="M1237" s="1"/>
      <x:c r="N1237" s="1"/>
    </x:row>
    <x:row r="1238" ht="22" customHeight="1">
      <x:c r="A1238" s="14"/>
      <x:c r="B1238" s="15"/>
      <x:c r="C1238" s="16" t="str">
        <x:f>IF(AND(ISNUMBER(B1238),ISNUMBER(B1237),B1238&gt;0,B1237&gt;0),LN(B1238/B1237),"")</x:f>
      </x:c>
      <x:c r="D1238" s="16" t="str">
        <x:f>IF(ISNUMBER(C1238),ABS(C1238),"")</x:f>
      </x:c>
      <x:c r="E1238" s="16" t="str">
        <x:f>IF(ISNUMBER(C1238),C1238^2,"")</x:f>
      </x:c>
      <x:c r="F1238" s="16" t="str">
        <x:f>IF(AND(ISNUMBER(C1238),ISNUMBER($J$6),$J$6&gt;0),(C1238-$J$5)/$J$6,"")</x:f>
      </x:c>
      <x:c r="G1238" s="1" t="str">
        <x:f>IF(ISNUMBER(F1238),IF(ABS(F1238)&gt;3,1,0),"")</x:f>
      </x:c>
      <x:c r="H1238" s="1" t="str">
        <x:f>IF(ISNUMBER(F1238),F1238^4,"")</x:f>
      </x:c>
      <x:c r="I1238" s="1"/>
      <x:c r="J1238" s="1"/>
      <x:c r="K1238" s="1"/>
      <x:c r="L1238" s="1"/>
      <x:c r="M1238" s="1"/>
      <x:c r="N1238" s="1"/>
    </x:row>
    <x:row r="1239" ht="22" customHeight="1">
      <x:c r="A1239" s="14"/>
      <x:c r="B1239" s="15"/>
      <x:c r="C1239" s="16" t="str">
        <x:f>IF(AND(ISNUMBER(B1239),ISNUMBER(B1238),B1239&gt;0,B1238&gt;0),LN(B1239/B1238),"")</x:f>
      </x:c>
      <x:c r="D1239" s="16" t="str">
        <x:f>IF(ISNUMBER(C1239),ABS(C1239),"")</x:f>
      </x:c>
      <x:c r="E1239" s="16" t="str">
        <x:f>IF(ISNUMBER(C1239),C1239^2,"")</x:f>
      </x:c>
      <x:c r="F1239" s="16" t="str">
        <x:f>IF(AND(ISNUMBER(C1239),ISNUMBER($J$6),$J$6&gt;0),(C1239-$J$5)/$J$6,"")</x:f>
      </x:c>
      <x:c r="G1239" s="1" t="str">
        <x:f>IF(ISNUMBER(F1239),IF(ABS(F1239)&gt;3,1,0),"")</x:f>
      </x:c>
      <x:c r="H1239" s="1" t="str">
        <x:f>IF(ISNUMBER(F1239),F1239^4,"")</x:f>
      </x:c>
      <x:c r="I1239" s="1"/>
      <x:c r="J1239" s="1"/>
      <x:c r="K1239" s="1"/>
      <x:c r="L1239" s="1"/>
      <x:c r="M1239" s="1"/>
      <x:c r="N1239" s="1"/>
    </x:row>
    <x:row r="1240" ht="22" customHeight="1">
      <x:c r="A1240" s="14"/>
      <x:c r="B1240" s="15"/>
      <x:c r="C1240" s="16" t="str">
        <x:f>IF(AND(ISNUMBER(B1240),ISNUMBER(B1239),B1240&gt;0,B1239&gt;0),LN(B1240/B1239),"")</x:f>
      </x:c>
      <x:c r="D1240" s="16" t="str">
        <x:f>IF(ISNUMBER(C1240),ABS(C1240),"")</x:f>
      </x:c>
      <x:c r="E1240" s="16" t="str">
        <x:f>IF(ISNUMBER(C1240),C1240^2,"")</x:f>
      </x:c>
      <x:c r="F1240" s="16" t="str">
        <x:f>IF(AND(ISNUMBER(C1240),ISNUMBER($J$6),$J$6&gt;0),(C1240-$J$5)/$J$6,"")</x:f>
      </x:c>
      <x:c r="G1240" s="1" t="str">
        <x:f>IF(ISNUMBER(F1240),IF(ABS(F1240)&gt;3,1,0),"")</x:f>
      </x:c>
      <x:c r="H1240" s="1" t="str">
        <x:f>IF(ISNUMBER(F1240),F1240^4,"")</x:f>
      </x:c>
      <x:c r="I1240" s="1"/>
      <x:c r="J1240" s="1"/>
      <x:c r="K1240" s="1"/>
      <x:c r="L1240" s="1"/>
      <x:c r="M1240" s="1"/>
      <x:c r="N1240" s="1"/>
    </x:row>
    <x:row r="1241" ht="22" customHeight="1">
      <x:c r="A1241" s="14"/>
      <x:c r="B1241" s="15"/>
      <x:c r="C1241" s="16" t="str">
        <x:f>IF(AND(ISNUMBER(B1241),ISNUMBER(B1240),B1241&gt;0,B1240&gt;0),LN(B1241/B1240),"")</x:f>
      </x:c>
      <x:c r="D1241" s="16" t="str">
        <x:f>IF(ISNUMBER(C1241),ABS(C1241),"")</x:f>
      </x:c>
      <x:c r="E1241" s="16" t="str">
        <x:f>IF(ISNUMBER(C1241),C1241^2,"")</x:f>
      </x:c>
      <x:c r="F1241" s="16" t="str">
        <x:f>IF(AND(ISNUMBER(C1241),ISNUMBER($J$6),$J$6&gt;0),(C1241-$J$5)/$J$6,"")</x:f>
      </x:c>
      <x:c r="G1241" s="1" t="str">
        <x:f>IF(ISNUMBER(F1241),IF(ABS(F1241)&gt;3,1,0),"")</x:f>
      </x:c>
      <x:c r="H1241" s="1" t="str">
        <x:f>IF(ISNUMBER(F1241),F1241^4,"")</x:f>
      </x:c>
      <x:c r="I1241" s="1"/>
      <x:c r="J1241" s="1"/>
      <x:c r="K1241" s="1"/>
      <x:c r="L1241" s="1"/>
      <x:c r="M1241" s="1"/>
      <x:c r="N1241" s="1"/>
    </x:row>
    <x:row r="1242" ht="22" customHeight="1">
      <x:c r="A1242" s="14"/>
      <x:c r="B1242" s="15"/>
      <x:c r="C1242" s="16" t="str">
        <x:f>IF(AND(ISNUMBER(B1242),ISNUMBER(B1241),B1242&gt;0,B1241&gt;0),LN(B1242/B1241),"")</x:f>
      </x:c>
      <x:c r="D1242" s="16" t="str">
        <x:f>IF(ISNUMBER(C1242),ABS(C1242),"")</x:f>
      </x:c>
      <x:c r="E1242" s="16" t="str">
        <x:f>IF(ISNUMBER(C1242),C1242^2,"")</x:f>
      </x:c>
      <x:c r="F1242" s="16" t="str">
        <x:f>IF(AND(ISNUMBER(C1242),ISNUMBER($J$6),$J$6&gt;0),(C1242-$J$5)/$J$6,"")</x:f>
      </x:c>
      <x:c r="G1242" s="1" t="str">
        <x:f>IF(ISNUMBER(F1242),IF(ABS(F1242)&gt;3,1,0),"")</x:f>
      </x:c>
      <x:c r="H1242" s="1" t="str">
        <x:f>IF(ISNUMBER(F1242),F1242^4,"")</x:f>
      </x:c>
      <x:c r="I1242" s="1"/>
      <x:c r="J1242" s="1"/>
      <x:c r="K1242" s="1"/>
      <x:c r="L1242" s="1"/>
      <x:c r="M1242" s="1"/>
      <x:c r="N1242" s="1"/>
    </x:row>
    <x:row r="1243" ht="22" customHeight="1">
      <x:c r="A1243" s="14"/>
      <x:c r="B1243" s="15"/>
      <x:c r="C1243" s="16" t="str">
        <x:f>IF(AND(ISNUMBER(B1243),ISNUMBER(B1242),B1243&gt;0,B1242&gt;0),LN(B1243/B1242),"")</x:f>
      </x:c>
      <x:c r="D1243" s="16" t="str">
        <x:f>IF(ISNUMBER(C1243),ABS(C1243),"")</x:f>
      </x:c>
      <x:c r="E1243" s="16" t="str">
        <x:f>IF(ISNUMBER(C1243),C1243^2,"")</x:f>
      </x:c>
      <x:c r="F1243" s="16" t="str">
        <x:f>IF(AND(ISNUMBER(C1243),ISNUMBER($J$6),$J$6&gt;0),(C1243-$J$5)/$J$6,"")</x:f>
      </x:c>
      <x:c r="G1243" s="1" t="str">
        <x:f>IF(ISNUMBER(F1243),IF(ABS(F1243)&gt;3,1,0),"")</x:f>
      </x:c>
      <x:c r="H1243" s="1" t="str">
        <x:f>IF(ISNUMBER(F1243),F1243^4,"")</x:f>
      </x:c>
      <x:c r="I1243" s="1"/>
      <x:c r="J1243" s="1"/>
      <x:c r="K1243" s="1"/>
      <x:c r="L1243" s="1"/>
      <x:c r="M1243" s="1"/>
      <x:c r="N1243" s="1"/>
    </x:row>
    <x:row r="1244" ht="22" customHeight="1">
      <x:c r="A1244" s="14"/>
      <x:c r="B1244" s="15"/>
      <x:c r="C1244" s="16" t="str">
        <x:f>IF(AND(ISNUMBER(B1244),ISNUMBER(B1243),B1244&gt;0,B1243&gt;0),LN(B1244/B1243),"")</x:f>
      </x:c>
      <x:c r="D1244" s="16" t="str">
        <x:f>IF(ISNUMBER(C1244),ABS(C1244),"")</x:f>
      </x:c>
      <x:c r="E1244" s="16" t="str">
        <x:f>IF(ISNUMBER(C1244),C1244^2,"")</x:f>
      </x:c>
      <x:c r="F1244" s="16" t="str">
        <x:f>IF(AND(ISNUMBER(C1244),ISNUMBER($J$6),$J$6&gt;0),(C1244-$J$5)/$J$6,"")</x:f>
      </x:c>
      <x:c r="G1244" s="1" t="str">
        <x:f>IF(ISNUMBER(F1244),IF(ABS(F1244)&gt;3,1,0),"")</x:f>
      </x:c>
      <x:c r="H1244" s="1" t="str">
        <x:f>IF(ISNUMBER(F1244),F1244^4,"")</x:f>
      </x:c>
      <x:c r="I1244" s="1"/>
      <x:c r="J1244" s="1"/>
      <x:c r="K1244" s="1"/>
      <x:c r="L1244" s="1"/>
      <x:c r="M1244" s="1"/>
      <x:c r="N1244" s="1"/>
    </x:row>
    <x:row r="1245" ht="22" customHeight="1">
      <x:c r="A1245" s="14"/>
      <x:c r="B1245" s="15"/>
      <x:c r="C1245" s="16" t="str">
        <x:f>IF(AND(ISNUMBER(B1245),ISNUMBER(B1244),B1245&gt;0,B1244&gt;0),LN(B1245/B1244),"")</x:f>
      </x:c>
      <x:c r="D1245" s="16" t="str">
        <x:f>IF(ISNUMBER(C1245),ABS(C1245),"")</x:f>
      </x:c>
      <x:c r="E1245" s="16" t="str">
        <x:f>IF(ISNUMBER(C1245),C1245^2,"")</x:f>
      </x:c>
      <x:c r="F1245" s="16" t="str">
        <x:f>IF(AND(ISNUMBER(C1245),ISNUMBER($J$6),$J$6&gt;0),(C1245-$J$5)/$J$6,"")</x:f>
      </x:c>
      <x:c r="G1245" s="1" t="str">
        <x:f>IF(ISNUMBER(F1245),IF(ABS(F1245)&gt;3,1,0),"")</x:f>
      </x:c>
      <x:c r="H1245" s="1" t="str">
        <x:f>IF(ISNUMBER(F1245),F1245^4,"")</x:f>
      </x:c>
      <x:c r="I1245" s="1"/>
      <x:c r="J1245" s="1"/>
      <x:c r="K1245" s="1"/>
      <x:c r="L1245" s="1"/>
      <x:c r="M1245" s="1"/>
      <x:c r="N1245" s="1"/>
    </x:row>
    <x:row r="1246" ht="22" customHeight="1">
      <x:c r="A1246" s="14"/>
      <x:c r="B1246" s="15"/>
      <x:c r="C1246" s="16" t="str">
        <x:f>IF(AND(ISNUMBER(B1246),ISNUMBER(B1245),B1246&gt;0,B1245&gt;0),LN(B1246/B1245),"")</x:f>
      </x:c>
      <x:c r="D1246" s="16" t="str">
        <x:f>IF(ISNUMBER(C1246),ABS(C1246),"")</x:f>
      </x:c>
      <x:c r="E1246" s="16" t="str">
        <x:f>IF(ISNUMBER(C1246),C1246^2,"")</x:f>
      </x:c>
      <x:c r="F1246" s="16" t="str">
        <x:f>IF(AND(ISNUMBER(C1246),ISNUMBER($J$6),$J$6&gt;0),(C1246-$J$5)/$J$6,"")</x:f>
      </x:c>
      <x:c r="G1246" s="1" t="str">
        <x:f>IF(ISNUMBER(F1246),IF(ABS(F1246)&gt;3,1,0),"")</x:f>
      </x:c>
      <x:c r="H1246" s="1" t="str">
        <x:f>IF(ISNUMBER(F1246),F1246^4,"")</x:f>
      </x:c>
      <x:c r="I1246" s="1"/>
      <x:c r="J1246" s="1"/>
      <x:c r="K1246" s="1"/>
      <x:c r="L1246" s="1"/>
      <x:c r="M1246" s="1"/>
      <x:c r="N1246" s="1"/>
    </x:row>
    <x:row r="1247" ht="22" customHeight="1">
      <x:c r="A1247" s="14"/>
      <x:c r="B1247" s="15"/>
      <x:c r="C1247" s="16" t="str">
        <x:f>IF(AND(ISNUMBER(B1247),ISNUMBER(B1246),B1247&gt;0,B1246&gt;0),LN(B1247/B1246),"")</x:f>
      </x:c>
      <x:c r="D1247" s="16" t="str">
        <x:f>IF(ISNUMBER(C1247),ABS(C1247),"")</x:f>
      </x:c>
      <x:c r="E1247" s="16" t="str">
        <x:f>IF(ISNUMBER(C1247),C1247^2,"")</x:f>
      </x:c>
      <x:c r="F1247" s="16" t="str">
        <x:f>IF(AND(ISNUMBER(C1247),ISNUMBER($J$6),$J$6&gt;0),(C1247-$J$5)/$J$6,"")</x:f>
      </x:c>
      <x:c r="G1247" s="1" t="str">
        <x:f>IF(ISNUMBER(F1247),IF(ABS(F1247)&gt;3,1,0),"")</x:f>
      </x:c>
      <x:c r="H1247" s="1" t="str">
        <x:f>IF(ISNUMBER(F1247),F1247^4,"")</x:f>
      </x:c>
      <x:c r="I1247" s="1"/>
      <x:c r="J1247" s="1"/>
      <x:c r="K1247" s="1"/>
      <x:c r="L1247" s="1"/>
      <x:c r="M1247" s="1"/>
      <x:c r="N1247" s="1"/>
    </x:row>
    <x:row r="1248" ht="22" customHeight="1">
      <x:c r="A1248" s="14"/>
      <x:c r="B1248" s="15"/>
      <x:c r="C1248" s="16" t="str">
        <x:f>IF(AND(ISNUMBER(B1248),ISNUMBER(B1247),B1248&gt;0,B1247&gt;0),LN(B1248/B1247),"")</x:f>
      </x:c>
      <x:c r="D1248" s="16" t="str">
        <x:f>IF(ISNUMBER(C1248),ABS(C1248),"")</x:f>
      </x:c>
      <x:c r="E1248" s="16" t="str">
        <x:f>IF(ISNUMBER(C1248),C1248^2,"")</x:f>
      </x:c>
      <x:c r="F1248" s="16" t="str">
        <x:f>IF(AND(ISNUMBER(C1248),ISNUMBER($J$6),$J$6&gt;0),(C1248-$J$5)/$J$6,"")</x:f>
      </x:c>
      <x:c r="G1248" s="1" t="str">
        <x:f>IF(ISNUMBER(F1248),IF(ABS(F1248)&gt;3,1,0),"")</x:f>
      </x:c>
      <x:c r="H1248" s="1" t="str">
        <x:f>IF(ISNUMBER(F1248),F1248^4,"")</x:f>
      </x:c>
      <x:c r="I1248" s="1"/>
      <x:c r="J1248" s="1"/>
      <x:c r="K1248" s="1"/>
      <x:c r="L1248" s="1"/>
      <x:c r="M1248" s="1"/>
      <x:c r="N1248" s="1"/>
    </x:row>
    <x:row r="1249" ht="22" customHeight="1">
      <x:c r="A1249" s="14"/>
      <x:c r="B1249" s="15"/>
      <x:c r="C1249" s="16" t="str">
        <x:f>IF(AND(ISNUMBER(B1249),ISNUMBER(B1248),B1249&gt;0,B1248&gt;0),LN(B1249/B1248),"")</x:f>
      </x:c>
      <x:c r="D1249" s="16" t="str">
        <x:f>IF(ISNUMBER(C1249),ABS(C1249),"")</x:f>
      </x:c>
      <x:c r="E1249" s="16" t="str">
        <x:f>IF(ISNUMBER(C1249),C1249^2,"")</x:f>
      </x:c>
      <x:c r="F1249" s="16" t="str">
        <x:f>IF(AND(ISNUMBER(C1249),ISNUMBER($J$6),$J$6&gt;0),(C1249-$J$5)/$J$6,"")</x:f>
      </x:c>
      <x:c r="G1249" s="1" t="str">
        <x:f>IF(ISNUMBER(F1249),IF(ABS(F1249)&gt;3,1,0),"")</x:f>
      </x:c>
      <x:c r="H1249" s="1" t="str">
        <x:f>IF(ISNUMBER(F1249),F1249^4,"")</x:f>
      </x:c>
      <x:c r="I1249" s="1"/>
      <x:c r="J1249" s="1"/>
      <x:c r="K1249" s="1"/>
      <x:c r="L1249" s="1"/>
      <x:c r="M1249" s="1"/>
      <x:c r="N1249" s="1"/>
    </x:row>
    <x:row r="1250" ht="22" customHeight="1">
      <x:c r="A1250" s="14"/>
      <x:c r="B1250" s="15"/>
      <x:c r="C1250" s="16" t="str">
        <x:f>IF(AND(ISNUMBER(B1250),ISNUMBER(B1249),B1250&gt;0,B1249&gt;0),LN(B1250/B1249),"")</x:f>
      </x:c>
      <x:c r="D1250" s="16" t="str">
        <x:f>IF(ISNUMBER(C1250),ABS(C1250),"")</x:f>
      </x:c>
      <x:c r="E1250" s="16" t="str">
        <x:f>IF(ISNUMBER(C1250),C1250^2,"")</x:f>
      </x:c>
      <x:c r="F1250" s="16" t="str">
        <x:f>IF(AND(ISNUMBER(C1250),ISNUMBER($J$6),$J$6&gt;0),(C1250-$J$5)/$J$6,"")</x:f>
      </x:c>
      <x:c r="G1250" s="1" t="str">
        <x:f>IF(ISNUMBER(F1250),IF(ABS(F1250)&gt;3,1,0),"")</x:f>
      </x:c>
      <x:c r="H1250" s="1" t="str">
        <x:f>IF(ISNUMBER(F1250),F1250^4,"")</x:f>
      </x:c>
      <x:c r="I1250" s="1"/>
      <x:c r="J1250" s="1"/>
      <x:c r="K1250" s="1"/>
      <x:c r="L1250" s="1"/>
      <x:c r="M1250" s="1"/>
      <x:c r="N1250" s="1"/>
    </x:row>
    <x:row r="1251" ht="22" customHeight="1">
      <x:c r="A1251" s="14"/>
      <x:c r="B1251" s="15"/>
      <x:c r="C1251" s="16" t="str">
        <x:f>IF(AND(ISNUMBER(B1251),ISNUMBER(B1250),B1251&gt;0,B1250&gt;0),LN(B1251/B1250),"")</x:f>
      </x:c>
      <x:c r="D1251" s="16" t="str">
        <x:f>IF(ISNUMBER(C1251),ABS(C1251),"")</x:f>
      </x:c>
      <x:c r="E1251" s="16" t="str">
        <x:f>IF(ISNUMBER(C1251),C1251^2,"")</x:f>
      </x:c>
      <x:c r="F1251" s="16" t="str">
        <x:f>IF(AND(ISNUMBER(C1251),ISNUMBER($J$6),$J$6&gt;0),(C1251-$J$5)/$J$6,"")</x:f>
      </x:c>
      <x:c r="G1251" s="1" t="str">
        <x:f>IF(ISNUMBER(F1251),IF(ABS(F1251)&gt;3,1,0),"")</x:f>
      </x:c>
      <x:c r="H1251" s="1" t="str">
        <x:f>IF(ISNUMBER(F1251),F1251^4,"")</x:f>
      </x:c>
      <x:c r="I1251" s="1"/>
      <x:c r="J1251" s="1"/>
      <x:c r="K1251" s="1"/>
      <x:c r="L1251" s="1"/>
      <x:c r="M1251" s="1"/>
      <x:c r="N1251" s="1"/>
    </x:row>
    <x:row r="1252" ht="22" customHeight="1">
      <x:c r="A1252" s="14"/>
      <x:c r="B1252" s="15"/>
      <x:c r="C1252" s="16" t="str">
        <x:f>IF(AND(ISNUMBER(B1252),ISNUMBER(B1251),B1252&gt;0,B1251&gt;0),LN(B1252/B1251),"")</x:f>
      </x:c>
      <x:c r="D1252" s="16" t="str">
        <x:f>IF(ISNUMBER(C1252),ABS(C1252),"")</x:f>
      </x:c>
      <x:c r="E1252" s="16" t="str">
        <x:f>IF(ISNUMBER(C1252),C1252^2,"")</x:f>
      </x:c>
      <x:c r="F1252" s="16" t="str">
        <x:f>IF(AND(ISNUMBER(C1252),ISNUMBER($J$6),$J$6&gt;0),(C1252-$J$5)/$J$6,"")</x:f>
      </x:c>
      <x:c r="G1252" s="1" t="str">
        <x:f>IF(ISNUMBER(F1252),IF(ABS(F1252)&gt;3,1,0),"")</x:f>
      </x:c>
      <x:c r="H1252" s="1" t="str">
        <x:f>IF(ISNUMBER(F1252),F1252^4,"")</x:f>
      </x:c>
      <x:c r="I1252" s="1"/>
      <x:c r="J1252" s="1"/>
      <x:c r="K1252" s="1"/>
      <x:c r="L1252" s="1"/>
      <x:c r="M1252" s="1"/>
      <x:c r="N1252" s="1"/>
    </x:row>
    <x:row r="1253" ht="22" customHeight="1">
      <x:c r="A1253" s="14"/>
      <x:c r="B1253" s="15"/>
      <x:c r="C1253" s="16" t="str">
        <x:f>IF(AND(ISNUMBER(B1253),ISNUMBER(B1252),B1253&gt;0,B1252&gt;0),LN(B1253/B1252),"")</x:f>
      </x:c>
      <x:c r="D1253" s="16" t="str">
        <x:f>IF(ISNUMBER(C1253),ABS(C1253),"")</x:f>
      </x:c>
      <x:c r="E1253" s="16" t="str">
        <x:f>IF(ISNUMBER(C1253),C1253^2,"")</x:f>
      </x:c>
      <x:c r="F1253" s="16" t="str">
        <x:f>IF(AND(ISNUMBER(C1253),ISNUMBER($J$6),$J$6&gt;0),(C1253-$J$5)/$J$6,"")</x:f>
      </x:c>
      <x:c r="G1253" s="1" t="str">
        <x:f>IF(ISNUMBER(F1253),IF(ABS(F1253)&gt;3,1,0),"")</x:f>
      </x:c>
      <x:c r="H1253" s="1" t="str">
        <x:f>IF(ISNUMBER(F1253),F1253^4,"")</x:f>
      </x:c>
      <x:c r="I1253" s="1"/>
      <x:c r="J1253" s="1"/>
      <x:c r="K1253" s="1"/>
      <x:c r="L1253" s="1"/>
      <x:c r="M1253" s="1"/>
      <x:c r="N1253" s="1"/>
    </x:row>
    <x:row r="1254" ht="22" customHeight="1">
      <x:c r="A1254" s="14"/>
      <x:c r="B1254" s="15"/>
      <x:c r="C1254" s="16" t="str">
        <x:f>IF(AND(ISNUMBER(B1254),ISNUMBER(B1253),B1254&gt;0,B1253&gt;0),LN(B1254/B1253),"")</x:f>
      </x:c>
      <x:c r="D1254" s="16" t="str">
        <x:f>IF(ISNUMBER(C1254),ABS(C1254),"")</x:f>
      </x:c>
      <x:c r="E1254" s="16" t="str">
        <x:f>IF(ISNUMBER(C1254),C1254^2,"")</x:f>
      </x:c>
      <x:c r="F1254" s="16" t="str">
        <x:f>IF(AND(ISNUMBER(C1254),ISNUMBER($J$6),$J$6&gt;0),(C1254-$J$5)/$J$6,"")</x:f>
      </x:c>
      <x:c r="G1254" s="1" t="str">
        <x:f>IF(ISNUMBER(F1254),IF(ABS(F1254)&gt;3,1,0),"")</x:f>
      </x:c>
      <x:c r="H1254" s="1" t="str">
        <x:f>IF(ISNUMBER(F1254),F1254^4,"")</x:f>
      </x:c>
      <x:c r="I1254" s="1"/>
      <x:c r="J1254" s="1"/>
      <x:c r="K1254" s="1"/>
      <x:c r="L1254" s="1"/>
      <x:c r="M1254" s="1"/>
      <x:c r="N1254" s="1"/>
    </x:row>
    <x:row r="1255" ht="22" customHeight="1">
      <x:c r="A1255" s="14"/>
      <x:c r="B1255" s="15"/>
      <x:c r="C1255" s="16" t="str">
        <x:f>IF(AND(ISNUMBER(B1255),ISNUMBER(B1254),B1255&gt;0,B1254&gt;0),LN(B1255/B1254),"")</x:f>
      </x:c>
      <x:c r="D1255" s="16" t="str">
        <x:f>IF(ISNUMBER(C1255),ABS(C1255),"")</x:f>
      </x:c>
      <x:c r="E1255" s="16" t="str">
        <x:f>IF(ISNUMBER(C1255),C1255^2,"")</x:f>
      </x:c>
      <x:c r="F1255" s="16" t="str">
        <x:f>IF(AND(ISNUMBER(C1255),ISNUMBER($J$6),$J$6&gt;0),(C1255-$J$5)/$J$6,"")</x:f>
      </x:c>
      <x:c r="G1255" s="1" t="str">
        <x:f>IF(ISNUMBER(F1255),IF(ABS(F1255)&gt;3,1,0),"")</x:f>
      </x:c>
      <x:c r="H1255" s="1" t="str">
        <x:f>IF(ISNUMBER(F1255),F1255^4,"")</x:f>
      </x:c>
      <x:c r="I1255" s="1"/>
      <x:c r="J1255" s="1"/>
      <x:c r="K1255" s="1"/>
      <x:c r="L1255" s="1"/>
      <x:c r="M1255" s="1"/>
      <x:c r="N1255" s="1"/>
    </x:row>
    <x:row r="1256" ht="22" customHeight="1">
      <x:c r="A1256" s="14"/>
      <x:c r="B1256" s="15"/>
      <x:c r="C1256" s="16" t="str">
        <x:f>IF(AND(ISNUMBER(B1256),ISNUMBER(B1255),B1256&gt;0,B1255&gt;0),LN(B1256/B1255),"")</x:f>
      </x:c>
      <x:c r="D1256" s="16" t="str">
        <x:f>IF(ISNUMBER(C1256),ABS(C1256),"")</x:f>
      </x:c>
      <x:c r="E1256" s="16" t="str">
        <x:f>IF(ISNUMBER(C1256),C1256^2,"")</x:f>
      </x:c>
      <x:c r="F1256" s="16" t="str">
        <x:f>IF(AND(ISNUMBER(C1256),ISNUMBER($J$6),$J$6&gt;0),(C1256-$J$5)/$J$6,"")</x:f>
      </x:c>
      <x:c r="G1256" s="1" t="str">
        <x:f>IF(ISNUMBER(F1256),IF(ABS(F1256)&gt;3,1,0),"")</x:f>
      </x:c>
      <x:c r="H1256" s="1" t="str">
        <x:f>IF(ISNUMBER(F1256),F1256^4,"")</x:f>
      </x:c>
      <x:c r="I1256" s="1"/>
      <x:c r="J1256" s="1"/>
      <x:c r="K1256" s="1"/>
      <x:c r="L1256" s="1"/>
      <x:c r="M1256" s="1"/>
      <x:c r="N1256" s="1"/>
    </x:row>
    <x:row r="1257" ht="22" customHeight="1">
      <x:c r="A1257" s="14"/>
      <x:c r="B1257" s="15"/>
      <x:c r="C1257" s="16" t="str">
        <x:f>IF(AND(ISNUMBER(B1257),ISNUMBER(B1256),B1257&gt;0,B1256&gt;0),LN(B1257/B1256),"")</x:f>
      </x:c>
      <x:c r="D1257" s="16" t="str">
        <x:f>IF(ISNUMBER(C1257),ABS(C1257),"")</x:f>
      </x:c>
      <x:c r="E1257" s="16" t="str">
        <x:f>IF(ISNUMBER(C1257),C1257^2,"")</x:f>
      </x:c>
      <x:c r="F1257" s="16" t="str">
        <x:f>IF(AND(ISNUMBER(C1257),ISNUMBER($J$6),$J$6&gt;0),(C1257-$J$5)/$J$6,"")</x:f>
      </x:c>
      <x:c r="G1257" s="1" t="str">
        <x:f>IF(ISNUMBER(F1257),IF(ABS(F1257)&gt;3,1,0),"")</x:f>
      </x:c>
      <x:c r="H1257" s="1" t="str">
        <x:f>IF(ISNUMBER(F1257),F1257^4,"")</x:f>
      </x:c>
      <x:c r="I1257" s="1"/>
      <x:c r="J1257" s="1"/>
      <x:c r="K1257" s="1"/>
      <x:c r="L1257" s="1"/>
      <x:c r="M1257" s="1"/>
      <x:c r="N1257" s="1"/>
    </x:row>
    <x:row r="1258" ht="22" customHeight="1">
      <x:c r="A1258" s="14"/>
      <x:c r="B1258" s="15"/>
      <x:c r="C1258" s="16" t="str">
        <x:f>IF(AND(ISNUMBER(B1258),ISNUMBER(B1257),B1258&gt;0,B1257&gt;0),LN(B1258/B1257),"")</x:f>
      </x:c>
      <x:c r="D1258" s="16" t="str">
        <x:f>IF(ISNUMBER(C1258),ABS(C1258),"")</x:f>
      </x:c>
      <x:c r="E1258" s="16" t="str">
        <x:f>IF(ISNUMBER(C1258),C1258^2,"")</x:f>
      </x:c>
      <x:c r="F1258" s="16" t="str">
        <x:f>IF(AND(ISNUMBER(C1258),ISNUMBER($J$6),$J$6&gt;0),(C1258-$J$5)/$J$6,"")</x:f>
      </x:c>
      <x:c r="G1258" s="1" t="str">
        <x:f>IF(ISNUMBER(F1258),IF(ABS(F1258)&gt;3,1,0),"")</x:f>
      </x:c>
      <x:c r="H1258" s="1" t="str">
        <x:f>IF(ISNUMBER(F1258),F1258^4,"")</x:f>
      </x:c>
      <x:c r="I1258" s="1"/>
      <x:c r="J1258" s="1"/>
      <x:c r="K1258" s="1"/>
      <x:c r="L1258" s="1"/>
      <x:c r="M1258" s="1"/>
      <x:c r="N1258" s="1"/>
    </x:row>
    <x:row r="1259" ht="22" customHeight="1">
      <x:c r="A1259" s="14"/>
      <x:c r="B1259" s="15"/>
      <x:c r="C1259" s="16" t="str">
        <x:f>IF(AND(ISNUMBER(B1259),ISNUMBER(B1258),B1259&gt;0,B1258&gt;0),LN(B1259/B1258),"")</x:f>
      </x:c>
      <x:c r="D1259" s="16" t="str">
        <x:f>IF(ISNUMBER(C1259),ABS(C1259),"")</x:f>
      </x:c>
      <x:c r="E1259" s="16" t="str">
        <x:f>IF(ISNUMBER(C1259),C1259^2,"")</x:f>
      </x:c>
      <x:c r="F1259" s="16" t="str">
        <x:f>IF(AND(ISNUMBER(C1259),ISNUMBER($J$6),$J$6&gt;0),(C1259-$J$5)/$J$6,"")</x:f>
      </x:c>
      <x:c r="G1259" s="1" t="str">
        <x:f>IF(ISNUMBER(F1259),IF(ABS(F1259)&gt;3,1,0),"")</x:f>
      </x:c>
      <x:c r="H1259" s="1" t="str">
        <x:f>IF(ISNUMBER(F1259),F1259^4,"")</x:f>
      </x:c>
      <x:c r="I1259" s="1"/>
      <x:c r="J1259" s="1"/>
      <x:c r="K1259" s="1"/>
      <x:c r="L1259" s="1"/>
      <x:c r="M1259" s="1"/>
      <x:c r="N1259" s="1"/>
    </x:row>
    <x:row r="1260" ht="22" customHeight="1">
      <x:c r="A1260" s="14"/>
      <x:c r="B1260" s="15"/>
      <x:c r="C1260" s="16" t="str">
        <x:f>IF(AND(ISNUMBER(B1260),ISNUMBER(B1259),B1260&gt;0,B1259&gt;0),LN(B1260/B1259),"")</x:f>
      </x:c>
      <x:c r="D1260" s="16" t="str">
        <x:f>IF(ISNUMBER(C1260),ABS(C1260),"")</x:f>
      </x:c>
      <x:c r="E1260" s="16" t="str">
        <x:f>IF(ISNUMBER(C1260),C1260^2,"")</x:f>
      </x:c>
      <x:c r="F1260" s="16" t="str">
        <x:f>IF(AND(ISNUMBER(C1260),ISNUMBER($J$6),$J$6&gt;0),(C1260-$J$5)/$J$6,"")</x:f>
      </x:c>
      <x:c r="G1260" s="1" t="str">
        <x:f>IF(ISNUMBER(F1260),IF(ABS(F1260)&gt;3,1,0),"")</x:f>
      </x:c>
      <x:c r="H1260" s="1" t="str">
        <x:f>IF(ISNUMBER(F1260),F1260^4,"")</x:f>
      </x:c>
      <x:c r="I1260" s="1"/>
      <x:c r="J1260" s="1"/>
      <x:c r="K1260" s="1"/>
      <x:c r="L1260" s="1"/>
      <x:c r="M1260" s="1"/>
      <x:c r="N1260" s="1"/>
    </x:row>
    <x:row r="1261" ht="22" customHeight="1">
      <x:c r="A1261" s="14"/>
      <x:c r="B1261" s="15"/>
      <x:c r="C1261" s="16" t="str">
        <x:f>IF(AND(ISNUMBER(B1261),ISNUMBER(B1260),B1261&gt;0,B1260&gt;0),LN(B1261/B1260),"")</x:f>
      </x:c>
      <x:c r="D1261" s="16" t="str">
        <x:f>IF(ISNUMBER(C1261),ABS(C1261),"")</x:f>
      </x:c>
      <x:c r="E1261" s="16" t="str">
        <x:f>IF(ISNUMBER(C1261),C1261^2,"")</x:f>
      </x:c>
      <x:c r="F1261" s="16" t="str">
        <x:f>IF(AND(ISNUMBER(C1261),ISNUMBER($J$6),$J$6&gt;0),(C1261-$J$5)/$J$6,"")</x:f>
      </x:c>
      <x:c r="G1261" s="1" t="str">
        <x:f>IF(ISNUMBER(F1261),IF(ABS(F1261)&gt;3,1,0),"")</x:f>
      </x:c>
      <x:c r="H1261" s="1" t="str">
        <x:f>IF(ISNUMBER(F1261),F1261^4,"")</x:f>
      </x:c>
      <x:c r="I1261" s="1"/>
      <x:c r="J1261" s="1"/>
      <x:c r="K1261" s="1"/>
      <x:c r="L1261" s="1"/>
      <x:c r="M1261" s="1"/>
      <x:c r="N1261" s="1"/>
    </x:row>
    <x:row r="1262" ht="22" customHeight="1">
      <x:c r="A1262" s="14"/>
      <x:c r="B1262" s="15"/>
      <x:c r="C1262" s="16" t="str">
        <x:f>IF(AND(ISNUMBER(B1262),ISNUMBER(B1261),B1262&gt;0,B1261&gt;0),LN(B1262/B1261),"")</x:f>
      </x:c>
      <x:c r="D1262" s="16" t="str">
        <x:f>IF(ISNUMBER(C1262),ABS(C1262),"")</x:f>
      </x:c>
      <x:c r="E1262" s="16" t="str">
        <x:f>IF(ISNUMBER(C1262),C1262^2,"")</x:f>
      </x:c>
      <x:c r="F1262" s="16" t="str">
        <x:f>IF(AND(ISNUMBER(C1262),ISNUMBER($J$6),$J$6&gt;0),(C1262-$J$5)/$J$6,"")</x:f>
      </x:c>
      <x:c r="G1262" s="1" t="str">
        <x:f>IF(ISNUMBER(F1262),IF(ABS(F1262)&gt;3,1,0),"")</x:f>
      </x:c>
      <x:c r="H1262" s="1" t="str">
        <x:f>IF(ISNUMBER(F1262),F1262^4,"")</x:f>
      </x:c>
      <x:c r="I1262" s="1"/>
      <x:c r="J1262" s="1"/>
      <x:c r="K1262" s="1"/>
      <x:c r="L1262" s="1"/>
      <x:c r="M1262" s="1"/>
      <x:c r="N1262" s="1"/>
    </x:row>
    <x:row r="1263" ht="22" customHeight="1">
      <x:c r="A1263" s="14"/>
      <x:c r="B1263" s="15"/>
      <x:c r="C1263" s="16" t="str">
        <x:f>IF(AND(ISNUMBER(B1263),ISNUMBER(B1262),B1263&gt;0,B1262&gt;0),LN(B1263/B1262),"")</x:f>
      </x:c>
      <x:c r="D1263" s="16" t="str">
        <x:f>IF(ISNUMBER(C1263),ABS(C1263),"")</x:f>
      </x:c>
      <x:c r="E1263" s="16" t="str">
        <x:f>IF(ISNUMBER(C1263),C1263^2,"")</x:f>
      </x:c>
      <x:c r="F1263" s="16" t="str">
        <x:f>IF(AND(ISNUMBER(C1263),ISNUMBER($J$6),$J$6&gt;0),(C1263-$J$5)/$J$6,"")</x:f>
      </x:c>
      <x:c r="G1263" s="1" t="str">
        <x:f>IF(ISNUMBER(F1263),IF(ABS(F1263)&gt;3,1,0),"")</x:f>
      </x:c>
      <x:c r="H1263" s="1" t="str">
        <x:f>IF(ISNUMBER(F1263),F1263^4,"")</x:f>
      </x:c>
      <x:c r="I1263" s="1"/>
      <x:c r="J1263" s="1"/>
      <x:c r="K1263" s="1"/>
      <x:c r="L1263" s="1"/>
      <x:c r="M1263" s="1"/>
      <x:c r="N1263" s="1"/>
    </x:row>
    <x:row r="1264" ht="22" customHeight="1">
      <x:c r="A1264" s="14"/>
      <x:c r="B1264" s="15"/>
      <x:c r="C1264" s="16" t="str">
        <x:f>IF(AND(ISNUMBER(B1264),ISNUMBER(B1263),B1264&gt;0,B1263&gt;0),LN(B1264/B1263),"")</x:f>
      </x:c>
      <x:c r="D1264" s="16" t="str">
        <x:f>IF(ISNUMBER(C1264),ABS(C1264),"")</x:f>
      </x:c>
      <x:c r="E1264" s="16" t="str">
        <x:f>IF(ISNUMBER(C1264),C1264^2,"")</x:f>
      </x:c>
      <x:c r="F1264" s="16" t="str">
        <x:f>IF(AND(ISNUMBER(C1264),ISNUMBER($J$6),$J$6&gt;0),(C1264-$J$5)/$J$6,"")</x:f>
      </x:c>
      <x:c r="G1264" s="1" t="str">
        <x:f>IF(ISNUMBER(F1264),IF(ABS(F1264)&gt;3,1,0),"")</x:f>
      </x:c>
      <x:c r="H1264" s="1" t="str">
        <x:f>IF(ISNUMBER(F1264),F1264^4,"")</x:f>
      </x:c>
      <x:c r="I1264" s="1"/>
      <x:c r="J1264" s="1"/>
      <x:c r="K1264" s="1"/>
      <x:c r="L1264" s="1"/>
      <x:c r="M1264" s="1"/>
      <x:c r="N1264" s="1"/>
    </x:row>
    <x:row r="1265" ht="22" customHeight="1">
      <x:c r="A1265" s="14"/>
      <x:c r="B1265" s="15"/>
      <x:c r="C1265" s="16" t="str">
        <x:f>IF(AND(ISNUMBER(B1265),ISNUMBER(B1264),B1265&gt;0,B1264&gt;0),LN(B1265/B1264),"")</x:f>
      </x:c>
      <x:c r="D1265" s="16" t="str">
        <x:f>IF(ISNUMBER(C1265),ABS(C1265),"")</x:f>
      </x:c>
      <x:c r="E1265" s="16" t="str">
        <x:f>IF(ISNUMBER(C1265),C1265^2,"")</x:f>
      </x:c>
      <x:c r="F1265" s="16" t="str">
        <x:f>IF(AND(ISNUMBER(C1265),ISNUMBER($J$6),$J$6&gt;0),(C1265-$J$5)/$J$6,"")</x:f>
      </x:c>
      <x:c r="G1265" s="1" t="str">
        <x:f>IF(ISNUMBER(F1265),IF(ABS(F1265)&gt;3,1,0),"")</x:f>
      </x:c>
      <x:c r="H1265" s="1" t="str">
        <x:f>IF(ISNUMBER(F1265),F1265^4,"")</x:f>
      </x:c>
      <x:c r="I1265" s="1"/>
      <x:c r="J1265" s="1"/>
      <x:c r="K1265" s="1"/>
      <x:c r="L1265" s="1"/>
      <x:c r="M1265" s="1"/>
      <x:c r="N1265" s="1"/>
    </x:row>
    <x:row r="1266" ht="22" customHeight="1">
      <x:c r="A1266" s="14"/>
      <x:c r="B1266" s="15"/>
      <x:c r="C1266" s="16" t="str">
        <x:f>IF(AND(ISNUMBER(B1266),ISNUMBER(B1265),B1266&gt;0,B1265&gt;0),LN(B1266/B1265),"")</x:f>
      </x:c>
      <x:c r="D1266" s="16" t="str">
        <x:f>IF(ISNUMBER(C1266),ABS(C1266),"")</x:f>
      </x:c>
      <x:c r="E1266" s="16" t="str">
        <x:f>IF(ISNUMBER(C1266),C1266^2,"")</x:f>
      </x:c>
      <x:c r="F1266" s="16" t="str">
        <x:f>IF(AND(ISNUMBER(C1266),ISNUMBER($J$6),$J$6&gt;0),(C1266-$J$5)/$J$6,"")</x:f>
      </x:c>
      <x:c r="G1266" s="1" t="str">
        <x:f>IF(ISNUMBER(F1266),IF(ABS(F1266)&gt;3,1,0),"")</x:f>
      </x:c>
      <x:c r="H1266" s="1" t="str">
        <x:f>IF(ISNUMBER(F1266),F1266^4,"")</x:f>
      </x:c>
      <x:c r="I1266" s="1"/>
      <x:c r="J1266" s="1"/>
      <x:c r="K1266" s="1"/>
      <x:c r="L1266" s="1"/>
      <x:c r="M1266" s="1"/>
      <x:c r="N1266" s="1"/>
    </x:row>
    <x:row r="1267" ht="22" customHeight="1">
      <x:c r="A1267" s="14"/>
      <x:c r="B1267" s="15"/>
      <x:c r="C1267" s="16" t="str">
        <x:f>IF(AND(ISNUMBER(B1267),ISNUMBER(B1266),B1267&gt;0,B1266&gt;0),LN(B1267/B1266),"")</x:f>
      </x:c>
      <x:c r="D1267" s="16" t="str">
        <x:f>IF(ISNUMBER(C1267),ABS(C1267),"")</x:f>
      </x:c>
      <x:c r="E1267" s="16" t="str">
        <x:f>IF(ISNUMBER(C1267),C1267^2,"")</x:f>
      </x:c>
      <x:c r="F1267" s="16" t="str">
        <x:f>IF(AND(ISNUMBER(C1267),ISNUMBER($J$6),$J$6&gt;0),(C1267-$J$5)/$J$6,"")</x:f>
      </x:c>
      <x:c r="G1267" s="1" t="str">
        <x:f>IF(ISNUMBER(F1267),IF(ABS(F1267)&gt;3,1,0),"")</x:f>
      </x:c>
      <x:c r="H1267" s="1" t="str">
        <x:f>IF(ISNUMBER(F1267),F1267^4,"")</x:f>
      </x:c>
      <x:c r="I1267" s="1"/>
      <x:c r="J1267" s="1"/>
      <x:c r="K1267" s="1"/>
      <x:c r="L1267" s="1"/>
      <x:c r="M1267" s="1"/>
      <x:c r="N1267" s="1"/>
    </x:row>
    <x:row r="1268" ht="22" customHeight="1">
      <x:c r="A1268" s="14"/>
      <x:c r="B1268" s="15"/>
      <x:c r="C1268" s="16" t="str">
        <x:f>IF(AND(ISNUMBER(B1268),ISNUMBER(B1267),B1268&gt;0,B1267&gt;0),LN(B1268/B1267),"")</x:f>
      </x:c>
      <x:c r="D1268" s="16" t="str">
        <x:f>IF(ISNUMBER(C1268),ABS(C1268),"")</x:f>
      </x:c>
      <x:c r="E1268" s="16" t="str">
        <x:f>IF(ISNUMBER(C1268),C1268^2,"")</x:f>
      </x:c>
      <x:c r="F1268" s="16" t="str">
        <x:f>IF(AND(ISNUMBER(C1268),ISNUMBER($J$6),$J$6&gt;0),(C1268-$J$5)/$J$6,"")</x:f>
      </x:c>
      <x:c r="G1268" s="1" t="str">
        <x:f>IF(ISNUMBER(F1268),IF(ABS(F1268)&gt;3,1,0),"")</x:f>
      </x:c>
      <x:c r="H1268" s="1" t="str">
        <x:f>IF(ISNUMBER(F1268),F1268^4,"")</x:f>
      </x:c>
      <x:c r="I1268" s="1"/>
      <x:c r="J1268" s="1"/>
      <x:c r="K1268" s="1"/>
      <x:c r="L1268" s="1"/>
      <x:c r="M1268" s="1"/>
      <x:c r="N1268" s="1"/>
    </x:row>
    <x:row r="1269" ht="22" customHeight="1">
      <x:c r="A1269" s="14"/>
      <x:c r="B1269" s="15"/>
      <x:c r="C1269" s="16" t="str">
        <x:f>IF(AND(ISNUMBER(B1269),ISNUMBER(B1268),B1269&gt;0,B1268&gt;0),LN(B1269/B1268),"")</x:f>
      </x:c>
      <x:c r="D1269" s="16" t="str">
        <x:f>IF(ISNUMBER(C1269),ABS(C1269),"")</x:f>
      </x:c>
      <x:c r="E1269" s="16" t="str">
        <x:f>IF(ISNUMBER(C1269),C1269^2,"")</x:f>
      </x:c>
      <x:c r="F1269" s="16" t="str">
        <x:f>IF(AND(ISNUMBER(C1269),ISNUMBER($J$6),$J$6&gt;0),(C1269-$J$5)/$J$6,"")</x:f>
      </x:c>
      <x:c r="G1269" s="1" t="str">
        <x:f>IF(ISNUMBER(F1269),IF(ABS(F1269)&gt;3,1,0),"")</x:f>
      </x:c>
      <x:c r="H1269" s="1" t="str">
        <x:f>IF(ISNUMBER(F1269),F1269^4,"")</x:f>
      </x:c>
      <x:c r="I1269" s="1"/>
      <x:c r="J1269" s="1"/>
      <x:c r="K1269" s="1"/>
      <x:c r="L1269" s="1"/>
      <x:c r="M1269" s="1"/>
      <x:c r="N1269" s="1"/>
    </x:row>
    <x:row r="1270" ht="22" customHeight="1">
      <x:c r="A1270" s="14"/>
      <x:c r="B1270" s="15"/>
      <x:c r="C1270" s="16" t="str">
        <x:f>IF(AND(ISNUMBER(B1270),ISNUMBER(B1269),B1270&gt;0,B1269&gt;0),LN(B1270/B1269),"")</x:f>
      </x:c>
      <x:c r="D1270" s="16" t="str">
        <x:f>IF(ISNUMBER(C1270),ABS(C1270),"")</x:f>
      </x:c>
      <x:c r="E1270" s="16" t="str">
        <x:f>IF(ISNUMBER(C1270),C1270^2,"")</x:f>
      </x:c>
      <x:c r="F1270" s="16" t="str">
        <x:f>IF(AND(ISNUMBER(C1270),ISNUMBER($J$6),$J$6&gt;0),(C1270-$J$5)/$J$6,"")</x:f>
      </x:c>
      <x:c r="G1270" s="1" t="str">
        <x:f>IF(ISNUMBER(F1270),IF(ABS(F1270)&gt;3,1,0),"")</x:f>
      </x:c>
      <x:c r="H1270" s="1" t="str">
        <x:f>IF(ISNUMBER(F1270),F1270^4,"")</x:f>
      </x:c>
      <x:c r="I1270" s="1"/>
      <x:c r="J1270" s="1"/>
      <x:c r="K1270" s="1"/>
      <x:c r="L1270" s="1"/>
      <x:c r="M1270" s="1"/>
      <x:c r="N1270" s="1"/>
    </x:row>
    <x:row r="1271" ht="22" customHeight="1">
      <x:c r="A1271" s="14"/>
      <x:c r="B1271" s="15"/>
      <x:c r="C1271" s="16" t="str">
        <x:f>IF(AND(ISNUMBER(B1271),ISNUMBER(B1270),B1271&gt;0,B1270&gt;0),LN(B1271/B1270),"")</x:f>
      </x:c>
      <x:c r="D1271" s="16" t="str">
        <x:f>IF(ISNUMBER(C1271),ABS(C1271),"")</x:f>
      </x:c>
      <x:c r="E1271" s="16" t="str">
        <x:f>IF(ISNUMBER(C1271),C1271^2,"")</x:f>
      </x:c>
      <x:c r="F1271" s="16" t="str">
        <x:f>IF(AND(ISNUMBER(C1271),ISNUMBER($J$6),$J$6&gt;0),(C1271-$J$5)/$J$6,"")</x:f>
      </x:c>
      <x:c r="G1271" s="1" t="str">
        <x:f>IF(ISNUMBER(F1271),IF(ABS(F1271)&gt;3,1,0),"")</x:f>
      </x:c>
      <x:c r="H1271" s="1" t="str">
        <x:f>IF(ISNUMBER(F1271),F1271^4,"")</x:f>
      </x:c>
      <x:c r="I1271" s="1"/>
      <x:c r="J1271" s="1"/>
      <x:c r="K1271" s="1"/>
      <x:c r="L1271" s="1"/>
      <x:c r="M1271" s="1"/>
      <x:c r="N1271" s="1"/>
    </x:row>
    <x:row r="1272" ht="22" customHeight="1">
      <x:c r="A1272" s="14"/>
      <x:c r="B1272" s="15"/>
      <x:c r="C1272" s="16" t="str">
        <x:f>IF(AND(ISNUMBER(B1272),ISNUMBER(B1271),B1272&gt;0,B1271&gt;0),LN(B1272/B1271),"")</x:f>
      </x:c>
      <x:c r="D1272" s="16" t="str">
        <x:f>IF(ISNUMBER(C1272),ABS(C1272),"")</x:f>
      </x:c>
      <x:c r="E1272" s="16" t="str">
        <x:f>IF(ISNUMBER(C1272),C1272^2,"")</x:f>
      </x:c>
      <x:c r="F1272" s="16" t="str">
        <x:f>IF(AND(ISNUMBER(C1272),ISNUMBER($J$6),$J$6&gt;0),(C1272-$J$5)/$J$6,"")</x:f>
      </x:c>
      <x:c r="G1272" s="1" t="str">
        <x:f>IF(ISNUMBER(F1272),IF(ABS(F1272)&gt;3,1,0),"")</x:f>
      </x:c>
      <x:c r="H1272" s="1" t="str">
        <x:f>IF(ISNUMBER(F1272),F1272^4,"")</x:f>
      </x:c>
      <x:c r="I1272" s="1"/>
      <x:c r="J1272" s="1"/>
      <x:c r="K1272" s="1"/>
      <x:c r="L1272" s="1"/>
      <x:c r="M1272" s="1"/>
      <x:c r="N1272" s="1"/>
    </x:row>
    <x:row r="1273" ht="22" customHeight="1">
      <x:c r="A1273" s="14"/>
      <x:c r="B1273" s="15"/>
      <x:c r="C1273" s="16" t="str">
        <x:f>IF(AND(ISNUMBER(B1273),ISNUMBER(B1272),B1273&gt;0,B1272&gt;0),LN(B1273/B1272),"")</x:f>
      </x:c>
      <x:c r="D1273" s="16" t="str">
        <x:f>IF(ISNUMBER(C1273),ABS(C1273),"")</x:f>
      </x:c>
      <x:c r="E1273" s="16" t="str">
        <x:f>IF(ISNUMBER(C1273),C1273^2,"")</x:f>
      </x:c>
      <x:c r="F1273" s="16" t="str">
        <x:f>IF(AND(ISNUMBER(C1273),ISNUMBER($J$6),$J$6&gt;0),(C1273-$J$5)/$J$6,"")</x:f>
      </x:c>
      <x:c r="G1273" s="1" t="str">
        <x:f>IF(ISNUMBER(F1273),IF(ABS(F1273)&gt;3,1,0),"")</x:f>
      </x:c>
      <x:c r="H1273" s="1" t="str">
        <x:f>IF(ISNUMBER(F1273),F1273^4,"")</x:f>
      </x:c>
      <x:c r="I1273" s="1"/>
      <x:c r="J1273" s="1"/>
      <x:c r="K1273" s="1"/>
      <x:c r="L1273" s="1"/>
      <x:c r="M1273" s="1"/>
      <x:c r="N1273" s="1"/>
    </x:row>
    <x:row r="1274" ht="22" customHeight="1">
      <x:c r="A1274" s="14"/>
      <x:c r="B1274" s="15"/>
      <x:c r="C1274" s="16" t="str">
        <x:f>IF(AND(ISNUMBER(B1274),ISNUMBER(B1273),B1274&gt;0,B1273&gt;0),LN(B1274/B1273),"")</x:f>
      </x:c>
      <x:c r="D1274" s="16" t="str">
        <x:f>IF(ISNUMBER(C1274),ABS(C1274),"")</x:f>
      </x:c>
      <x:c r="E1274" s="16" t="str">
        <x:f>IF(ISNUMBER(C1274),C1274^2,"")</x:f>
      </x:c>
      <x:c r="F1274" s="16" t="str">
        <x:f>IF(AND(ISNUMBER(C1274),ISNUMBER($J$6),$J$6&gt;0),(C1274-$J$5)/$J$6,"")</x:f>
      </x:c>
      <x:c r="G1274" s="1" t="str">
        <x:f>IF(ISNUMBER(F1274),IF(ABS(F1274)&gt;3,1,0),"")</x:f>
      </x:c>
      <x:c r="H1274" s="1" t="str">
        <x:f>IF(ISNUMBER(F1274),F1274^4,"")</x:f>
      </x:c>
      <x:c r="I1274" s="1"/>
      <x:c r="J1274" s="1"/>
      <x:c r="K1274" s="1"/>
      <x:c r="L1274" s="1"/>
      <x:c r="M1274" s="1"/>
      <x:c r="N1274" s="1"/>
    </x:row>
    <x:row r="1275" ht="22" customHeight="1">
      <x:c r="A1275" s="14"/>
      <x:c r="B1275" s="15"/>
      <x:c r="C1275" s="16" t="str">
        <x:f>IF(AND(ISNUMBER(B1275),ISNUMBER(B1274),B1275&gt;0,B1274&gt;0),LN(B1275/B1274),"")</x:f>
      </x:c>
      <x:c r="D1275" s="16" t="str">
        <x:f>IF(ISNUMBER(C1275),ABS(C1275),"")</x:f>
      </x:c>
      <x:c r="E1275" s="16" t="str">
        <x:f>IF(ISNUMBER(C1275),C1275^2,"")</x:f>
      </x:c>
      <x:c r="F1275" s="16" t="str">
        <x:f>IF(AND(ISNUMBER(C1275),ISNUMBER($J$6),$J$6&gt;0),(C1275-$J$5)/$J$6,"")</x:f>
      </x:c>
      <x:c r="G1275" s="1" t="str">
        <x:f>IF(ISNUMBER(F1275),IF(ABS(F1275)&gt;3,1,0),"")</x:f>
      </x:c>
      <x:c r="H1275" s="1" t="str">
        <x:f>IF(ISNUMBER(F1275),F1275^4,"")</x:f>
      </x:c>
      <x:c r="I1275" s="1"/>
      <x:c r="J1275" s="1"/>
      <x:c r="K1275" s="1"/>
      <x:c r="L1275" s="1"/>
      <x:c r="M1275" s="1"/>
      <x:c r="N1275" s="1"/>
    </x:row>
    <x:row r="1276" ht="22" customHeight="1">
      <x:c r="A1276" s="14"/>
      <x:c r="B1276" s="15"/>
      <x:c r="C1276" s="16" t="str">
        <x:f>IF(AND(ISNUMBER(B1276),ISNUMBER(B1275),B1276&gt;0,B1275&gt;0),LN(B1276/B1275),"")</x:f>
      </x:c>
      <x:c r="D1276" s="16" t="str">
        <x:f>IF(ISNUMBER(C1276),ABS(C1276),"")</x:f>
      </x:c>
      <x:c r="E1276" s="16" t="str">
        <x:f>IF(ISNUMBER(C1276),C1276^2,"")</x:f>
      </x:c>
      <x:c r="F1276" s="16" t="str">
        <x:f>IF(AND(ISNUMBER(C1276),ISNUMBER($J$6),$J$6&gt;0),(C1276-$J$5)/$J$6,"")</x:f>
      </x:c>
      <x:c r="G1276" s="1" t="str">
        <x:f>IF(ISNUMBER(F1276),IF(ABS(F1276)&gt;3,1,0),"")</x:f>
      </x:c>
      <x:c r="H1276" s="1" t="str">
        <x:f>IF(ISNUMBER(F1276),F1276^4,"")</x:f>
      </x:c>
      <x:c r="I1276" s="1"/>
      <x:c r="J1276" s="1"/>
      <x:c r="K1276" s="1"/>
      <x:c r="L1276" s="1"/>
      <x:c r="M1276" s="1"/>
      <x:c r="N1276" s="1"/>
    </x:row>
    <x:row r="1277" ht="22" customHeight="1">
      <x:c r="A1277" s="14"/>
      <x:c r="B1277" s="15"/>
      <x:c r="C1277" s="16" t="str">
        <x:f>IF(AND(ISNUMBER(B1277),ISNUMBER(B1276),B1277&gt;0,B1276&gt;0),LN(B1277/B1276),"")</x:f>
      </x:c>
      <x:c r="D1277" s="16" t="str">
        <x:f>IF(ISNUMBER(C1277),ABS(C1277),"")</x:f>
      </x:c>
      <x:c r="E1277" s="16" t="str">
        <x:f>IF(ISNUMBER(C1277),C1277^2,"")</x:f>
      </x:c>
      <x:c r="F1277" s="16" t="str">
        <x:f>IF(AND(ISNUMBER(C1277),ISNUMBER($J$6),$J$6&gt;0),(C1277-$J$5)/$J$6,"")</x:f>
      </x:c>
      <x:c r="G1277" s="1" t="str">
        <x:f>IF(ISNUMBER(F1277),IF(ABS(F1277)&gt;3,1,0),"")</x:f>
      </x:c>
      <x:c r="H1277" s="1" t="str">
        <x:f>IF(ISNUMBER(F1277),F1277^4,"")</x:f>
      </x:c>
      <x:c r="I1277" s="1"/>
      <x:c r="J1277" s="1"/>
      <x:c r="K1277" s="1"/>
      <x:c r="L1277" s="1"/>
      <x:c r="M1277" s="1"/>
      <x:c r="N1277" s="1"/>
    </x:row>
    <x:row r="1278" ht="22" customHeight="1">
      <x:c r="A1278" s="14"/>
      <x:c r="B1278" s="15"/>
      <x:c r="C1278" s="16" t="str">
        <x:f>IF(AND(ISNUMBER(B1278),ISNUMBER(B1277),B1278&gt;0,B1277&gt;0),LN(B1278/B1277),"")</x:f>
      </x:c>
      <x:c r="D1278" s="16" t="str">
        <x:f>IF(ISNUMBER(C1278),ABS(C1278),"")</x:f>
      </x:c>
      <x:c r="E1278" s="16" t="str">
        <x:f>IF(ISNUMBER(C1278),C1278^2,"")</x:f>
      </x:c>
      <x:c r="F1278" s="16" t="str">
        <x:f>IF(AND(ISNUMBER(C1278),ISNUMBER($J$6),$J$6&gt;0),(C1278-$J$5)/$J$6,"")</x:f>
      </x:c>
      <x:c r="G1278" s="1" t="str">
        <x:f>IF(ISNUMBER(F1278),IF(ABS(F1278)&gt;3,1,0),"")</x:f>
      </x:c>
      <x:c r="H1278" s="1" t="str">
        <x:f>IF(ISNUMBER(F1278),F1278^4,"")</x:f>
      </x:c>
      <x:c r="I1278" s="1"/>
      <x:c r="J1278" s="1"/>
      <x:c r="K1278" s="1"/>
      <x:c r="L1278" s="1"/>
      <x:c r="M1278" s="1"/>
      <x:c r="N1278" s="1"/>
    </x:row>
    <x:row r="1279" ht="22" customHeight="1">
      <x:c r="A1279" s="14"/>
      <x:c r="B1279" s="15"/>
      <x:c r="C1279" s="16" t="str">
        <x:f>IF(AND(ISNUMBER(B1279),ISNUMBER(B1278),B1279&gt;0,B1278&gt;0),LN(B1279/B1278),"")</x:f>
      </x:c>
      <x:c r="D1279" s="16" t="str">
        <x:f>IF(ISNUMBER(C1279),ABS(C1279),"")</x:f>
      </x:c>
      <x:c r="E1279" s="16" t="str">
        <x:f>IF(ISNUMBER(C1279),C1279^2,"")</x:f>
      </x:c>
      <x:c r="F1279" s="16" t="str">
        <x:f>IF(AND(ISNUMBER(C1279),ISNUMBER($J$6),$J$6&gt;0),(C1279-$J$5)/$J$6,"")</x:f>
      </x:c>
      <x:c r="G1279" s="1" t="str">
        <x:f>IF(ISNUMBER(F1279),IF(ABS(F1279)&gt;3,1,0),"")</x:f>
      </x:c>
      <x:c r="H1279" s="1" t="str">
        <x:f>IF(ISNUMBER(F1279),F1279^4,"")</x:f>
      </x:c>
      <x:c r="I1279" s="1"/>
      <x:c r="J1279" s="1"/>
      <x:c r="K1279" s="1"/>
      <x:c r="L1279" s="1"/>
      <x:c r="M1279" s="1"/>
      <x:c r="N1279" s="1"/>
    </x:row>
    <x:row r="1280" ht="22" customHeight="1">
      <x:c r="A1280" s="14"/>
      <x:c r="B1280" s="15"/>
      <x:c r="C1280" s="16" t="str">
        <x:f>IF(AND(ISNUMBER(B1280),ISNUMBER(B1279),B1280&gt;0,B1279&gt;0),LN(B1280/B1279),"")</x:f>
      </x:c>
      <x:c r="D1280" s="16" t="str">
        <x:f>IF(ISNUMBER(C1280),ABS(C1280),"")</x:f>
      </x:c>
      <x:c r="E1280" s="16" t="str">
        <x:f>IF(ISNUMBER(C1280),C1280^2,"")</x:f>
      </x:c>
      <x:c r="F1280" s="16" t="str">
        <x:f>IF(AND(ISNUMBER(C1280),ISNUMBER($J$6),$J$6&gt;0),(C1280-$J$5)/$J$6,"")</x:f>
      </x:c>
      <x:c r="G1280" s="1" t="str">
        <x:f>IF(ISNUMBER(F1280),IF(ABS(F1280)&gt;3,1,0),"")</x:f>
      </x:c>
      <x:c r="H1280" s="1" t="str">
        <x:f>IF(ISNUMBER(F1280),F1280^4,"")</x:f>
      </x:c>
      <x:c r="I1280" s="1"/>
      <x:c r="J1280" s="1"/>
      <x:c r="K1280" s="1"/>
      <x:c r="L1280" s="1"/>
      <x:c r="M1280" s="1"/>
      <x:c r="N1280" s="1"/>
    </x:row>
    <x:row r="1281" ht="22" customHeight="1">
      <x:c r="A1281" s="14"/>
      <x:c r="B1281" s="15"/>
      <x:c r="C1281" s="16" t="str">
        <x:f>IF(AND(ISNUMBER(B1281),ISNUMBER(B1280),B1281&gt;0,B1280&gt;0),LN(B1281/B1280),"")</x:f>
      </x:c>
      <x:c r="D1281" s="16" t="str">
        <x:f>IF(ISNUMBER(C1281),ABS(C1281),"")</x:f>
      </x:c>
      <x:c r="E1281" s="16" t="str">
        <x:f>IF(ISNUMBER(C1281),C1281^2,"")</x:f>
      </x:c>
      <x:c r="F1281" s="16" t="str">
        <x:f>IF(AND(ISNUMBER(C1281),ISNUMBER($J$6),$J$6&gt;0),(C1281-$J$5)/$J$6,"")</x:f>
      </x:c>
      <x:c r="G1281" s="1" t="str">
        <x:f>IF(ISNUMBER(F1281),IF(ABS(F1281)&gt;3,1,0),"")</x:f>
      </x:c>
      <x:c r="H1281" s="1" t="str">
        <x:f>IF(ISNUMBER(F1281),F1281^4,"")</x:f>
      </x:c>
      <x:c r="I1281" s="1"/>
      <x:c r="J1281" s="1"/>
      <x:c r="K1281" s="1"/>
      <x:c r="L1281" s="1"/>
      <x:c r="M1281" s="1"/>
      <x:c r="N1281" s="1"/>
    </x:row>
    <x:row r="1282" ht="22" customHeight="1">
      <x:c r="A1282" s="14"/>
      <x:c r="B1282" s="15"/>
      <x:c r="C1282" s="16" t="str">
        <x:f>IF(AND(ISNUMBER(B1282),ISNUMBER(B1281),B1282&gt;0,B1281&gt;0),LN(B1282/B1281),"")</x:f>
      </x:c>
      <x:c r="D1282" s="16" t="str">
        <x:f>IF(ISNUMBER(C1282),ABS(C1282),"")</x:f>
      </x:c>
      <x:c r="E1282" s="16" t="str">
        <x:f>IF(ISNUMBER(C1282),C1282^2,"")</x:f>
      </x:c>
      <x:c r="F1282" s="16" t="str">
        <x:f>IF(AND(ISNUMBER(C1282),ISNUMBER($J$6),$J$6&gt;0),(C1282-$J$5)/$J$6,"")</x:f>
      </x:c>
      <x:c r="G1282" s="1" t="str">
        <x:f>IF(ISNUMBER(F1282),IF(ABS(F1282)&gt;3,1,0),"")</x:f>
      </x:c>
      <x:c r="H1282" s="1" t="str">
        <x:f>IF(ISNUMBER(F1282),F1282^4,"")</x:f>
      </x:c>
      <x:c r="I1282" s="1"/>
      <x:c r="J1282" s="1"/>
      <x:c r="K1282" s="1"/>
      <x:c r="L1282" s="1"/>
      <x:c r="M1282" s="1"/>
      <x:c r="N1282" s="1"/>
    </x:row>
    <x:row r="1283" ht="22" customHeight="1">
      <x:c r="A1283" s="14"/>
      <x:c r="B1283" s="15"/>
      <x:c r="C1283" s="16" t="str">
        <x:f>IF(AND(ISNUMBER(B1283),ISNUMBER(B1282),B1283&gt;0,B1282&gt;0),LN(B1283/B1282),"")</x:f>
      </x:c>
      <x:c r="D1283" s="16" t="str">
        <x:f>IF(ISNUMBER(C1283),ABS(C1283),"")</x:f>
      </x:c>
      <x:c r="E1283" s="16" t="str">
        <x:f>IF(ISNUMBER(C1283),C1283^2,"")</x:f>
      </x:c>
      <x:c r="F1283" s="16" t="str">
        <x:f>IF(AND(ISNUMBER(C1283),ISNUMBER($J$6),$J$6&gt;0),(C1283-$J$5)/$J$6,"")</x:f>
      </x:c>
      <x:c r="G1283" s="1" t="str">
        <x:f>IF(ISNUMBER(F1283),IF(ABS(F1283)&gt;3,1,0),"")</x:f>
      </x:c>
      <x:c r="H1283" s="1" t="str">
        <x:f>IF(ISNUMBER(F1283),F1283^4,"")</x:f>
      </x:c>
      <x:c r="I1283" s="1"/>
      <x:c r="J1283" s="1"/>
      <x:c r="K1283" s="1"/>
      <x:c r="L1283" s="1"/>
      <x:c r="M1283" s="1"/>
      <x:c r="N1283" s="1"/>
    </x:row>
    <x:row r="1284" ht="22" customHeight="1">
      <x:c r="A1284" s="14"/>
      <x:c r="B1284" s="15"/>
      <x:c r="C1284" s="16" t="str">
        <x:f>IF(AND(ISNUMBER(B1284),ISNUMBER(B1283),B1284&gt;0,B1283&gt;0),LN(B1284/B1283),"")</x:f>
      </x:c>
      <x:c r="D1284" s="16" t="str">
        <x:f>IF(ISNUMBER(C1284),ABS(C1284),"")</x:f>
      </x:c>
      <x:c r="E1284" s="16" t="str">
        <x:f>IF(ISNUMBER(C1284),C1284^2,"")</x:f>
      </x:c>
      <x:c r="F1284" s="16" t="str">
        <x:f>IF(AND(ISNUMBER(C1284),ISNUMBER($J$6),$J$6&gt;0),(C1284-$J$5)/$J$6,"")</x:f>
      </x:c>
      <x:c r="G1284" s="1" t="str">
        <x:f>IF(ISNUMBER(F1284),IF(ABS(F1284)&gt;3,1,0),"")</x:f>
      </x:c>
      <x:c r="H1284" s="1" t="str">
        <x:f>IF(ISNUMBER(F1284),F1284^4,"")</x:f>
      </x:c>
      <x:c r="I1284" s="1"/>
      <x:c r="J1284" s="1"/>
      <x:c r="K1284" s="1"/>
      <x:c r="L1284" s="1"/>
      <x:c r="M1284" s="1"/>
      <x:c r="N1284" s="1"/>
    </x:row>
    <x:row r="1285" ht="22" customHeight="1">
      <x:c r="A1285" s="14"/>
      <x:c r="B1285" s="15"/>
      <x:c r="C1285" s="16" t="str">
        <x:f>IF(AND(ISNUMBER(B1285),ISNUMBER(B1284),B1285&gt;0,B1284&gt;0),LN(B1285/B1284),"")</x:f>
      </x:c>
      <x:c r="D1285" s="16" t="str">
        <x:f>IF(ISNUMBER(C1285),ABS(C1285),"")</x:f>
      </x:c>
      <x:c r="E1285" s="16" t="str">
        <x:f>IF(ISNUMBER(C1285),C1285^2,"")</x:f>
      </x:c>
      <x:c r="F1285" s="16" t="str">
        <x:f>IF(AND(ISNUMBER(C1285),ISNUMBER($J$6),$J$6&gt;0),(C1285-$J$5)/$J$6,"")</x:f>
      </x:c>
      <x:c r="G1285" s="1" t="str">
        <x:f>IF(ISNUMBER(F1285),IF(ABS(F1285)&gt;3,1,0),"")</x:f>
      </x:c>
      <x:c r="H1285" s="1" t="str">
        <x:f>IF(ISNUMBER(F1285),F1285^4,"")</x:f>
      </x:c>
      <x:c r="I1285" s="1"/>
      <x:c r="J1285" s="1"/>
      <x:c r="K1285" s="1"/>
      <x:c r="L1285" s="1"/>
      <x:c r="M1285" s="1"/>
      <x:c r="N1285" s="1"/>
    </x:row>
    <x:row r="1286" ht="22" customHeight="1">
      <x:c r="A1286" s="14"/>
      <x:c r="B1286" s="15"/>
      <x:c r="C1286" s="16" t="str">
        <x:f>IF(AND(ISNUMBER(B1286),ISNUMBER(B1285),B1286&gt;0,B1285&gt;0),LN(B1286/B1285),"")</x:f>
      </x:c>
      <x:c r="D1286" s="16" t="str">
        <x:f>IF(ISNUMBER(C1286),ABS(C1286),"")</x:f>
      </x:c>
      <x:c r="E1286" s="16" t="str">
        <x:f>IF(ISNUMBER(C1286),C1286^2,"")</x:f>
      </x:c>
      <x:c r="F1286" s="16" t="str">
        <x:f>IF(AND(ISNUMBER(C1286),ISNUMBER($J$6),$J$6&gt;0),(C1286-$J$5)/$J$6,"")</x:f>
      </x:c>
      <x:c r="G1286" s="1" t="str">
        <x:f>IF(ISNUMBER(F1286),IF(ABS(F1286)&gt;3,1,0),"")</x:f>
      </x:c>
      <x:c r="H1286" s="1" t="str">
        <x:f>IF(ISNUMBER(F1286),F1286^4,"")</x:f>
      </x:c>
      <x:c r="I1286" s="1"/>
      <x:c r="J1286" s="1"/>
      <x:c r="K1286" s="1"/>
      <x:c r="L1286" s="1"/>
      <x:c r="M1286" s="1"/>
      <x:c r="N1286" s="1"/>
    </x:row>
    <x:row r="1287" ht="22" customHeight="1">
      <x:c r="A1287" s="14"/>
      <x:c r="B1287" s="15"/>
      <x:c r="C1287" s="16" t="str">
        <x:f>IF(AND(ISNUMBER(B1287),ISNUMBER(B1286),B1287&gt;0,B1286&gt;0),LN(B1287/B1286),"")</x:f>
      </x:c>
      <x:c r="D1287" s="16" t="str">
        <x:f>IF(ISNUMBER(C1287),ABS(C1287),"")</x:f>
      </x:c>
      <x:c r="E1287" s="16" t="str">
        <x:f>IF(ISNUMBER(C1287),C1287^2,"")</x:f>
      </x:c>
      <x:c r="F1287" s="16" t="str">
        <x:f>IF(AND(ISNUMBER(C1287),ISNUMBER($J$6),$J$6&gt;0),(C1287-$J$5)/$J$6,"")</x:f>
      </x:c>
      <x:c r="G1287" s="1" t="str">
        <x:f>IF(ISNUMBER(F1287),IF(ABS(F1287)&gt;3,1,0),"")</x:f>
      </x:c>
      <x:c r="H1287" s="1" t="str">
        <x:f>IF(ISNUMBER(F1287),F1287^4,"")</x:f>
      </x:c>
      <x:c r="I1287" s="1"/>
      <x:c r="J1287" s="1"/>
      <x:c r="K1287" s="1"/>
      <x:c r="L1287" s="1"/>
      <x:c r="M1287" s="1"/>
      <x:c r="N1287" s="1"/>
    </x:row>
    <x:row r="1288" ht="22" customHeight="1">
      <x:c r="A1288" s="14"/>
      <x:c r="B1288" s="15"/>
      <x:c r="C1288" s="16" t="str">
        <x:f>IF(AND(ISNUMBER(B1288),ISNUMBER(B1287),B1288&gt;0,B1287&gt;0),LN(B1288/B1287),"")</x:f>
      </x:c>
      <x:c r="D1288" s="16" t="str">
        <x:f>IF(ISNUMBER(C1288),ABS(C1288),"")</x:f>
      </x:c>
      <x:c r="E1288" s="16" t="str">
        <x:f>IF(ISNUMBER(C1288),C1288^2,"")</x:f>
      </x:c>
      <x:c r="F1288" s="16" t="str">
        <x:f>IF(AND(ISNUMBER(C1288),ISNUMBER($J$6),$J$6&gt;0),(C1288-$J$5)/$J$6,"")</x:f>
      </x:c>
      <x:c r="G1288" s="1" t="str">
        <x:f>IF(ISNUMBER(F1288),IF(ABS(F1288)&gt;3,1,0),"")</x:f>
      </x:c>
      <x:c r="H1288" s="1" t="str">
        <x:f>IF(ISNUMBER(F1288),F1288^4,"")</x:f>
      </x:c>
      <x:c r="I1288" s="1"/>
      <x:c r="J1288" s="1"/>
      <x:c r="K1288" s="1"/>
      <x:c r="L1288" s="1"/>
      <x:c r="M1288" s="1"/>
      <x:c r="N1288" s="1"/>
    </x:row>
    <x:row r="1289" ht="22" customHeight="1">
      <x:c r="A1289" s="14"/>
      <x:c r="B1289" s="15"/>
      <x:c r="C1289" s="16" t="str">
        <x:f>IF(AND(ISNUMBER(B1289),ISNUMBER(B1288),B1289&gt;0,B1288&gt;0),LN(B1289/B1288),"")</x:f>
      </x:c>
      <x:c r="D1289" s="16" t="str">
        <x:f>IF(ISNUMBER(C1289),ABS(C1289),"")</x:f>
      </x:c>
      <x:c r="E1289" s="16" t="str">
        <x:f>IF(ISNUMBER(C1289),C1289^2,"")</x:f>
      </x:c>
      <x:c r="F1289" s="16" t="str">
        <x:f>IF(AND(ISNUMBER(C1289),ISNUMBER($J$6),$J$6&gt;0),(C1289-$J$5)/$J$6,"")</x:f>
      </x:c>
      <x:c r="G1289" s="1" t="str">
        <x:f>IF(ISNUMBER(F1289),IF(ABS(F1289)&gt;3,1,0),"")</x:f>
      </x:c>
      <x:c r="H1289" s="1" t="str">
        <x:f>IF(ISNUMBER(F1289),F1289^4,"")</x:f>
      </x:c>
      <x:c r="I1289" s="1"/>
      <x:c r="J1289" s="1"/>
      <x:c r="K1289" s="1"/>
      <x:c r="L1289" s="1"/>
      <x:c r="M1289" s="1"/>
      <x:c r="N1289" s="1"/>
    </x:row>
    <x:row r="1290" ht="22" customHeight="1">
      <x:c r="A1290" s="14"/>
      <x:c r="B1290" s="15"/>
      <x:c r="C1290" s="16" t="str">
        <x:f>IF(AND(ISNUMBER(B1290),ISNUMBER(B1289),B1290&gt;0,B1289&gt;0),LN(B1290/B1289),"")</x:f>
      </x:c>
      <x:c r="D1290" s="16" t="str">
        <x:f>IF(ISNUMBER(C1290),ABS(C1290),"")</x:f>
      </x:c>
      <x:c r="E1290" s="16" t="str">
        <x:f>IF(ISNUMBER(C1290),C1290^2,"")</x:f>
      </x:c>
      <x:c r="F1290" s="16" t="str">
        <x:f>IF(AND(ISNUMBER(C1290),ISNUMBER($J$6),$J$6&gt;0),(C1290-$J$5)/$J$6,"")</x:f>
      </x:c>
      <x:c r="G1290" s="1" t="str">
        <x:f>IF(ISNUMBER(F1290),IF(ABS(F1290)&gt;3,1,0),"")</x:f>
      </x:c>
      <x:c r="H1290" s="1" t="str">
        <x:f>IF(ISNUMBER(F1290),F1290^4,"")</x:f>
      </x:c>
      <x:c r="I1290" s="1"/>
      <x:c r="J1290" s="1"/>
      <x:c r="K1290" s="1"/>
      <x:c r="L1290" s="1"/>
      <x:c r="M1290" s="1"/>
      <x:c r="N1290" s="1"/>
    </x:row>
    <x:row r="1291" ht="22" customHeight="1">
      <x:c r="A1291" s="14"/>
      <x:c r="B1291" s="15"/>
      <x:c r="C1291" s="16" t="str">
        <x:f>IF(AND(ISNUMBER(B1291),ISNUMBER(B1290),B1291&gt;0,B1290&gt;0),LN(B1291/B1290),"")</x:f>
      </x:c>
      <x:c r="D1291" s="16" t="str">
        <x:f>IF(ISNUMBER(C1291),ABS(C1291),"")</x:f>
      </x:c>
      <x:c r="E1291" s="16" t="str">
        <x:f>IF(ISNUMBER(C1291),C1291^2,"")</x:f>
      </x:c>
      <x:c r="F1291" s="16" t="str">
        <x:f>IF(AND(ISNUMBER(C1291),ISNUMBER($J$6),$J$6&gt;0),(C1291-$J$5)/$J$6,"")</x:f>
      </x:c>
      <x:c r="G1291" s="1" t="str">
        <x:f>IF(ISNUMBER(F1291),IF(ABS(F1291)&gt;3,1,0),"")</x:f>
      </x:c>
      <x:c r="H1291" s="1" t="str">
        <x:f>IF(ISNUMBER(F1291),F1291^4,"")</x:f>
      </x:c>
      <x:c r="I1291" s="1"/>
      <x:c r="J1291" s="1"/>
      <x:c r="K1291" s="1"/>
      <x:c r="L1291" s="1"/>
      <x:c r="M1291" s="1"/>
      <x:c r="N1291" s="1"/>
    </x:row>
    <x:row r="1292" ht="22" customHeight="1">
      <x:c r="A1292" s="14"/>
      <x:c r="B1292" s="15"/>
      <x:c r="C1292" s="16" t="str">
        <x:f>IF(AND(ISNUMBER(B1292),ISNUMBER(B1291),B1292&gt;0,B1291&gt;0),LN(B1292/B1291),"")</x:f>
      </x:c>
      <x:c r="D1292" s="16" t="str">
        <x:f>IF(ISNUMBER(C1292),ABS(C1292),"")</x:f>
      </x:c>
      <x:c r="E1292" s="16" t="str">
        <x:f>IF(ISNUMBER(C1292),C1292^2,"")</x:f>
      </x:c>
      <x:c r="F1292" s="16" t="str">
        <x:f>IF(AND(ISNUMBER(C1292),ISNUMBER($J$6),$J$6&gt;0),(C1292-$J$5)/$J$6,"")</x:f>
      </x:c>
      <x:c r="G1292" s="1" t="str">
        <x:f>IF(ISNUMBER(F1292),IF(ABS(F1292)&gt;3,1,0),"")</x:f>
      </x:c>
      <x:c r="H1292" s="1" t="str">
        <x:f>IF(ISNUMBER(F1292),F1292^4,"")</x:f>
      </x:c>
      <x:c r="I1292" s="1"/>
      <x:c r="J1292" s="1"/>
      <x:c r="K1292" s="1"/>
      <x:c r="L1292" s="1"/>
      <x:c r="M1292" s="1"/>
      <x:c r="N1292" s="1"/>
    </x:row>
    <x:row r="1293" ht="22" customHeight="1">
      <x:c r="A1293" s="14"/>
      <x:c r="B1293" s="15"/>
      <x:c r="C1293" s="16" t="str">
        <x:f>IF(AND(ISNUMBER(B1293),ISNUMBER(B1292),B1293&gt;0,B1292&gt;0),LN(B1293/B1292),"")</x:f>
      </x:c>
      <x:c r="D1293" s="16" t="str">
        <x:f>IF(ISNUMBER(C1293),ABS(C1293),"")</x:f>
      </x:c>
      <x:c r="E1293" s="16" t="str">
        <x:f>IF(ISNUMBER(C1293),C1293^2,"")</x:f>
      </x:c>
      <x:c r="F1293" s="16" t="str">
        <x:f>IF(AND(ISNUMBER(C1293),ISNUMBER($J$6),$J$6&gt;0),(C1293-$J$5)/$J$6,"")</x:f>
      </x:c>
      <x:c r="G1293" s="1" t="str">
        <x:f>IF(ISNUMBER(F1293),IF(ABS(F1293)&gt;3,1,0),"")</x:f>
      </x:c>
      <x:c r="H1293" s="1" t="str">
        <x:f>IF(ISNUMBER(F1293),F1293^4,"")</x:f>
      </x:c>
      <x:c r="I1293" s="1"/>
      <x:c r="J1293" s="1"/>
      <x:c r="K1293" s="1"/>
      <x:c r="L1293" s="1"/>
      <x:c r="M1293" s="1"/>
      <x:c r="N1293" s="1"/>
    </x:row>
    <x:row r="1294" ht="22" customHeight="1">
      <x:c r="A1294" s="14"/>
      <x:c r="B1294" s="15"/>
      <x:c r="C1294" s="16" t="str">
        <x:f>IF(AND(ISNUMBER(B1294),ISNUMBER(B1293),B1294&gt;0,B1293&gt;0),LN(B1294/B1293),"")</x:f>
      </x:c>
      <x:c r="D1294" s="16" t="str">
        <x:f>IF(ISNUMBER(C1294),ABS(C1294),"")</x:f>
      </x:c>
      <x:c r="E1294" s="16" t="str">
        <x:f>IF(ISNUMBER(C1294),C1294^2,"")</x:f>
      </x:c>
      <x:c r="F1294" s="16" t="str">
        <x:f>IF(AND(ISNUMBER(C1294),ISNUMBER($J$6),$J$6&gt;0),(C1294-$J$5)/$J$6,"")</x:f>
      </x:c>
      <x:c r="G1294" s="1" t="str">
        <x:f>IF(ISNUMBER(F1294),IF(ABS(F1294)&gt;3,1,0),"")</x:f>
      </x:c>
      <x:c r="H1294" s="1" t="str">
        <x:f>IF(ISNUMBER(F1294),F1294^4,"")</x:f>
      </x:c>
      <x:c r="I1294" s="1"/>
      <x:c r="J1294" s="1"/>
      <x:c r="K1294" s="1"/>
      <x:c r="L1294" s="1"/>
      <x:c r="M1294" s="1"/>
      <x:c r="N1294" s="1"/>
    </x:row>
    <x:row r="1295" ht="22" customHeight="1">
      <x:c r="A1295" s="14"/>
      <x:c r="B1295" s="15"/>
      <x:c r="C1295" s="16" t="str">
        <x:f>IF(AND(ISNUMBER(B1295),ISNUMBER(B1294),B1295&gt;0,B1294&gt;0),LN(B1295/B1294),"")</x:f>
      </x:c>
      <x:c r="D1295" s="16" t="str">
        <x:f>IF(ISNUMBER(C1295),ABS(C1295),"")</x:f>
      </x:c>
      <x:c r="E1295" s="16" t="str">
        <x:f>IF(ISNUMBER(C1295),C1295^2,"")</x:f>
      </x:c>
      <x:c r="F1295" s="16" t="str">
        <x:f>IF(AND(ISNUMBER(C1295),ISNUMBER($J$6),$J$6&gt;0),(C1295-$J$5)/$J$6,"")</x:f>
      </x:c>
      <x:c r="G1295" s="1" t="str">
        <x:f>IF(ISNUMBER(F1295),IF(ABS(F1295)&gt;3,1,0),"")</x:f>
      </x:c>
      <x:c r="H1295" s="1" t="str">
        <x:f>IF(ISNUMBER(F1295),F1295^4,"")</x:f>
      </x:c>
      <x:c r="I1295" s="1"/>
      <x:c r="J1295" s="1"/>
      <x:c r="K1295" s="1"/>
      <x:c r="L1295" s="1"/>
      <x:c r="M1295" s="1"/>
      <x:c r="N1295" s="1"/>
    </x:row>
    <x:row r="1296" ht="22" customHeight="1">
      <x:c r="A1296" s="14"/>
      <x:c r="B1296" s="15"/>
      <x:c r="C1296" s="16" t="str">
        <x:f>IF(AND(ISNUMBER(B1296),ISNUMBER(B1295),B1296&gt;0,B1295&gt;0),LN(B1296/B1295),"")</x:f>
      </x:c>
      <x:c r="D1296" s="16" t="str">
        <x:f>IF(ISNUMBER(C1296),ABS(C1296),"")</x:f>
      </x:c>
      <x:c r="E1296" s="16" t="str">
        <x:f>IF(ISNUMBER(C1296),C1296^2,"")</x:f>
      </x:c>
      <x:c r="F1296" s="16" t="str">
        <x:f>IF(AND(ISNUMBER(C1296),ISNUMBER($J$6),$J$6&gt;0),(C1296-$J$5)/$J$6,"")</x:f>
      </x:c>
      <x:c r="G1296" s="1" t="str">
        <x:f>IF(ISNUMBER(F1296),IF(ABS(F1296)&gt;3,1,0),"")</x:f>
      </x:c>
      <x:c r="H1296" s="1" t="str">
        <x:f>IF(ISNUMBER(F1296),F1296^4,"")</x:f>
      </x:c>
      <x:c r="I1296" s="1"/>
      <x:c r="J1296" s="1"/>
      <x:c r="K1296" s="1"/>
      <x:c r="L1296" s="1"/>
      <x:c r="M1296" s="1"/>
      <x:c r="N1296" s="1"/>
    </x:row>
    <x:row r="1297" ht="22" customHeight="1">
      <x:c r="A1297" s="14"/>
      <x:c r="B1297" s="15"/>
      <x:c r="C1297" s="16" t="str">
        <x:f>IF(AND(ISNUMBER(B1297),ISNUMBER(B1296),B1297&gt;0,B1296&gt;0),LN(B1297/B1296),"")</x:f>
      </x:c>
      <x:c r="D1297" s="16" t="str">
        <x:f>IF(ISNUMBER(C1297),ABS(C1297),"")</x:f>
      </x:c>
      <x:c r="E1297" s="16" t="str">
        <x:f>IF(ISNUMBER(C1297),C1297^2,"")</x:f>
      </x:c>
      <x:c r="F1297" s="16" t="str">
        <x:f>IF(AND(ISNUMBER(C1297),ISNUMBER($J$6),$J$6&gt;0),(C1297-$J$5)/$J$6,"")</x:f>
      </x:c>
      <x:c r="G1297" s="1" t="str">
        <x:f>IF(ISNUMBER(F1297),IF(ABS(F1297)&gt;3,1,0),"")</x:f>
      </x:c>
      <x:c r="H1297" s="1" t="str">
        <x:f>IF(ISNUMBER(F1297),F1297^4,"")</x:f>
      </x:c>
      <x:c r="I1297" s="1"/>
      <x:c r="J1297" s="1"/>
      <x:c r="K1297" s="1"/>
      <x:c r="L1297" s="1"/>
      <x:c r="M1297" s="1"/>
      <x:c r="N1297" s="1"/>
    </x:row>
    <x:row r="1298" ht="22" customHeight="1">
      <x:c r="A1298" s="14"/>
      <x:c r="B1298" s="15"/>
      <x:c r="C1298" s="16" t="str">
        <x:f>IF(AND(ISNUMBER(B1298),ISNUMBER(B1297),B1298&gt;0,B1297&gt;0),LN(B1298/B1297),"")</x:f>
      </x:c>
      <x:c r="D1298" s="16" t="str">
        <x:f>IF(ISNUMBER(C1298),ABS(C1298),"")</x:f>
      </x:c>
      <x:c r="E1298" s="16" t="str">
        <x:f>IF(ISNUMBER(C1298),C1298^2,"")</x:f>
      </x:c>
      <x:c r="F1298" s="16" t="str">
        <x:f>IF(AND(ISNUMBER(C1298),ISNUMBER($J$6),$J$6&gt;0),(C1298-$J$5)/$J$6,"")</x:f>
      </x:c>
      <x:c r="G1298" s="1" t="str">
        <x:f>IF(ISNUMBER(F1298),IF(ABS(F1298)&gt;3,1,0),"")</x:f>
      </x:c>
      <x:c r="H1298" s="1" t="str">
        <x:f>IF(ISNUMBER(F1298),F1298^4,"")</x:f>
      </x:c>
      <x:c r="I1298" s="1"/>
      <x:c r="J1298" s="1"/>
      <x:c r="K1298" s="1"/>
      <x:c r="L1298" s="1"/>
      <x:c r="M1298" s="1"/>
      <x:c r="N1298" s="1"/>
    </x:row>
    <x:row r="1299" ht="22" customHeight="1">
      <x:c r="A1299" s="14"/>
      <x:c r="B1299" s="15"/>
      <x:c r="C1299" s="16" t="str">
        <x:f>IF(AND(ISNUMBER(B1299),ISNUMBER(B1298),B1299&gt;0,B1298&gt;0),LN(B1299/B1298),"")</x:f>
      </x:c>
      <x:c r="D1299" s="16" t="str">
        <x:f>IF(ISNUMBER(C1299),ABS(C1299),"")</x:f>
      </x:c>
      <x:c r="E1299" s="16" t="str">
        <x:f>IF(ISNUMBER(C1299),C1299^2,"")</x:f>
      </x:c>
      <x:c r="F1299" s="16" t="str">
        <x:f>IF(AND(ISNUMBER(C1299),ISNUMBER($J$6),$J$6&gt;0),(C1299-$J$5)/$J$6,"")</x:f>
      </x:c>
      <x:c r="G1299" s="1" t="str">
        <x:f>IF(ISNUMBER(F1299),IF(ABS(F1299)&gt;3,1,0),"")</x:f>
      </x:c>
      <x:c r="H1299" s="1" t="str">
        <x:f>IF(ISNUMBER(F1299),F1299^4,"")</x:f>
      </x:c>
      <x:c r="I1299" s="1"/>
      <x:c r="J1299" s="1"/>
      <x:c r="K1299" s="1"/>
      <x:c r="L1299" s="1"/>
      <x:c r="M1299" s="1"/>
      <x:c r="N1299" s="1"/>
    </x:row>
    <x:row r="1300" ht="22" customHeight="1">
      <x:c r="A1300" s="14"/>
      <x:c r="B1300" s="15"/>
      <x:c r="C1300" s="16" t="str">
        <x:f>IF(AND(ISNUMBER(B1300),ISNUMBER(B1299),B1300&gt;0,B1299&gt;0),LN(B1300/B1299),"")</x:f>
      </x:c>
      <x:c r="D1300" s="16" t="str">
        <x:f>IF(ISNUMBER(C1300),ABS(C1300),"")</x:f>
      </x:c>
      <x:c r="E1300" s="16" t="str">
        <x:f>IF(ISNUMBER(C1300),C1300^2,"")</x:f>
      </x:c>
      <x:c r="F1300" s="16" t="str">
        <x:f>IF(AND(ISNUMBER(C1300),ISNUMBER($J$6),$J$6&gt;0),(C1300-$J$5)/$J$6,"")</x:f>
      </x:c>
      <x:c r="G1300" s="1" t="str">
        <x:f>IF(ISNUMBER(F1300),IF(ABS(F1300)&gt;3,1,0),"")</x:f>
      </x:c>
      <x:c r="H1300" s="1" t="str">
        <x:f>IF(ISNUMBER(F1300),F1300^4,"")</x:f>
      </x:c>
      <x:c r="I1300" s="1"/>
      <x:c r="J1300" s="1"/>
      <x:c r="K1300" s="1"/>
      <x:c r="L1300" s="1"/>
      <x:c r="M1300" s="1"/>
      <x:c r="N1300" s="1"/>
    </x:row>
    <x:row r="1301" ht="22" customHeight="1">
      <x:c r="A1301" s="14"/>
      <x:c r="B1301" s="15"/>
      <x:c r="C1301" s="16" t="str">
        <x:f>IF(AND(ISNUMBER(B1301),ISNUMBER(B1300),B1301&gt;0,B1300&gt;0),LN(B1301/B1300),"")</x:f>
      </x:c>
      <x:c r="D1301" s="16" t="str">
        <x:f>IF(ISNUMBER(C1301),ABS(C1301),"")</x:f>
      </x:c>
      <x:c r="E1301" s="16" t="str">
        <x:f>IF(ISNUMBER(C1301),C1301^2,"")</x:f>
      </x:c>
      <x:c r="F1301" s="16" t="str">
        <x:f>IF(AND(ISNUMBER(C1301),ISNUMBER($J$6),$J$6&gt;0),(C1301-$J$5)/$J$6,"")</x:f>
      </x:c>
      <x:c r="G1301" s="1" t="str">
        <x:f>IF(ISNUMBER(F1301),IF(ABS(F1301)&gt;3,1,0),"")</x:f>
      </x:c>
      <x:c r="H1301" s="1" t="str">
        <x:f>IF(ISNUMBER(F1301),F1301^4,"")</x:f>
      </x:c>
      <x:c r="I1301" s="1"/>
      <x:c r="J1301" s="1"/>
      <x:c r="K1301" s="1"/>
      <x:c r="L1301" s="1"/>
      <x:c r="M1301" s="1"/>
      <x:c r="N1301" s="1"/>
    </x:row>
    <x:row r="1302" ht="22" customHeight="1">
      <x:c r="A1302" s="14"/>
      <x:c r="B1302" s="15"/>
      <x:c r="C1302" s="16" t="str">
        <x:f>IF(AND(ISNUMBER(B1302),ISNUMBER(B1301),B1302&gt;0,B1301&gt;0),LN(B1302/B1301),"")</x:f>
      </x:c>
      <x:c r="D1302" s="16" t="str">
        <x:f>IF(ISNUMBER(C1302),ABS(C1302),"")</x:f>
      </x:c>
      <x:c r="E1302" s="16" t="str">
        <x:f>IF(ISNUMBER(C1302),C1302^2,"")</x:f>
      </x:c>
      <x:c r="F1302" s="16" t="str">
        <x:f>IF(AND(ISNUMBER(C1302),ISNUMBER($J$6),$J$6&gt;0),(C1302-$J$5)/$J$6,"")</x:f>
      </x:c>
      <x:c r="G1302" s="1" t="str">
        <x:f>IF(ISNUMBER(F1302),IF(ABS(F1302)&gt;3,1,0),"")</x:f>
      </x:c>
      <x:c r="H1302" s="1" t="str">
        <x:f>IF(ISNUMBER(F1302),F1302^4,"")</x:f>
      </x:c>
      <x:c r="I1302" s="1"/>
      <x:c r="J1302" s="1"/>
      <x:c r="K1302" s="1"/>
      <x:c r="L1302" s="1"/>
      <x:c r="M1302" s="1"/>
      <x:c r="N1302" s="1"/>
    </x:row>
    <x:row r="1303" ht="22" customHeight="1">
      <x:c r="A1303" s="14"/>
      <x:c r="B1303" s="15"/>
      <x:c r="C1303" s="16" t="str">
        <x:f>IF(AND(ISNUMBER(B1303),ISNUMBER(B1302),B1303&gt;0,B1302&gt;0),LN(B1303/B1302),"")</x:f>
      </x:c>
      <x:c r="D1303" s="16" t="str">
        <x:f>IF(ISNUMBER(C1303),ABS(C1303),"")</x:f>
      </x:c>
      <x:c r="E1303" s="16" t="str">
        <x:f>IF(ISNUMBER(C1303),C1303^2,"")</x:f>
      </x:c>
      <x:c r="F1303" s="16" t="str">
        <x:f>IF(AND(ISNUMBER(C1303),ISNUMBER($J$6),$J$6&gt;0),(C1303-$J$5)/$J$6,"")</x:f>
      </x:c>
      <x:c r="G1303" s="1" t="str">
        <x:f>IF(ISNUMBER(F1303),IF(ABS(F1303)&gt;3,1,0),"")</x:f>
      </x:c>
      <x:c r="H1303" s="1" t="str">
        <x:f>IF(ISNUMBER(F1303),F1303^4,"")</x:f>
      </x:c>
      <x:c r="I1303" s="1"/>
      <x:c r="J1303" s="1"/>
      <x:c r="K1303" s="1"/>
      <x:c r="L1303" s="1"/>
      <x:c r="M1303" s="1"/>
      <x:c r="N1303" s="1"/>
    </x:row>
    <x:row r="1304" ht="22" customHeight="1">
      <x:c r="A1304" s="14"/>
      <x:c r="B1304" s="15"/>
      <x:c r="C1304" s="16" t="str">
        <x:f>IF(AND(ISNUMBER(B1304),ISNUMBER(B1303),B1304&gt;0,B1303&gt;0),LN(B1304/B1303),"")</x:f>
      </x:c>
      <x:c r="D1304" s="16" t="str">
        <x:f>IF(ISNUMBER(C1304),ABS(C1304),"")</x:f>
      </x:c>
      <x:c r="E1304" s="16" t="str">
        <x:f>IF(ISNUMBER(C1304),C1304^2,"")</x:f>
      </x:c>
      <x:c r="F1304" s="16" t="str">
        <x:f>IF(AND(ISNUMBER(C1304),ISNUMBER($J$6),$J$6&gt;0),(C1304-$J$5)/$J$6,"")</x:f>
      </x:c>
      <x:c r="G1304" s="1" t="str">
        <x:f>IF(ISNUMBER(F1304),IF(ABS(F1304)&gt;3,1,0),"")</x:f>
      </x:c>
      <x:c r="H1304" s="1" t="str">
        <x:f>IF(ISNUMBER(F1304),F1304^4,"")</x:f>
      </x:c>
      <x:c r="I1304" s="1"/>
      <x:c r="J1304" s="1"/>
      <x:c r="K1304" s="1"/>
      <x:c r="L1304" s="1"/>
      <x:c r="M1304" s="1"/>
      <x:c r="N1304" s="1"/>
    </x:row>
    <x:row r="1305" ht="22" customHeight="1">
      <x:c r="A1305" s="14"/>
      <x:c r="B1305" s="15"/>
      <x:c r="C1305" s="16" t="str">
        <x:f>IF(AND(ISNUMBER(B1305),ISNUMBER(B1304),B1305&gt;0,B1304&gt;0),LN(B1305/B1304),"")</x:f>
      </x:c>
      <x:c r="D1305" s="16" t="str">
        <x:f>IF(ISNUMBER(C1305),ABS(C1305),"")</x:f>
      </x:c>
      <x:c r="E1305" s="16" t="str">
        <x:f>IF(ISNUMBER(C1305),C1305^2,"")</x:f>
      </x:c>
      <x:c r="F1305" s="16" t="str">
        <x:f>IF(AND(ISNUMBER(C1305),ISNUMBER($J$6),$J$6&gt;0),(C1305-$J$5)/$J$6,"")</x:f>
      </x:c>
      <x:c r="G1305" s="1" t="str">
        <x:f>IF(ISNUMBER(F1305),IF(ABS(F1305)&gt;3,1,0),"")</x:f>
      </x:c>
      <x:c r="H1305" s="1" t="str">
        <x:f>IF(ISNUMBER(F1305),F1305^4,"")</x:f>
      </x:c>
      <x:c r="I1305" s="1"/>
      <x:c r="J1305" s="1"/>
      <x:c r="K1305" s="1"/>
      <x:c r="L1305" s="1"/>
      <x:c r="M1305" s="1"/>
      <x:c r="N1305" s="1"/>
    </x:row>
    <x:row r="1306" ht="22" customHeight="1">
      <x:c r="A1306" s="14"/>
      <x:c r="B1306" s="15"/>
      <x:c r="C1306" s="16" t="str">
        <x:f>IF(AND(ISNUMBER(B1306),ISNUMBER(B1305),B1306&gt;0,B1305&gt;0),LN(B1306/B1305),"")</x:f>
      </x:c>
      <x:c r="D1306" s="16" t="str">
        <x:f>IF(ISNUMBER(C1306),ABS(C1306),"")</x:f>
      </x:c>
      <x:c r="E1306" s="16" t="str">
        <x:f>IF(ISNUMBER(C1306),C1306^2,"")</x:f>
      </x:c>
      <x:c r="F1306" s="16" t="str">
        <x:f>IF(AND(ISNUMBER(C1306),ISNUMBER($J$6),$J$6&gt;0),(C1306-$J$5)/$J$6,"")</x:f>
      </x:c>
      <x:c r="G1306" s="1" t="str">
        <x:f>IF(ISNUMBER(F1306),IF(ABS(F1306)&gt;3,1,0),"")</x:f>
      </x:c>
      <x:c r="H1306" s="1" t="str">
        <x:f>IF(ISNUMBER(F1306),F1306^4,"")</x:f>
      </x:c>
      <x:c r="I1306" s="1"/>
      <x:c r="J1306" s="1"/>
      <x:c r="K1306" s="1"/>
      <x:c r="L1306" s="1"/>
      <x:c r="M1306" s="1"/>
      <x:c r="N1306" s="1"/>
    </x:row>
    <x:row r="1307" ht="22" customHeight="1">
      <x:c r="A1307" s="14"/>
      <x:c r="B1307" s="15"/>
      <x:c r="C1307" s="16" t="str">
        <x:f>IF(AND(ISNUMBER(B1307),ISNUMBER(B1306),B1307&gt;0,B1306&gt;0),LN(B1307/B1306),"")</x:f>
      </x:c>
      <x:c r="D1307" s="16" t="str">
        <x:f>IF(ISNUMBER(C1307),ABS(C1307),"")</x:f>
      </x:c>
      <x:c r="E1307" s="16" t="str">
        <x:f>IF(ISNUMBER(C1307),C1307^2,"")</x:f>
      </x:c>
      <x:c r="F1307" s="16" t="str">
        <x:f>IF(AND(ISNUMBER(C1307),ISNUMBER($J$6),$J$6&gt;0),(C1307-$J$5)/$J$6,"")</x:f>
      </x:c>
      <x:c r="G1307" s="1" t="str">
        <x:f>IF(ISNUMBER(F1307),IF(ABS(F1307)&gt;3,1,0),"")</x:f>
      </x:c>
      <x:c r="H1307" s="1" t="str">
        <x:f>IF(ISNUMBER(F1307),F1307^4,"")</x:f>
      </x:c>
      <x:c r="I1307" s="1"/>
      <x:c r="J1307" s="1"/>
      <x:c r="K1307" s="1"/>
      <x:c r="L1307" s="1"/>
      <x:c r="M1307" s="1"/>
      <x:c r="N1307" s="1"/>
    </x:row>
    <x:row r="1308" ht="22" customHeight="1">
      <x:c r="A1308" s="14"/>
      <x:c r="B1308" s="15"/>
      <x:c r="C1308" s="16" t="str">
        <x:f>IF(AND(ISNUMBER(B1308),ISNUMBER(B1307),B1308&gt;0,B1307&gt;0),LN(B1308/B1307),"")</x:f>
      </x:c>
      <x:c r="D1308" s="16" t="str">
        <x:f>IF(ISNUMBER(C1308),ABS(C1308),"")</x:f>
      </x:c>
      <x:c r="E1308" s="16" t="str">
        <x:f>IF(ISNUMBER(C1308),C1308^2,"")</x:f>
      </x:c>
      <x:c r="F1308" s="16" t="str">
        <x:f>IF(AND(ISNUMBER(C1308),ISNUMBER($J$6),$J$6&gt;0),(C1308-$J$5)/$J$6,"")</x:f>
      </x:c>
      <x:c r="G1308" s="1" t="str">
        <x:f>IF(ISNUMBER(F1308),IF(ABS(F1308)&gt;3,1,0),"")</x:f>
      </x:c>
      <x:c r="H1308" s="1" t="str">
        <x:f>IF(ISNUMBER(F1308),F1308^4,"")</x:f>
      </x:c>
      <x:c r="I1308" s="1"/>
      <x:c r="J1308" s="1"/>
      <x:c r="K1308" s="1"/>
      <x:c r="L1308" s="1"/>
      <x:c r="M1308" s="1"/>
      <x:c r="N1308" s="1"/>
    </x:row>
    <x:row r="1309" ht="22" customHeight="1">
      <x:c r="A1309" s="14"/>
      <x:c r="B1309" s="15"/>
      <x:c r="C1309" s="16" t="str">
        <x:f>IF(AND(ISNUMBER(B1309),ISNUMBER(B1308),B1309&gt;0,B1308&gt;0),LN(B1309/B1308),"")</x:f>
      </x:c>
      <x:c r="D1309" s="16" t="str">
        <x:f>IF(ISNUMBER(C1309),ABS(C1309),"")</x:f>
      </x:c>
      <x:c r="E1309" s="16" t="str">
        <x:f>IF(ISNUMBER(C1309),C1309^2,"")</x:f>
      </x:c>
      <x:c r="F1309" s="16" t="str">
        <x:f>IF(AND(ISNUMBER(C1309),ISNUMBER($J$6),$J$6&gt;0),(C1309-$J$5)/$J$6,"")</x:f>
      </x:c>
      <x:c r="G1309" s="1" t="str">
        <x:f>IF(ISNUMBER(F1309),IF(ABS(F1309)&gt;3,1,0),"")</x:f>
      </x:c>
      <x:c r="H1309" s="1" t="str">
        <x:f>IF(ISNUMBER(F1309),F1309^4,"")</x:f>
      </x:c>
      <x:c r="I1309" s="1"/>
      <x:c r="J1309" s="1"/>
      <x:c r="K1309" s="1"/>
      <x:c r="L1309" s="1"/>
      <x:c r="M1309" s="1"/>
      <x:c r="N1309" s="1"/>
    </x:row>
    <x:row r="1310" ht="22" customHeight="1">
      <x:c r="A1310" s="14"/>
      <x:c r="B1310" s="15"/>
      <x:c r="C1310" s="16" t="str">
        <x:f>IF(AND(ISNUMBER(B1310),ISNUMBER(B1309),B1310&gt;0,B1309&gt;0),LN(B1310/B1309),"")</x:f>
      </x:c>
      <x:c r="D1310" s="16" t="str">
        <x:f>IF(ISNUMBER(C1310),ABS(C1310),"")</x:f>
      </x:c>
      <x:c r="E1310" s="16" t="str">
        <x:f>IF(ISNUMBER(C1310),C1310^2,"")</x:f>
      </x:c>
      <x:c r="F1310" s="16" t="str">
        <x:f>IF(AND(ISNUMBER(C1310),ISNUMBER($J$6),$J$6&gt;0),(C1310-$J$5)/$J$6,"")</x:f>
      </x:c>
      <x:c r="G1310" s="1" t="str">
        <x:f>IF(ISNUMBER(F1310),IF(ABS(F1310)&gt;3,1,0),"")</x:f>
      </x:c>
      <x:c r="H1310" s="1" t="str">
        <x:f>IF(ISNUMBER(F1310),F1310^4,"")</x:f>
      </x:c>
      <x:c r="I1310" s="1"/>
      <x:c r="J1310" s="1"/>
      <x:c r="K1310" s="1"/>
      <x:c r="L1310" s="1"/>
      <x:c r="M1310" s="1"/>
      <x:c r="N1310" s="1"/>
    </x:row>
    <x:row r="1311" ht="22" customHeight="1">
      <x:c r="A1311" s="14"/>
      <x:c r="B1311" s="15"/>
      <x:c r="C1311" s="16" t="str">
        <x:f>IF(AND(ISNUMBER(B1311),ISNUMBER(B1310),B1311&gt;0,B1310&gt;0),LN(B1311/B1310),"")</x:f>
      </x:c>
      <x:c r="D1311" s="16" t="str">
        <x:f>IF(ISNUMBER(C1311),ABS(C1311),"")</x:f>
      </x:c>
      <x:c r="E1311" s="16" t="str">
        <x:f>IF(ISNUMBER(C1311),C1311^2,"")</x:f>
      </x:c>
      <x:c r="F1311" s="16" t="str">
        <x:f>IF(AND(ISNUMBER(C1311),ISNUMBER($J$6),$J$6&gt;0),(C1311-$J$5)/$J$6,"")</x:f>
      </x:c>
      <x:c r="G1311" s="1" t="str">
        <x:f>IF(ISNUMBER(F1311),IF(ABS(F1311)&gt;3,1,0),"")</x:f>
      </x:c>
      <x:c r="H1311" s="1" t="str">
        <x:f>IF(ISNUMBER(F1311),F1311^4,"")</x:f>
      </x:c>
      <x:c r="I1311" s="1"/>
      <x:c r="J1311" s="1"/>
      <x:c r="K1311" s="1"/>
      <x:c r="L1311" s="1"/>
      <x:c r="M1311" s="1"/>
      <x:c r="N1311" s="1"/>
    </x:row>
    <x:row r="1312" ht="22" customHeight="1">
      <x:c r="A1312" s="14"/>
      <x:c r="B1312" s="15"/>
      <x:c r="C1312" s="16" t="str">
        <x:f>IF(AND(ISNUMBER(B1312),ISNUMBER(B1311),B1312&gt;0,B1311&gt;0),LN(B1312/B1311),"")</x:f>
      </x:c>
      <x:c r="D1312" s="16" t="str">
        <x:f>IF(ISNUMBER(C1312),ABS(C1312),"")</x:f>
      </x:c>
      <x:c r="E1312" s="16" t="str">
        <x:f>IF(ISNUMBER(C1312),C1312^2,"")</x:f>
      </x:c>
      <x:c r="F1312" s="16" t="str">
        <x:f>IF(AND(ISNUMBER(C1312),ISNUMBER($J$6),$J$6&gt;0),(C1312-$J$5)/$J$6,"")</x:f>
      </x:c>
      <x:c r="G1312" s="1" t="str">
        <x:f>IF(ISNUMBER(F1312),IF(ABS(F1312)&gt;3,1,0),"")</x:f>
      </x:c>
      <x:c r="H1312" s="1" t="str">
        <x:f>IF(ISNUMBER(F1312),F1312^4,"")</x:f>
      </x:c>
      <x:c r="I1312" s="1"/>
      <x:c r="J1312" s="1"/>
      <x:c r="K1312" s="1"/>
      <x:c r="L1312" s="1"/>
      <x:c r="M1312" s="1"/>
      <x:c r="N1312" s="1"/>
    </x:row>
    <x:row r="1313" ht="22" customHeight="1">
      <x:c r="A1313" s="14"/>
      <x:c r="B1313" s="15"/>
      <x:c r="C1313" s="16" t="str">
        <x:f>IF(AND(ISNUMBER(B1313),ISNUMBER(B1312),B1313&gt;0,B1312&gt;0),LN(B1313/B1312),"")</x:f>
      </x:c>
      <x:c r="D1313" s="16" t="str">
        <x:f>IF(ISNUMBER(C1313),ABS(C1313),"")</x:f>
      </x:c>
      <x:c r="E1313" s="16" t="str">
        <x:f>IF(ISNUMBER(C1313),C1313^2,"")</x:f>
      </x:c>
      <x:c r="F1313" s="16" t="str">
        <x:f>IF(AND(ISNUMBER(C1313),ISNUMBER($J$6),$J$6&gt;0),(C1313-$J$5)/$J$6,"")</x:f>
      </x:c>
      <x:c r="G1313" s="1" t="str">
        <x:f>IF(ISNUMBER(F1313),IF(ABS(F1313)&gt;3,1,0),"")</x:f>
      </x:c>
      <x:c r="H1313" s="1" t="str">
        <x:f>IF(ISNUMBER(F1313),F1313^4,"")</x:f>
      </x:c>
      <x:c r="I1313" s="1"/>
      <x:c r="J1313" s="1"/>
      <x:c r="K1313" s="1"/>
      <x:c r="L1313" s="1"/>
      <x:c r="M1313" s="1"/>
      <x:c r="N1313" s="1"/>
    </x:row>
    <x:row r="1314" ht="22" customHeight="1">
      <x:c r="A1314" s="14"/>
      <x:c r="B1314" s="15"/>
      <x:c r="C1314" s="16" t="str">
        <x:f>IF(AND(ISNUMBER(B1314),ISNUMBER(B1313),B1314&gt;0,B1313&gt;0),LN(B1314/B1313),"")</x:f>
      </x:c>
      <x:c r="D1314" s="16" t="str">
        <x:f>IF(ISNUMBER(C1314),ABS(C1314),"")</x:f>
      </x:c>
      <x:c r="E1314" s="16" t="str">
        <x:f>IF(ISNUMBER(C1314),C1314^2,"")</x:f>
      </x:c>
      <x:c r="F1314" s="16" t="str">
        <x:f>IF(AND(ISNUMBER(C1314),ISNUMBER($J$6),$J$6&gt;0),(C1314-$J$5)/$J$6,"")</x:f>
      </x:c>
      <x:c r="G1314" s="1" t="str">
        <x:f>IF(ISNUMBER(F1314),IF(ABS(F1314)&gt;3,1,0),"")</x:f>
      </x:c>
      <x:c r="H1314" s="1" t="str">
        <x:f>IF(ISNUMBER(F1314),F1314^4,"")</x:f>
      </x:c>
      <x:c r="I1314" s="1"/>
      <x:c r="J1314" s="1"/>
      <x:c r="K1314" s="1"/>
      <x:c r="L1314" s="1"/>
      <x:c r="M1314" s="1"/>
      <x:c r="N1314" s="1"/>
    </x:row>
    <x:row r="1315" ht="22" customHeight="1">
      <x:c r="A1315" s="14"/>
      <x:c r="B1315" s="15"/>
      <x:c r="C1315" s="16" t="str">
        <x:f>IF(AND(ISNUMBER(B1315),ISNUMBER(B1314),B1315&gt;0,B1314&gt;0),LN(B1315/B1314),"")</x:f>
      </x:c>
      <x:c r="D1315" s="16" t="str">
        <x:f>IF(ISNUMBER(C1315),ABS(C1315),"")</x:f>
      </x:c>
      <x:c r="E1315" s="16" t="str">
        <x:f>IF(ISNUMBER(C1315),C1315^2,"")</x:f>
      </x:c>
      <x:c r="F1315" s="16" t="str">
        <x:f>IF(AND(ISNUMBER(C1315),ISNUMBER($J$6),$J$6&gt;0),(C1315-$J$5)/$J$6,"")</x:f>
      </x:c>
      <x:c r="G1315" s="1" t="str">
        <x:f>IF(ISNUMBER(F1315),IF(ABS(F1315)&gt;3,1,0),"")</x:f>
      </x:c>
      <x:c r="H1315" s="1" t="str">
        <x:f>IF(ISNUMBER(F1315),F1315^4,"")</x:f>
      </x:c>
      <x:c r="I1315" s="1"/>
      <x:c r="J1315" s="1"/>
      <x:c r="K1315" s="1"/>
      <x:c r="L1315" s="1"/>
      <x:c r="M1315" s="1"/>
      <x:c r="N1315" s="1"/>
    </x:row>
    <x:row r="1316" ht="22" customHeight="1">
      <x:c r="A1316" s="14"/>
      <x:c r="B1316" s="15"/>
      <x:c r="C1316" s="16" t="str">
        <x:f>IF(AND(ISNUMBER(B1316),ISNUMBER(B1315),B1316&gt;0,B1315&gt;0),LN(B1316/B1315),"")</x:f>
      </x:c>
      <x:c r="D1316" s="16" t="str">
        <x:f>IF(ISNUMBER(C1316),ABS(C1316),"")</x:f>
      </x:c>
      <x:c r="E1316" s="16" t="str">
        <x:f>IF(ISNUMBER(C1316),C1316^2,"")</x:f>
      </x:c>
      <x:c r="F1316" s="16" t="str">
        <x:f>IF(AND(ISNUMBER(C1316),ISNUMBER($J$6),$J$6&gt;0),(C1316-$J$5)/$J$6,"")</x:f>
      </x:c>
      <x:c r="G1316" s="1" t="str">
        <x:f>IF(ISNUMBER(F1316),IF(ABS(F1316)&gt;3,1,0),"")</x:f>
      </x:c>
      <x:c r="H1316" s="1" t="str">
        <x:f>IF(ISNUMBER(F1316),F1316^4,"")</x:f>
      </x:c>
      <x:c r="I1316" s="1"/>
      <x:c r="J1316" s="1"/>
      <x:c r="K1316" s="1"/>
      <x:c r="L1316" s="1"/>
      <x:c r="M1316" s="1"/>
      <x:c r="N1316" s="1"/>
    </x:row>
    <x:row r="1317" ht="22" customHeight="1">
      <x:c r="A1317" s="14"/>
      <x:c r="B1317" s="15"/>
      <x:c r="C1317" s="16" t="str">
        <x:f>IF(AND(ISNUMBER(B1317),ISNUMBER(B1316),B1317&gt;0,B1316&gt;0),LN(B1317/B1316),"")</x:f>
      </x:c>
      <x:c r="D1317" s="16" t="str">
        <x:f>IF(ISNUMBER(C1317),ABS(C1317),"")</x:f>
      </x:c>
      <x:c r="E1317" s="16" t="str">
        <x:f>IF(ISNUMBER(C1317),C1317^2,"")</x:f>
      </x:c>
      <x:c r="F1317" s="16" t="str">
        <x:f>IF(AND(ISNUMBER(C1317),ISNUMBER($J$6),$J$6&gt;0),(C1317-$J$5)/$J$6,"")</x:f>
      </x:c>
      <x:c r="G1317" s="1" t="str">
        <x:f>IF(ISNUMBER(F1317),IF(ABS(F1317)&gt;3,1,0),"")</x:f>
      </x:c>
      <x:c r="H1317" s="1" t="str">
        <x:f>IF(ISNUMBER(F1317),F1317^4,"")</x:f>
      </x:c>
      <x:c r="I1317" s="1"/>
      <x:c r="J1317" s="1"/>
      <x:c r="K1317" s="1"/>
      <x:c r="L1317" s="1"/>
      <x:c r="M1317" s="1"/>
      <x:c r="N1317" s="1"/>
    </x:row>
    <x:row r="1318" ht="22" customHeight="1">
      <x:c r="A1318" s="14"/>
      <x:c r="B1318" s="15"/>
      <x:c r="C1318" s="16" t="str">
        <x:f>IF(AND(ISNUMBER(B1318),ISNUMBER(B1317),B1318&gt;0,B1317&gt;0),LN(B1318/B1317),"")</x:f>
      </x:c>
      <x:c r="D1318" s="16" t="str">
        <x:f>IF(ISNUMBER(C1318),ABS(C1318),"")</x:f>
      </x:c>
      <x:c r="E1318" s="16" t="str">
        <x:f>IF(ISNUMBER(C1318),C1318^2,"")</x:f>
      </x:c>
      <x:c r="F1318" s="16" t="str">
        <x:f>IF(AND(ISNUMBER(C1318),ISNUMBER($J$6),$J$6&gt;0),(C1318-$J$5)/$J$6,"")</x:f>
      </x:c>
      <x:c r="G1318" s="1" t="str">
        <x:f>IF(ISNUMBER(F1318),IF(ABS(F1318)&gt;3,1,0),"")</x:f>
      </x:c>
      <x:c r="H1318" s="1" t="str">
        <x:f>IF(ISNUMBER(F1318),F1318^4,"")</x:f>
      </x:c>
      <x:c r="I1318" s="1"/>
      <x:c r="J1318" s="1"/>
      <x:c r="K1318" s="1"/>
      <x:c r="L1318" s="1"/>
      <x:c r="M1318" s="1"/>
      <x:c r="N1318" s="1"/>
    </x:row>
    <x:row r="1319" ht="22" customHeight="1">
      <x:c r="A1319" s="14"/>
      <x:c r="B1319" s="15"/>
      <x:c r="C1319" s="16" t="str">
        <x:f>IF(AND(ISNUMBER(B1319),ISNUMBER(B1318),B1319&gt;0,B1318&gt;0),LN(B1319/B1318),"")</x:f>
      </x:c>
      <x:c r="D1319" s="16" t="str">
        <x:f>IF(ISNUMBER(C1319),ABS(C1319),"")</x:f>
      </x:c>
      <x:c r="E1319" s="16" t="str">
        <x:f>IF(ISNUMBER(C1319),C1319^2,"")</x:f>
      </x:c>
      <x:c r="F1319" s="16" t="str">
        <x:f>IF(AND(ISNUMBER(C1319),ISNUMBER($J$6),$J$6&gt;0),(C1319-$J$5)/$J$6,"")</x:f>
      </x:c>
      <x:c r="G1319" s="1" t="str">
        <x:f>IF(ISNUMBER(F1319),IF(ABS(F1319)&gt;3,1,0),"")</x:f>
      </x:c>
      <x:c r="H1319" s="1" t="str">
        <x:f>IF(ISNUMBER(F1319),F1319^4,"")</x:f>
      </x:c>
      <x:c r="I1319" s="1"/>
      <x:c r="J1319" s="1"/>
      <x:c r="K1319" s="1"/>
      <x:c r="L1319" s="1"/>
      <x:c r="M1319" s="1"/>
      <x:c r="N1319" s="1"/>
    </x:row>
    <x:row r="1320" ht="22" customHeight="1">
      <x:c r="A1320" s="14"/>
      <x:c r="B1320" s="15"/>
      <x:c r="C1320" s="16" t="str">
        <x:f>IF(AND(ISNUMBER(B1320),ISNUMBER(B1319),B1320&gt;0,B1319&gt;0),LN(B1320/B1319),"")</x:f>
      </x:c>
      <x:c r="D1320" s="16" t="str">
        <x:f>IF(ISNUMBER(C1320),ABS(C1320),"")</x:f>
      </x:c>
      <x:c r="E1320" s="16" t="str">
        <x:f>IF(ISNUMBER(C1320),C1320^2,"")</x:f>
      </x:c>
      <x:c r="F1320" s="16" t="str">
        <x:f>IF(AND(ISNUMBER(C1320),ISNUMBER($J$6),$J$6&gt;0),(C1320-$J$5)/$J$6,"")</x:f>
      </x:c>
      <x:c r="G1320" s="1" t="str">
        <x:f>IF(ISNUMBER(F1320),IF(ABS(F1320)&gt;3,1,0),"")</x:f>
      </x:c>
      <x:c r="H1320" s="1" t="str">
        <x:f>IF(ISNUMBER(F1320),F1320^4,"")</x:f>
      </x:c>
      <x:c r="I1320" s="1"/>
      <x:c r="J1320" s="1"/>
      <x:c r="K1320" s="1"/>
      <x:c r="L1320" s="1"/>
      <x:c r="M1320" s="1"/>
      <x:c r="N1320" s="1"/>
    </x:row>
    <x:row r="1321" ht="22" customHeight="1">
      <x:c r="A1321" s="14"/>
      <x:c r="B1321" s="15"/>
      <x:c r="C1321" s="16" t="str">
        <x:f>IF(AND(ISNUMBER(B1321),ISNUMBER(B1320),B1321&gt;0,B1320&gt;0),LN(B1321/B1320),"")</x:f>
      </x:c>
      <x:c r="D1321" s="16" t="str">
        <x:f>IF(ISNUMBER(C1321),ABS(C1321),"")</x:f>
      </x:c>
      <x:c r="E1321" s="16" t="str">
        <x:f>IF(ISNUMBER(C1321),C1321^2,"")</x:f>
      </x:c>
      <x:c r="F1321" s="16" t="str">
        <x:f>IF(AND(ISNUMBER(C1321),ISNUMBER($J$6),$J$6&gt;0),(C1321-$J$5)/$J$6,"")</x:f>
      </x:c>
      <x:c r="G1321" s="1" t="str">
        <x:f>IF(ISNUMBER(F1321),IF(ABS(F1321)&gt;3,1,0),"")</x:f>
      </x:c>
      <x:c r="H1321" s="1" t="str">
        <x:f>IF(ISNUMBER(F1321),F1321^4,"")</x:f>
      </x:c>
      <x:c r="I1321" s="1"/>
      <x:c r="J1321" s="1"/>
      <x:c r="K1321" s="1"/>
      <x:c r="L1321" s="1"/>
      <x:c r="M1321" s="1"/>
      <x:c r="N1321" s="1"/>
    </x:row>
    <x:row r="1322" ht="22" customHeight="1">
      <x:c r="A1322" s="14"/>
      <x:c r="B1322" s="15"/>
      <x:c r="C1322" s="16" t="str">
        <x:f>IF(AND(ISNUMBER(B1322),ISNUMBER(B1321),B1322&gt;0,B1321&gt;0),LN(B1322/B1321),"")</x:f>
      </x:c>
      <x:c r="D1322" s="16" t="str">
        <x:f>IF(ISNUMBER(C1322),ABS(C1322),"")</x:f>
      </x:c>
      <x:c r="E1322" s="16" t="str">
        <x:f>IF(ISNUMBER(C1322),C1322^2,"")</x:f>
      </x:c>
      <x:c r="F1322" s="16" t="str">
        <x:f>IF(AND(ISNUMBER(C1322),ISNUMBER($J$6),$J$6&gt;0),(C1322-$J$5)/$J$6,"")</x:f>
      </x:c>
      <x:c r="G1322" s="1" t="str">
        <x:f>IF(ISNUMBER(F1322),IF(ABS(F1322)&gt;3,1,0),"")</x:f>
      </x:c>
      <x:c r="H1322" s="1" t="str">
        <x:f>IF(ISNUMBER(F1322),F1322^4,"")</x:f>
      </x:c>
      <x:c r="I1322" s="1"/>
      <x:c r="J1322" s="1"/>
      <x:c r="K1322" s="1"/>
      <x:c r="L1322" s="1"/>
      <x:c r="M1322" s="1"/>
      <x:c r="N1322" s="1"/>
    </x:row>
    <x:row r="1323" ht="22" customHeight="1">
      <x:c r="A1323" s="14"/>
      <x:c r="B1323" s="15"/>
      <x:c r="C1323" s="16" t="str">
        <x:f>IF(AND(ISNUMBER(B1323),ISNUMBER(B1322),B1323&gt;0,B1322&gt;0),LN(B1323/B1322),"")</x:f>
      </x:c>
      <x:c r="D1323" s="16" t="str">
        <x:f>IF(ISNUMBER(C1323),ABS(C1323),"")</x:f>
      </x:c>
      <x:c r="E1323" s="16" t="str">
        <x:f>IF(ISNUMBER(C1323),C1323^2,"")</x:f>
      </x:c>
      <x:c r="F1323" s="16" t="str">
        <x:f>IF(AND(ISNUMBER(C1323),ISNUMBER($J$6),$J$6&gt;0),(C1323-$J$5)/$J$6,"")</x:f>
      </x:c>
      <x:c r="G1323" s="1" t="str">
        <x:f>IF(ISNUMBER(F1323),IF(ABS(F1323)&gt;3,1,0),"")</x:f>
      </x:c>
      <x:c r="H1323" s="1" t="str">
        <x:f>IF(ISNUMBER(F1323),F1323^4,"")</x:f>
      </x:c>
      <x:c r="I1323" s="1"/>
      <x:c r="J1323" s="1"/>
      <x:c r="K1323" s="1"/>
      <x:c r="L1323" s="1"/>
      <x:c r="M1323" s="1"/>
      <x:c r="N1323" s="1"/>
    </x:row>
    <x:row r="1324" ht="22" customHeight="1">
      <x:c r="A1324" s="14"/>
      <x:c r="B1324" s="15"/>
      <x:c r="C1324" s="16" t="str">
        <x:f>IF(AND(ISNUMBER(B1324),ISNUMBER(B1323),B1324&gt;0,B1323&gt;0),LN(B1324/B1323),"")</x:f>
      </x:c>
      <x:c r="D1324" s="16" t="str">
        <x:f>IF(ISNUMBER(C1324),ABS(C1324),"")</x:f>
      </x:c>
      <x:c r="E1324" s="16" t="str">
        <x:f>IF(ISNUMBER(C1324),C1324^2,"")</x:f>
      </x:c>
      <x:c r="F1324" s="16" t="str">
        <x:f>IF(AND(ISNUMBER(C1324),ISNUMBER($J$6),$J$6&gt;0),(C1324-$J$5)/$J$6,"")</x:f>
      </x:c>
      <x:c r="G1324" s="1" t="str">
        <x:f>IF(ISNUMBER(F1324),IF(ABS(F1324)&gt;3,1,0),"")</x:f>
      </x:c>
      <x:c r="H1324" s="1" t="str">
        <x:f>IF(ISNUMBER(F1324),F1324^4,"")</x:f>
      </x:c>
      <x:c r="I1324" s="1"/>
      <x:c r="J1324" s="1"/>
      <x:c r="K1324" s="1"/>
      <x:c r="L1324" s="1"/>
      <x:c r="M1324" s="1"/>
      <x:c r="N1324" s="1"/>
    </x:row>
    <x:row r="1325" ht="22" customHeight="1">
      <x:c r="A1325" s="14"/>
      <x:c r="B1325" s="15"/>
      <x:c r="C1325" s="16" t="str">
        <x:f>IF(AND(ISNUMBER(B1325),ISNUMBER(B1324),B1325&gt;0,B1324&gt;0),LN(B1325/B1324),"")</x:f>
      </x:c>
      <x:c r="D1325" s="16" t="str">
        <x:f>IF(ISNUMBER(C1325),ABS(C1325),"")</x:f>
      </x:c>
      <x:c r="E1325" s="16" t="str">
        <x:f>IF(ISNUMBER(C1325),C1325^2,"")</x:f>
      </x:c>
      <x:c r="F1325" s="16" t="str">
        <x:f>IF(AND(ISNUMBER(C1325),ISNUMBER($J$6),$J$6&gt;0),(C1325-$J$5)/$J$6,"")</x:f>
      </x:c>
      <x:c r="G1325" s="1" t="str">
        <x:f>IF(ISNUMBER(F1325),IF(ABS(F1325)&gt;3,1,0),"")</x:f>
      </x:c>
      <x:c r="H1325" s="1" t="str">
        <x:f>IF(ISNUMBER(F1325),F1325^4,"")</x:f>
      </x:c>
      <x:c r="I1325" s="1"/>
      <x:c r="J1325" s="1"/>
      <x:c r="K1325" s="1"/>
      <x:c r="L1325" s="1"/>
      <x:c r="M1325" s="1"/>
      <x:c r="N1325" s="1"/>
    </x:row>
    <x:row r="1326" ht="22" customHeight="1">
      <x:c r="A1326" s="14"/>
      <x:c r="B1326" s="15"/>
      <x:c r="C1326" s="16" t="str">
        <x:f>IF(AND(ISNUMBER(B1326),ISNUMBER(B1325),B1326&gt;0,B1325&gt;0),LN(B1326/B1325),"")</x:f>
      </x:c>
      <x:c r="D1326" s="16" t="str">
        <x:f>IF(ISNUMBER(C1326),ABS(C1326),"")</x:f>
      </x:c>
      <x:c r="E1326" s="16" t="str">
        <x:f>IF(ISNUMBER(C1326),C1326^2,"")</x:f>
      </x:c>
      <x:c r="F1326" s="16" t="str">
        <x:f>IF(AND(ISNUMBER(C1326),ISNUMBER($J$6),$J$6&gt;0),(C1326-$J$5)/$J$6,"")</x:f>
      </x:c>
      <x:c r="G1326" s="1" t="str">
        <x:f>IF(ISNUMBER(F1326),IF(ABS(F1326)&gt;3,1,0),"")</x:f>
      </x:c>
      <x:c r="H1326" s="1" t="str">
        <x:f>IF(ISNUMBER(F1326),F1326^4,"")</x:f>
      </x:c>
      <x:c r="I1326" s="1"/>
      <x:c r="J1326" s="1"/>
      <x:c r="K1326" s="1"/>
      <x:c r="L1326" s="1"/>
      <x:c r="M1326" s="1"/>
      <x:c r="N1326" s="1"/>
    </x:row>
    <x:row r="1327" ht="22" customHeight="1">
      <x:c r="A1327" s="14"/>
      <x:c r="B1327" s="15"/>
      <x:c r="C1327" s="16" t="str">
        <x:f>IF(AND(ISNUMBER(B1327),ISNUMBER(B1326),B1327&gt;0,B1326&gt;0),LN(B1327/B1326),"")</x:f>
      </x:c>
      <x:c r="D1327" s="16" t="str">
        <x:f>IF(ISNUMBER(C1327),ABS(C1327),"")</x:f>
      </x:c>
      <x:c r="E1327" s="16" t="str">
        <x:f>IF(ISNUMBER(C1327),C1327^2,"")</x:f>
      </x:c>
      <x:c r="F1327" s="16" t="str">
        <x:f>IF(AND(ISNUMBER(C1327),ISNUMBER($J$6),$J$6&gt;0),(C1327-$J$5)/$J$6,"")</x:f>
      </x:c>
      <x:c r="G1327" s="1" t="str">
        <x:f>IF(ISNUMBER(F1327),IF(ABS(F1327)&gt;3,1,0),"")</x:f>
      </x:c>
      <x:c r="H1327" s="1" t="str">
        <x:f>IF(ISNUMBER(F1327),F1327^4,"")</x:f>
      </x:c>
      <x:c r="I1327" s="1"/>
      <x:c r="J1327" s="1"/>
      <x:c r="K1327" s="1"/>
      <x:c r="L1327" s="1"/>
      <x:c r="M1327" s="1"/>
      <x:c r="N1327" s="1"/>
    </x:row>
    <x:row r="1328" ht="22" customHeight="1">
      <x:c r="A1328" s="14"/>
      <x:c r="B1328" s="15"/>
      <x:c r="C1328" s="16" t="str">
        <x:f>IF(AND(ISNUMBER(B1328),ISNUMBER(B1327),B1328&gt;0,B1327&gt;0),LN(B1328/B1327),"")</x:f>
      </x:c>
      <x:c r="D1328" s="16" t="str">
        <x:f>IF(ISNUMBER(C1328),ABS(C1328),"")</x:f>
      </x:c>
      <x:c r="E1328" s="16" t="str">
        <x:f>IF(ISNUMBER(C1328),C1328^2,"")</x:f>
      </x:c>
      <x:c r="F1328" s="16" t="str">
        <x:f>IF(AND(ISNUMBER(C1328),ISNUMBER($J$6),$J$6&gt;0),(C1328-$J$5)/$J$6,"")</x:f>
      </x:c>
      <x:c r="G1328" s="1" t="str">
        <x:f>IF(ISNUMBER(F1328),IF(ABS(F1328)&gt;3,1,0),"")</x:f>
      </x:c>
      <x:c r="H1328" s="1" t="str">
        <x:f>IF(ISNUMBER(F1328),F1328^4,"")</x:f>
      </x:c>
      <x:c r="I1328" s="1"/>
      <x:c r="J1328" s="1"/>
      <x:c r="K1328" s="1"/>
      <x:c r="L1328" s="1"/>
      <x:c r="M1328" s="1"/>
      <x:c r="N1328" s="1"/>
    </x:row>
    <x:row r="1329" ht="22" customHeight="1">
      <x:c r="A1329" s="14"/>
      <x:c r="B1329" s="15"/>
      <x:c r="C1329" s="16" t="str">
        <x:f>IF(AND(ISNUMBER(B1329),ISNUMBER(B1328),B1329&gt;0,B1328&gt;0),LN(B1329/B1328),"")</x:f>
      </x:c>
      <x:c r="D1329" s="16" t="str">
        <x:f>IF(ISNUMBER(C1329),ABS(C1329),"")</x:f>
      </x:c>
      <x:c r="E1329" s="16" t="str">
        <x:f>IF(ISNUMBER(C1329),C1329^2,"")</x:f>
      </x:c>
      <x:c r="F1329" s="16" t="str">
        <x:f>IF(AND(ISNUMBER(C1329),ISNUMBER($J$6),$J$6&gt;0),(C1329-$J$5)/$J$6,"")</x:f>
      </x:c>
      <x:c r="G1329" s="1" t="str">
        <x:f>IF(ISNUMBER(F1329),IF(ABS(F1329)&gt;3,1,0),"")</x:f>
      </x:c>
      <x:c r="H1329" s="1" t="str">
        <x:f>IF(ISNUMBER(F1329),F1329^4,"")</x:f>
      </x:c>
      <x:c r="I1329" s="1"/>
      <x:c r="J1329" s="1"/>
      <x:c r="K1329" s="1"/>
      <x:c r="L1329" s="1"/>
      <x:c r="M1329" s="1"/>
      <x:c r="N1329" s="1"/>
    </x:row>
    <x:row r="1330" ht="22" customHeight="1">
      <x:c r="A1330" s="14"/>
      <x:c r="B1330" s="15"/>
      <x:c r="C1330" s="16" t="str">
        <x:f>IF(AND(ISNUMBER(B1330),ISNUMBER(B1329),B1330&gt;0,B1329&gt;0),LN(B1330/B1329),"")</x:f>
      </x:c>
      <x:c r="D1330" s="16" t="str">
        <x:f>IF(ISNUMBER(C1330),ABS(C1330),"")</x:f>
      </x:c>
      <x:c r="E1330" s="16" t="str">
        <x:f>IF(ISNUMBER(C1330),C1330^2,"")</x:f>
      </x:c>
      <x:c r="F1330" s="16" t="str">
        <x:f>IF(AND(ISNUMBER(C1330),ISNUMBER($J$6),$J$6&gt;0),(C1330-$J$5)/$J$6,"")</x:f>
      </x:c>
      <x:c r="G1330" s="1" t="str">
        <x:f>IF(ISNUMBER(F1330),IF(ABS(F1330)&gt;3,1,0),"")</x:f>
      </x:c>
      <x:c r="H1330" s="1" t="str">
        <x:f>IF(ISNUMBER(F1330),F1330^4,"")</x:f>
      </x:c>
      <x:c r="I1330" s="1"/>
      <x:c r="J1330" s="1"/>
      <x:c r="K1330" s="1"/>
      <x:c r="L1330" s="1"/>
      <x:c r="M1330" s="1"/>
      <x:c r="N1330" s="1"/>
    </x:row>
    <x:row r="1331" ht="22" customHeight="1">
      <x:c r="A1331" s="14"/>
      <x:c r="B1331" s="15"/>
      <x:c r="C1331" s="16" t="str">
        <x:f>IF(AND(ISNUMBER(B1331),ISNUMBER(B1330),B1331&gt;0,B1330&gt;0),LN(B1331/B1330),"")</x:f>
      </x:c>
      <x:c r="D1331" s="16" t="str">
        <x:f>IF(ISNUMBER(C1331),ABS(C1331),"")</x:f>
      </x:c>
      <x:c r="E1331" s="16" t="str">
        <x:f>IF(ISNUMBER(C1331),C1331^2,"")</x:f>
      </x:c>
      <x:c r="F1331" s="16" t="str">
        <x:f>IF(AND(ISNUMBER(C1331),ISNUMBER($J$6),$J$6&gt;0),(C1331-$J$5)/$J$6,"")</x:f>
      </x:c>
      <x:c r="G1331" s="1" t="str">
        <x:f>IF(ISNUMBER(F1331),IF(ABS(F1331)&gt;3,1,0),"")</x:f>
      </x:c>
      <x:c r="H1331" s="1" t="str">
        <x:f>IF(ISNUMBER(F1331),F1331^4,"")</x:f>
      </x:c>
      <x:c r="I1331" s="1"/>
      <x:c r="J1331" s="1"/>
      <x:c r="K1331" s="1"/>
      <x:c r="L1331" s="1"/>
      <x:c r="M1331" s="1"/>
      <x:c r="N1331" s="1"/>
    </x:row>
    <x:row r="1332" ht="22" customHeight="1">
      <x:c r="A1332" s="14"/>
      <x:c r="B1332" s="15"/>
      <x:c r="C1332" s="16" t="str">
        <x:f>IF(AND(ISNUMBER(B1332),ISNUMBER(B1331),B1332&gt;0,B1331&gt;0),LN(B1332/B1331),"")</x:f>
      </x:c>
      <x:c r="D1332" s="16" t="str">
        <x:f>IF(ISNUMBER(C1332),ABS(C1332),"")</x:f>
      </x:c>
      <x:c r="E1332" s="16" t="str">
        <x:f>IF(ISNUMBER(C1332),C1332^2,"")</x:f>
      </x:c>
      <x:c r="F1332" s="16" t="str">
        <x:f>IF(AND(ISNUMBER(C1332),ISNUMBER($J$6),$J$6&gt;0),(C1332-$J$5)/$J$6,"")</x:f>
      </x:c>
      <x:c r="G1332" s="1" t="str">
        <x:f>IF(ISNUMBER(F1332),IF(ABS(F1332)&gt;3,1,0),"")</x:f>
      </x:c>
      <x:c r="H1332" s="1" t="str">
        <x:f>IF(ISNUMBER(F1332),F1332^4,"")</x:f>
      </x:c>
      <x:c r="I1332" s="1"/>
      <x:c r="J1332" s="1"/>
      <x:c r="K1332" s="1"/>
      <x:c r="L1332" s="1"/>
      <x:c r="M1332" s="1"/>
      <x:c r="N1332" s="1"/>
    </x:row>
    <x:row r="1333" ht="22" customHeight="1">
      <x:c r="A1333" s="14"/>
      <x:c r="B1333" s="15"/>
      <x:c r="C1333" s="16" t="str">
        <x:f>IF(AND(ISNUMBER(B1333),ISNUMBER(B1332),B1333&gt;0,B1332&gt;0),LN(B1333/B1332),"")</x:f>
      </x:c>
      <x:c r="D1333" s="16" t="str">
        <x:f>IF(ISNUMBER(C1333),ABS(C1333),"")</x:f>
      </x:c>
      <x:c r="E1333" s="16" t="str">
        <x:f>IF(ISNUMBER(C1333),C1333^2,"")</x:f>
      </x:c>
      <x:c r="F1333" s="16" t="str">
        <x:f>IF(AND(ISNUMBER(C1333),ISNUMBER($J$6),$J$6&gt;0),(C1333-$J$5)/$J$6,"")</x:f>
      </x:c>
      <x:c r="G1333" s="1" t="str">
        <x:f>IF(ISNUMBER(F1333),IF(ABS(F1333)&gt;3,1,0),"")</x:f>
      </x:c>
      <x:c r="H1333" s="1" t="str">
        <x:f>IF(ISNUMBER(F1333),F1333^4,"")</x:f>
      </x:c>
      <x:c r="I1333" s="1"/>
      <x:c r="J1333" s="1"/>
      <x:c r="K1333" s="1"/>
      <x:c r="L1333" s="1"/>
      <x:c r="M1333" s="1"/>
      <x:c r="N1333" s="1"/>
    </x:row>
    <x:row r="1334" ht="22" customHeight="1">
      <x:c r="A1334" s="14"/>
      <x:c r="B1334" s="15"/>
      <x:c r="C1334" s="16" t="str">
        <x:f>IF(AND(ISNUMBER(B1334),ISNUMBER(B1333),B1334&gt;0,B1333&gt;0),LN(B1334/B1333),"")</x:f>
      </x:c>
      <x:c r="D1334" s="16" t="str">
        <x:f>IF(ISNUMBER(C1334),ABS(C1334),"")</x:f>
      </x:c>
      <x:c r="E1334" s="16" t="str">
        <x:f>IF(ISNUMBER(C1334),C1334^2,"")</x:f>
      </x:c>
      <x:c r="F1334" s="16" t="str">
        <x:f>IF(AND(ISNUMBER(C1334),ISNUMBER($J$6),$J$6&gt;0),(C1334-$J$5)/$J$6,"")</x:f>
      </x:c>
      <x:c r="G1334" s="1" t="str">
        <x:f>IF(ISNUMBER(F1334),IF(ABS(F1334)&gt;3,1,0),"")</x:f>
      </x:c>
      <x:c r="H1334" s="1" t="str">
        <x:f>IF(ISNUMBER(F1334),F1334^4,"")</x:f>
      </x:c>
      <x:c r="I1334" s="1"/>
      <x:c r="J1334" s="1"/>
      <x:c r="K1334" s="1"/>
      <x:c r="L1334" s="1"/>
      <x:c r="M1334" s="1"/>
      <x:c r="N1334" s="1"/>
    </x:row>
    <x:row r="1335" ht="22" customHeight="1">
      <x:c r="A1335" s="14"/>
      <x:c r="B1335" s="15"/>
      <x:c r="C1335" s="16" t="str">
        <x:f>IF(AND(ISNUMBER(B1335),ISNUMBER(B1334),B1335&gt;0,B1334&gt;0),LN(B1335/B1334),"")</x:f>
      </x:c>
      <x:c r="D1335" s="16" t="str">
        <x:f>IF(ISNUMBER(C1335),ABS(C1335),"")</x:f>
      </x:c>
      <x:c r="E1335" s="16" t="str">
        <x:f>IF(ISNUMBER(C1335),C1335^2,"")</x:f>
      </x:c>
      <x:c r="F1335" s="16" t="str">
        <x:f>IF(AND(ISNUMBER(C1335),ISNUMBER($J$6),$J$6&gt;0),(C1335-$J$5)/$J$6,"")</x:f>
      </x:c>
      <x:c r="G1335" s="1" t="str">
        <x:f>IF(ISNUMBER(F1335),IF(ABS(F1335)&gt;3,1,0),"")</x:f>
      </x:c>
      <x:c r="H1335" s="1" t="str">
        <x:f>IF(ISNUMBER(F1335),F1335^4,"")</x:f>
      </x:c>
      <x:c r="I1335" s="1"/>
      <x:c r="J1335" s="1"/>
      <x:c r="K1335" s="1"/>
      <x:c r="L1335" s="1"/>
      <x:c r="M1335" s="1"/>
      <x:c r="N1335" s="1"/>
    </x:row>
    <x:row r="1336" ht="22" customHeight="1">
      <x:c r="A1336" s="14"/>
      <x:c r="B1336" s="15"/>
      <x:c r="C1336" s="16" t="str">
        <x:f>IF(AND(ISNUMBER(B1336),ISNUMBER(B1335),B1336&gt;0,B1335&gt;0),LN(B1336/B1335),"")</x:f>
      </x:c>
      <x:c r="D1336" s="16" t="str">
        <x:f>IF(ISNUMBER(C1336),ABS(C1336),"")</x:f>
      </x:c>
      <x:c r="E1336" s="16" t="str">
        <x:f>IF(ISNUMBER(C1336),C1336^2,"")</x:f>
      </x:c>
      <x:c r="F1336" s="16" t="str">
        <x:f>IF(AND(ISNUMBER(C1336),ISNUMBER($J$6),$J$6&gt;0),(C1336-$J$5)/$J$6,"")</x:f>
      </x:c>
      <x:c r="G1336" s="1" t="str">
        <x:f>IF(ISNUMBER(F1336),IF(ABS(F1336)&gt;3,1,0),"")</x:f>
      </x:c>
      <x:c r="H1336" s="1" t="str">
        <x:f>IF(ISNUMBER(F1336),F1336^4,"")</x:f>
      </x:c>
      <x:c r="I1336" s="1"/>
      <x:c r="J1336" s="1"/>
      <x:c r="K1336" s="1"/>
      <x:c r="L1336" s="1"/>
      <x:c r="M1336" s="1"/>
      <x:c r="N1336" s="1"/>
    </x:row>
    <x:row r="1337" ht="22" customHeight="1">
      <x:c r="A1337" s="14"/>
      <x:c r="B1337" s="15"/>
      <x:c r="C1337" s="16" t="str">
        <x:f>IF(AND(ISNUMBER(B1337),ISNUMBER(B1336),B1337&gt;0,B1336&gt;0),LN(B1337/B1336),"")</x:f>
      </x:c>
      <x:c r="D1337" s="16" t="str">
        <x:f>IF(ISNUMBER(C1337),ABS(C1337),"")</x:f>
      </x:c>
      <x:c r="E1337" s="16" t="str">
        <x:f>IF(ISNUMBER(C1337),C1337^2,"")</x:f>
      </x:c>
      <x:c r="F1337" s="16" t="str">
        <x:f>IF(AND(ISNUMBER(C1337),ISNUMBER($J$6),$J$6&gt;0),(C1337-$J$5)/$J$6,"")</x:f>
      </x:c>
      <x:c r="G1337" s="1" t="str">
        <x:f>IF(ISNUMBER(F1337),IF(ABS(F1337)&gt;3,1,0),"")</x:f>
      </x:c>
      <x:c r="H1337" s="1" t="str">
        <x:f>IF(ISNUMBER(F1337),F1337^4,"")</x:f>
      </x:c>
      <x:c r="I1337" s="1"/>
      <x:c r="J1337" s="1"/>
      <x:c r="K1337" s="1"/>
      <x:c r="L1337" s="1"/>
      <x:c r="M1337" s="1"/>
      <x:c r="N1337" s="1"/>
    </x:row>
    <x:row r="1338" ht="22" customHeight="1">
      <x:c r="A1338" s="14"/>
      <x:c r="B1338" s="15"/>
      <x:c r="C1338" s="16" t="str">
        <x:f>IF(AND(ISNUMBER(B1338),ISNUMBER(B1337),B1338&gt;0,B1337&gt;0),LN(B1338/B1337),"")</x:f>
      </x:c>
      <x:c r="D1338" s="16" t="str">
        <x:f>IF(ISNUMBER(C1338),ABS(C1338),"")</x:f>
      </x:c>
      <x:c r="E1338" s="16" t="str">
        <x:f>IF(ISNUMBER(C1338),C1338^2,"")</x:f>
      </x:c>
      <x:c r="F1338" s="16" t="str">
        <x:f>IF(AND(ISNUMBER(C1338),ISNUMBER($J$6),$J$6&gt;0),(C1338-$J$5)/$J$6,"")</x:f>
      </x:c>
      <x:c r="G1338" s="1" t="str">
        <x:f>IF(ISNUMBER(F1338),IF(ABS(F1338)&gt;3,1,0),"")</x:f>
      </x:c>
      <x:c r="H1338" s="1" t="str">
        <x:f>IF(ISNUMBER(F1338),F1338^4,"")</x:f>
      </x:c>
      <x:c r="I1338" s="1"/>
      <x:c r="J1338" s="1"/>
      <x:c r="K1338" s="1"/>
      <x:c r="L1338" s="1"/>
      <x:c r="M1338" s="1"/>
      <x:c r="N1338" s="1"/>
    </x:row>
    <x:row r="1339" ht="22" customHeight="1">
      <x:c r="A1339" s="14"/>
      <x:c r="B1339" s="15"/>
      <x:c r="C1339" s="16" t="str">
        <x:f>IF(AND(ISNUMBER(B1339),ISNUMBER(B1338),B1339&gt;0,B1338&gt;0),LN(B1339/B1338),"")</x:f>
      </x:c>
      <x:c r="D1339" s="16" t="str">
        <x:f>IF(ISNUMBER(C1339),ABS(C1339),"")</x:f>
      </x:c>
      <x:c r="E1339" s="16" t="str">
        <x:f>IF(ISNUMBER(C1339),C1339^2,"")</x:f>
      </x:c>
      <x:c r="F1339" s="16" t="str">
        <x:f>IF(AND(ISNUMBER(C1339),ISNUMBER($J$6),$J$6&gt;0),(C1339-$J$5)/$J$6,"")</x:f>
      </x:c>
      <x:c r="G1339" s="1" t="str">
        <x:f>IF(ISNUMBER(F1339),IF(ABS(F1339)&gt;3,1,0),"")</x:f>
      </x:c>
      <x:c r="H1339" s="1" t="str">
        <x:f>IF(ISNUMBER(F1339),F1339^4,"")</x:f>
      </x:c>
      <x:c r="I1339" s="1"/>
      <x:c r="J1339" s="1"/>
      <x:c r="K1339" s="1"/>
      <x:c r="L1339" s="1"/>
      <x:c r="M1339" s="1"/>
      <x:c r="N1339" s="1"/>
    </x:row>
    <x:row r="1340" ht="22" customHeight="1">
      <x:c r="A1340" s="14"/>
      <x:c r="B1340" s="15"/>
      <x:c r="C1340" s="16" t="str">
        <x:f>IF(AND(ISNUMBER(B1340),ISNUMBER(B1339),B1340&gt;0,B1339&gt;0),LN(B1340/B1339),"")</x:f>
      </x:c>
      <x:c r="D1340" s="16" t="str">
        <x:f>IF(ISNUMBER(C1340),ABS(C1340),"")</x:f>
      </x:c>
      <x:c r="E1340" s="16" t="str">
        <x:f>IF(ISNUMBER(C1340),C1340^2,"")</x:f>
      </x:c>
      <x:c r="F1340" s="16" t="str">
        <x:f>IF(AND(ISNUMBER(C1340),ISNUMBER($J$6),$J$6&gt;0),(C1340-$J$5)/$J$6,"")</x:f>
      </x:c>
      <x:c r="G1340" s="1" t="str">
        <x:f>IF(ISNUMBER(F1340),IF(ABS(F1340)&gt;3,1,0),"")</x:f>
      </x:c>
      <x:c r="H1340" s="1" t="str">
        <x:f>IF(ISNUMBER(F1340),F1340^4,"")</x:f>
      </x:c>
      <x:c r="I1340" s="1"/>
      <x:c r="J1340" s="1"/>
      <x:c r="K1340" s="1"/>
      <x:c r="L1340" s="1"/>
      <x:c r="M1340" s="1"/>
      <x:c r="N1340" s="1"/>
    </x:row>
    <x:row r="1341" ht="22" customHeight="1">
      <x:c r="A1341" s="14"/>
      <x:c r="B1341" s="15"/>
      <x:c r="C1341" s="16" t="str">
        <x:f>IF(AND(ISNUMBER(B1341),ISNUMBER(B1340),B1341&gt;0,B1340&gt;0),LN(B1341/B1340),"")</x:f>
      </x:c>
      <x:c r="D1341" s="16" t="str">
        <x:f>IF(ISNUMBER(C1341),ABS(C1341),"")</x:f>
      </x:c>
      <x:c r="E1341" s="16" t="str">
        <x:f>IF(ISNUMBER(C1341),C1341^2,"")</x:f>
      </x:c>
      <x:c r="F1341" s="16" t="str">
        <x:f>IF(AND(ISNUMBER(C1341),ISNUMBER($J$6),$J$6&gt;0),(C1341-$J$5)/$J$6,"")</x:f>
      </x:c>
      <x:c r="G1341" s="1" t="str">
        <x:f>IF(ISNUMBER(F1341),IF(ABS(F1341)&gt;3,1,0),"")</x:f>
      </x:c>
      <x:c r="H1341" s="1" t="str">
        <x:f>IF(ISNUMBER(F1341),F1341^4,"")</x:f>
      </x:c>
      <x:c r="I1341" s="1"/>
      <x:c r="J1341" s="1"/>
      <x:c r="K1341" s="1"/>
      <x:c r="L1341" s="1"/>
      <x:c r="M1341" s="1"/>
      <x:c r="N1341" s="1"/>
    </x:row>
    <x:row r="1342" ht="22" customHeight="1">
      <x:c r="A1342" s="14"/>
      <x:c r="B1342" s="15"/>
      <x:c r="C1342" s="16" t="str">
        <x:f>IF(AND(ISNUMBER(B1342),ISNUMBER(B1341),B1342&gt;0,B1341&gt;0),LN(B1342/B1341),"")</x:f>
      </x:c>
      <x:c r="D1342" s="16" t="str">
        <x:f>IF(ISNUMBER(C1342),ABS(C1342),"")</x:f>
      </x:c>
      <x:c r="E1342" s="16" t="str">
        <x:f>IF(ISNUMBER(C1342),C1342^2,"")</x:f>
      </x:c>
      <x:c r="F1342" s="16" t="str">
        <x:f>IF(AND(ISNUMBER(C1342),ISNUMBER($J$6),$J$6&gt;0),(C1342-$J$5)/$J$6,"")</x:f>
      </x:c>
      <x:c r="G1342" s="1" t="str">
        <x:f>IF(ISNUMBER(F1342),IF(ABS(F1342)&gt;3,1,0),"")</x:f>
      </x:c>
      <x:c r="H1342" s="1" t="str">
        <x:f>IF(ISNUMBER(F1342),F1342^4,"")</x:f>
      </x:c>
      <x:c r="I1342" s="1"/>
      <x:c r="J1342" s="1"/>
      <x:c r="K1342" s="1"/>
      <x:c r="L1342" s="1"/>
      <x:c r="M1342" s="1"/>
      <x:c r="N1342" s="1"/>
    </x:row>
    <x:row r="1343" ht="22" customHeight="1">
      <x:c r="A1343" s="14"/>
      <x:c r="B1343" s="15"/>
      <x:c r="C1343" s="16" t="str">
        <x:f>IF(AND(ISNUMBER(B1343),ISNUMBER(B1342),B1343&gt;0,B1342&gt;0),LN(B1343/B1342),"")</x:f>
      </x:c>
      <x:c r="D1343" s="16" t="str">
        <x:f>IF(ISNUMBER(C1343),ABS(C1343),"")</x:f>
      </x:c>
      <x:c r="E1343" s="16" t="str">
        <x:f>IF(ISNUMBER(C1343),C1343^2,"")</x:f>
      </x:c>
      <x:c r="F1343" s="16" t="str">
        <x:f>IF(AND(ISNUMBER(C1343),ISNUMBER($J$6),$J$6&gt;0),(C1343-$J$5)/$J$6,"")</x:f>
      </x:c>
      <x:c r="G1343" s="1" t="str">
        <x:f>IF(ISNUMBER(F1343),IF(ABS(F1343)&gt;3,1,0),"")</x:f>
      </x:c>
      <x:c r="H1343" s="1" t="str">
        <x:f>IF(ISNUMBER(F1343),F1343^4,"")</x:f>
      </x:c>
      <x:c r="I1343" s="1"/>
      <x:c r="J1343" s="1"/>
      <x:c r="K1343" s="1"/>
      <x:c r="L1343" s="1"/>
      <x:c r="M1343" s="1"/>
      <x:c r="N1343" s="1"/>
    </x:row>
    <x:row r="1344" ht="22" customHeight="1">
      <x:c r="A1344" s="14"/>
      <x:c r="B1344" s="15"/>
      <x:c r="C1344" s="16" t="str">
        <x:f>IF(AND(ISNUMBER(B1344),ISNUMBER(B1343),B1344&gt;0,B1343&gt;0),LN(B1344/B1343),"")</x:f>
      </x:c>
      <x:c r="D1344" s="16" t="str">
        <x:f>IF(ISNUMBER(C1344),ABS(C1344),"")</x:f>
      </x:c>
      <x:c r="E1344" s="16" t="str">
        <x:f>IF(ISNUMBER(C1344),C1344^2,"")</x:f>
      </x:c>
      <x:c r="F1344" s="16" t="str">
        <x:f>IF(AND(ISNUMBER(C1344),ISNUMBER($J$6),$J$6&gt;0),(C1344-$J$5)/$J$6,"")</x:f>
      </x:c>
      <x:c r="G1344" s="1" t="str">
        <x:f>IF(ISNUMBER(F1344),IF(ABS(F1344)&gt;3,1,0),"")</x:f>
      </x:c>
      <x:c r="H1344" s="1" t="str">
        <x:f>IF(ISNUMBER(F1344),F1344^4,"")</x:f>
      </x:c>
      <x:c r="I1344" s="1"/>
      <x:c r="J1344" s="1"/>
      <x:c r="K1344" s="1"/>
      <x:c r="L1344" s="1"/>
      <x:c r="M1344" s="1"/>
      <x:c r="N1344" s="1"/>
    </x:row>
    <x:row r="1345" ht="22" customHeight="1">
      <x:c r="A1345" s="14"/>
      <x:c r="B1345" s="15"/>
      <x:c r="C1345" s="16" t="str">
        <x:f>IF(AND(ISNUMBER(B1345),ISNUMBER(B1344),B1345&gt;0,B1344&gt;0),LN(B1345/B1344),"")</x:f>
      </x:c>
      <x:c r="D1345" s="16" t="str">
        <x:f>IF(ISNUMBER(C1345),ABS(C1345),"")</x:f>
      </x:c>
      <x:c r="E1345" s="16" t="str">
        <x:f>IF(ISNUMBER(C1345),C1345^2,"")</x:f>
      </x:c>
      <x:c r="F1345" s="16" t="str">
        <x:f>IF(AND(ISNUMBER(C1345),ISNUMBER($J$6),$J$6&gt;0),(C1345-$J$5)/$J$6,"")</x:f>
      </x:c>
      <x:c r="G1345" s="1" t="str">
        <x:f>IF(ISNUMBER(F1345),IF(ABS(F1345)&gt;3,1,0),"")</x:f>
      </x:c>
      <x:c r="H1345" s="1" t="str">
        <x:f>IF(ISNUMBER(F1345),F1345^4,"")</x:f>
      </x:c>
      <x:c r="I1345" s="1"/>
      <x:c r="J1345" s="1"/>
      <x:c r="K1345" s="1"/>
      <x:c r="L1345" s="1"/>
      <x:c r="M1345" s="1"/>
      <x:c r="N1345" s="1"/>
    </x:row>
    <x:row r="1346" ht="22" customHeight="1">
      <x:c r="A1346" s="14"/>
      <x:c r="B1346" s="15"/>
      <x:c r="C1346" s="16" t="str">
        <x:f>IF(AND(ISNUMBER(B1346),ISNUMBER(B1345),B1346&gt;0,B1345&gt;0),LN(B1346/B1345),"")</x:f>
      </x:c>
      <x:c r="D1346" s="16" t="str">
        <x:f>IF(ISNUMBER(C1346),ABS(C1346),"")</x:f>
      </x:c>
      <x:c r="E1346" s="16" t="str">
        <x:f>IF(ISNUMBER(C1346),C1346^2,"")</x:f>
      </x:c>
      <x:c r="F1346" s="16" t="str">
        <x:f>IF(AND(ISNUMBER(C1346),ISNUMBER($J$6),$J$6&gt;0),(C1346-$J$5)/$J$6,"")</x:f>
      </x:c>
      <x:c r="G1346" s="1" t="str">
        <x:f>IF(ISNUMBER(F1346),IF(ABS(F1346)&gt;3,1,0),"")</x:f>
      </x:c>
      <x:c r="H1346" s="1" t="str">
        <x:f>IF(ISNUMBER(F1346),F1346^4,"")</x:f>
      </x:c>
      <x:c r="I1346" s="1"/>
      <x:c r="J1346" s="1"/>
      <x:c r="K1346" s="1"/>
      <x:c r="L1346" s="1"/>
      <x:c r="M1346" s="1"/>
      <x:c r="N1346" s="1"/>
    </x:row>
    <x:row r="1347" ht="22" customHeight="1">
      <x:c r="A1347" s="14"/>
      <x:c r="B1347" s="15"/>
      <x:c r="C1347" s="16" t="str">
        <x:f>IF(AND(ISNUMBER(B1347),ISNUMBER(B1346),B1347&gt;0,B1346&gt;0),LN(B1347/B1346),"")</x:f>
      </x:c>
      <x:c r="D1347" s="16" t="str">
        <x:f>IF(ISNUMBER(C1347),ABS(C1347),"")</x:f>
      </x:c>
      <x:c r="E1347" s="16" t="str">
        <x:f>IF(ISNUMBER(C1347),C1347^2,"")</x:f>
      </x:c>
      <x:c r="F1347" s="16" t="str">
        <x:f>IF(AND(ISNUMBER(C1347),ISNUMBER($J$6),$J$6&gt;0),(C1347-$J$5)/$J$6,"")</x:f>
      </x:c>
      <x:c r="G1347" s="1" t="str">
        <x:f>IF(ISNUMBER(F1347),IF(ABS(F1347)&gt;3,1,0),"")</x:f>
      </x:c>
      <x:c r="H1347" s="1" t="str">
        <x:f>IF(ISNUMBER(F1347),F1347^4,"")</x:f>
      </x:c>
      <x:c r="I1347" s="1"/>
      <x:c r="J1347" s="1"/>
      <x:c r="K1347" s="1"/>
      <x:c r="L1347" s="1"/>
      <x:c r="M1347" s="1"/>
      <x:c r="N1347" s="1"/>
    </x:row>
    <x:row r="1348" ht="22" customHeight="1">
      <x:c r="A1348" s="14"/>
      <x:c r="B1348" s="15"/>
      <x:c r="C1348" s="16" t="str">
        <x:f>IF(AND(ISNUMBER(B1348),ISNUMBER(B1347),B1348&gt;0,B1347&gt;0),LN(B1348/B1347),"")</x:f>
      </x:c>
      <x:c r="D1348" s="16" t="str">
        <x:f>IF(ISNUMBER(C1348),ABS(C1348),"")</x:f>
      </x:c>
      <x:c r="E1348" s="16" t="str">
        <x:f>IF(ISNUMBER(C1348),C1348^2,"")</x:f>
      </x:c>
      <x:c r="F1348" s="16" t="str">
        <x:f>IF(AND(ISNUMBER(C1348),ISNUMBER($J$6),$J$6&gt;0),(C1348-$J$5)/$J$6,"")</x:f>
      </x:c>
      <x:c r="G1348" s="1" t="str">
        <x:f>IF(ISNUMBER(F1348),IF(ABS(F1348)&gt;3,1,0),"")</x:f>
      </x:c>
      <x:c r="H1348" s="1" t="str">
        <x:f>IF(ISNUMBER(F1348),F1348^4,"")</x:f>
      </x:c>
      <x:c r="I1348" s="1"/>
      <x:c r="J1348" s="1"/>
      <x:c r="K1348" s="1"/>
      <x:c r="L1348" s="1"/>
      <x:c r="M1348" s="1"/>
      <x:c r="N1348" s="1"/>
    </x:row>
    <x:row r="1349" ht="22" customHeight="1">
      <x:c r="A1349" s="14"/>
      <x:c r="B1349" s="15"/>
      <x:c r="C1349" s="16" t="str">
        <x:f>IF(AND(ISNUMBER(B1349),ISNUMBER(B1348),B1349&gt;0,B1348&gt;0),LN(B1349/B1348),"")</x:f>
      </x:c>
      <x:c r="D1349" s="16" t="str">
        <x:f>IF(ISNUMBER(C1349),ABS(C1349),"")</x:f>
      </x:c>
      <x:c r="E1349" s="16" t="str">
        <x:f>IF(ISNUMBER(C1349),C1349^2,"")</x:f>
      </x:c>
      <x:c r="F1349" s="16" t="str">
        <x:f>IF(AND(ISNUMBER(C1349),ISNUMBER($J$6),$J$6&gt;0),(C1349-$J$5)/$J$6,"")</x:f>
      </x:c>
      <x:c r="G1349" s="1" t="str">
        <x:f>IF(ISNUMBER(F1349),IF(ABS(F1349)&gt;3,1,0),"")</x:f>
      </x:c>
      <x:c r="H1349" s="1" t="str">
        <x:f>IF(ISNUMBER(F1349),F1349^4,"")</x:f>
      </x:c>
      <x:c r="I1349" s="1"/>
      <x:c r="J1349" s="1"/>
      <x:c r="K1349" s="1"/>
      <x:c r="L1349" s="1"/>
      <x:c r="M1349" s="1"/>
      <x:c r="N1349" s="1"/>
    </x:row>
    <x:row r="1350" ht="22" customHeight="1">
      <x:c r="A1350" s="14"/>
      <x:c r="B1350" s="15"/>
      <x:c r="C1350" s="16" t="str">
        <x:f>IF(AND(ISNUMBER(B1350),ISNUMBER(B1349),B1350&gt;0,B1349&gt;0),LN(B1350/B1349),"")</x:f>
      </x:c>
      <x:c r="D1350" s="16" t="str">
        <x:f>IF(ISNUMBER(C1350),ABS(C1350),"")</x:f>
      </x:c>
      <x:c r="E1350" s="16" t="str">
        <x:f>IF(ISNUMBER(C1350),C1350^2,"")</x:f>
      </x:c>
      <x:c r="F1350" s="16" t="str">
        <x:f>IF(AND(ISNUMBER(C1350),ISNUMBER($J$6),$J$6&gt;0),(C1350-$J$5)/$J$6,"")</x:f>
      </x:c>
      <x:c r="G1350" s="1" t="str">
        <x:f>IF(ISNUMBER(F1350),IF(ABS(F1350)&gt;3,1,0),"")</x:f>
      </x:c>
      <x:c r="H1350" s="1" t="str">
        <x:f>IF(ISNUMBER(F1350),F1350^4,"")</x:f>
      </x:c>
      <x:c r="I1350" s="1"/>
      <x:c r="J1350" s="1"/>
      <x:c r="K1350" s="1"/>
      <x:c r="L1350" s="1"/>
      <x:c r="M1350" s="1"/>
      <x:c r="N1350" s="1"/>
    </x:row>
    <x:row r="1351" ht="22" customHeight="1">
      <x:c r="A1351" s="14"/>
      <x:c r="B1351" s="15"/>
      <x:c r="C1351" s="16" t="str">
        <x:f>IF(AND(ISNUMBER(B1351),ISNUMBER(B1350),B1351&gt;0,B1350&gt;0),LN(B1351/B1350),"")</x:f>
      </x:c>
      <x:c r="D1351" s="16" t="str">
        <x:f>IF(ISNUMBER(C1351),ABS(C1351),"")</x:f>
      </x:c>
      <x:c r="E1351" s="16" t="str">
        <x:f>IF(ISNUMBER(C1351),C1351^2,"")</x:f>
      </x:c>
      <x:c r="F1351" s="16" t="str">
        <x:f>IF(AND(ISNUMBER(C1351),ISNUMBER($J$6),$J$6&gt;0),(C1351-$J$5)/$J$6,"")</x:f>
      </x:c>
      <x:c r="G1351" s="1" t="str">
        <x:f>IF(ISNUMBER(F1351),IF(ABS(F1351)&gt;3,1,0),"")</x:f>
      </x:c>
      <x:c r="H1351" s="1" t="str">
        <x:f>IF(ISNUMBER(F1351),F1351^4,"")</x:f>
      </x:c>
      <x:c r="I1351" s="1"/>
      <x:c r="J1351" s="1"/>
      <x:c r="K1351" s="1"/>
      <x:c r="L1351" s="1"/>
      <x:c r="M1351" s="1"/>
      <x:c r="N1351" s="1"/>
    </x:row>
    <x:row r="1352" ht="22" customHeight="1">
      <x:c r="A1352" s="14"/>
      <x:c r="B1352" s="15"/>
      <x:c r="C1352" s="16" t="str">
        <x:f>IF(AND(ISNUMBER(B1352),ISNUMBER(B1351),B1352&gt;0,B1351&gt;0),LN(B1352/B1351),"")</x:f>
      </x:c>
      <x:c r="D1352" s="16" t="str">
        <x:f>IF(ISNUMBER(C1352),ABS(C1352),"")</x:f>
      </x:c>
      <x:c r="E1352" s="16" t="str">
        <x:f>IF(ISNUMBER(C1352),C1352^2,"")</x:f>
      </x:c>
      <x:c r="F1352" s="16" t="str">
        <x:f>IF(AND(ISNUMBER(C1352),ISNUMBER($J$6),$J$6&gt;0),(C1352-$J$5)/$J$6,"")</x:f>
      </x:c>
      <x:c r="G1352" s="1" t="str">
        <x:f>IF(ISNUMBER(F1352),IF(ABS(F1352)&gt;3,1,0),"")</x:f>
      </x:c>
      <x:c r="H1352" s="1" t="str">
        <x:f>IF(ISNUMBER(F1352),F1352^4,"")</x:f>
      </x:c>
      <x:c r="I1352" s="1"/>
      <x:c r="J1352" s="1"/>
      <x:c r="K1352" s="1"/>
      <x:c r="L1352" s="1"/>
      <x:c r="M1352" s="1"/>
      <x:c r="N1352" s="1"/>
    </x:row>
    <x:row r="1353" ht="22" customHeight="1">
      <x:c r="A1353" s="14"/>
      <x:c r="B1353" s="15"/>
      <x:c r="C1353" s="16" t="str">
        <x:f>IF(AND(ISNUMBER(B1353),ISNUMBER(B1352),B1353&gt;0,B1352&gt;0),LN(B1353/B1352),"")</x:f>
      </x:c>
      <x:c r="D1353" s="16" t="str">
        <x:f>IF(ISNUMBER(C1353),ABS(C1353),"")</x:f>
      </x:c>
      <x:c r="E1353" s="16" t="str">
        <x:f>IF(ISNUMBER(C1353),C1353^2,"")</x:f>
      </x:c>
      <x:c r="F1353" s="16" t="str">
        <x:f>IF(AND(ISNUMBER(C1353),ISNUMBER($J$6),$J$6&gt;0),(C1353-$J$5)/$J$6,"")</x:f>
      </x:c>
      <x:c r="G1353" s="1" t="str">
        <x:f>IF(ISNUMBER(F1353),IF(ABS(F1353)&gt;3,1,0),"")</x:f>
      </x:c>
      <x:c r="H1353" s="1" t="str">
        <x:f>IF(ISNUMBER(F1353),F1353^4,"")</x:f>
      </x:c>
      <x:c r="I1353" s="1"/>
      <x:c r="J1353" s="1"/>
      <x:c r="K1353" s="1"/>
      <x:c r="L1353" s="1"/>
      <x:c r="M1353" s="1"/>
      <x:c r="N1353" s="1"/>
    </x:row>
    <x:row r="1354" ht="22" customHeight="1">
      <x:c r="A1354" s="14"/>
      <x:c r="B1354" s="15"/>
      <x:c r="C1354" s="16" t="str">
        <x:f>IF(AND(ISNUMBER(B1354),ISNUMBER(B1353),B1354&gt;0,B1353&gt;0),LN(B1354/B1353),"")</x:f>
      </x:c>
      <x:c r="D1354" s="16" t="str">
        <x:f>IF(ISNUMBER(C1354),ABS(C1354),"")</x:f>
      </x:c>
      <x:c r="E1354" s="16" t="str">
        <x:f>IF(ISNUMBER(C1354),C1354^2,"")</x:f>
      </x:c>
      <x:c r="F1354" s="16" t="str">
        <x:f>IF(AND(ISNUMBER(C1354),ISNUMBER($J$6),$J$6&gt;0),(C1354-$J$5)/$J$6,"")</x:f>
      </x:c>
      <x:c r="G1354" s="1" t="str">
        <x:f>IF(ISNUMBER(F1354),IF(ABS(F1354)&gt;3,1,0),"")</x:f>
      </x:c>
      <x:c r="H1354" s="1" t="str">
        <x:f>IF(ISNUMBER(F1354),F1354^4,"")</x:f>
      </x:c>
      <x:c r="I1354" s="1"/>
      <x:c r="J1354" s="1"/>
      <x:c r="K1354" s="1"/>
      <x:c r="L1354" s="1"/>
      <x:c r="M1354" s="1"/>
      <x:c r="N1354" s="1"/>
    </x:row>
    <x:row r="1355" ht="22" customHeight="1">
      <x:c r="A1355" s="14"/>
      <x:c r="B1355" s="15"/>
      <x:c r="C1355" s="16" t="str">
        <x:f>IF(AND(ISNUMBER(B1355),ISNUMBER(B1354),B1355&gt;0,B1354&gt;0),LN(B1355/B1354),"")</x:f>
      </x:c>
      <x:c r="D1355" s="16" t="str">
        <x:f>IF(ISNUMBER(C1355),ABS(C1355),"")</x:f>
      </x:c>
      <x:c r="E1355" s="16" t="str">
        <x:f>IF(ISNUMBER(C1355),C1355^2,"")</x:f>
      </x:c>
      <x:c r="F1355" s="16" t="str">
        <x:f>IF(AND(ISNUMBER(C1355),ISNUMBER($J$6),$J$6&gt;0),(C1355-$J$5)/$J$6,"")</x:f>
      </x:c>
      <x:c r="G1355" s="1" t="str">
        <x:f>IF(ISNUMBER(F1355),IF(ABS(F1355)&gt;3,1,0),"")</x:f>
      </x:c>
      <x:c r="H1355" s="1" t="str">
        <x:f>IF(ISNUMBER(F1355),F1355^4,"")</x:f>
      </x:c>
      <x:c r="I1355" s="1"/>
      <x:c r="J1355" s="1"/>
      <x:c r="K1355" s="1"/>
      <x:c r="L1355" s="1"/>
      <x:c r="M1355" s="1"/>
      <x:c r="N1355" s="1"/>
    </x:row>
    <x:row r="1356" ht="22" customHeight="1">
      <x:c r="A1356" s="14"/>
      <x:c r="B1356" s="15"/>
      <x:c r="C1356" s="16" t="str">
        <x:f>IF(AND(ISNUMBER(B1356),ISNUMBER(B1355),B1356&gt;0,B1355&gt;0),LN(B1356/B1355),"")</x:f>
      </x:c>
      <x:c r="D1356" s="16" t="str">
        <x:f>IF(ISNUMBER(C1356),ABS(C1356),"")</x:f>
      </x:c>
      <x:c r="E1356" s="16" t="str">
        <x:f>IF(ISNUMBER(C1356),C1356^2,"")</x:f>
      </x:c>
      <x:c r="F1356" s="16" t="str">
        <x:f>IF(AND(ISNUMBER(C1356),ISNUMBER($J$6),$J$6&gt;0),(C1356-$J$5)/$J$6,"")</x:f>
      </x:c>
      <x:c r="G1356" s="1" t="str">
        <x:f>IF(ISNUMBER(F1356),IF(ABS(F1356)&gt;3,1,0),"")</x:f>
      </x:c>
      <x:c r="H1356" s="1" t="str">
        <x:f>IF(ISNUMBER(F1356),F1356^4,"")</x:f>
      </x:c>
      <x:c r="I1356" s="1"/>
      <x:c r="J1356" s="1"/>
      <x:c r="K1356" s="1"/>
      <x:c r="L1356" s="1"/>
      <x:c r="M1356" s="1"/>
      <x:c r="N1356" s="1"/>
    </x:row>
    <x:row r="1357" ht="22" customHeight="1">
      <x:c r="A1357" s="14"/>
      <x:c r="B1357" s="15"/>
      <x:c r="C1357" s="16" t="str">
        <x:f>IF(AND(ISNUMBER(B1357),ISNUMBER(B1356),B1357&gt;0,B1356&gt;0),LN(B1357/B1356),"")</x:f>
      </x:c>
      <x:c r="D1357" s="16" t="str">
        <x:f>IF(ISNUMBER(C1357),ABS(C1357),"")</x:f>
      </x:c>
      <x:c r="E1357" s="16" t="str">
        <x:f>IF(ISNUMBER(C1357),C1357^2,"")</x:f>
      </x:c>
      <x:c r="F1357" s="16" t="str">
        <x:f>IF(AND(ISNUMBER(C1357),ISNUMBER($J$6),$J$6&gt;0),(C1357-$J$5)/$J$6,"")</x:f>
      </x:c>
      <x:c r="G1357" s="1" t="str">
        <x:f>IF(ISNUMBER(F1357),IF(ABS(F1357)&gt;3,1,0),"")</x:f>
      </x:c>
      <x:c r="H1357" s="1" t="str">
        <x:f>IF(ISNUMBER(F1357),F1357^4,"")</x:f>
      </x:c>
      <x:c r="I1357" s="1"/>
      <x:c r="J1357" s="1"/>
      <x:c r="K1357" s="1"/>
      <x:c r="L1357" s="1"/>
      <x:c r="M1357" s="1"/>
      <x:c r="N1357" s="1"/>
    </x:row>
    <x:row r="1358" ht="22" customHeight="1">
      <x:c r="A1358" s="14"/>
      <x:c r="B1358" s="15"/>
      <x:c r="C1358" s="16" t="str">
        <x:f>IF(AND(ISNUMBER(B1358),ISNUMBER(B1357),B1358&gt;0,B1357&gt;0),LN(B1358/B1357),"")</x:f>
      </x:c>
      <x:c r="D1358" s="16" t="str">
        <x:f>IF(ISNUMBER(C1358),ABS(C1358),"")</x:f>
      </x:c>
      <x:c r="E1358" s="16" t="str">
        <x:f>IF(ISNUMBER(C1358),C1358^2,"")</x:f>
      </x:c>
      <x:c r="F1358" s="16" t="str">
        <x:f>IF(AND(ISNUMBER(C1358),ISNUMBER($J$6),$J$6&gt;0),(C1358-$J$5)/$J$6,"")</x:f>
      </x:c>
      <x:c r="G1358" s="1" t="str">
        <x:f>IF(ISNUMBER(F1358),IF(ABS(F1358)&gt;3,1,0),"")</x:f>
      </x:c>
      <x:c r="H1358" s="1" t="str">
        <x:f>IF(ISNUMBER(F1358),F1358^4,"")</x:f>
      </x:c>
      <x:c r="I1358" s="1"/>
      <x:c r="J1358" s="1"/>
      <x:c r="K1358" s="1"/>
      <x:c r="L1358" s="1"/>
      <x:c r="M1358" s="1"/>
      <x:c r="N1358" s="1"/>
    </x:row>
    <x:row r="1359" ht="22" customHeight="1">
      <x:c r="A1359" s="14"/>
      <x:c r="B1359" s="15"/>
      <x:c r="C1359" s="16" t="str">
        <x:f>IF(AND(ISNUMBER(B1359),ISNUMBER(B1358),B1359&gt;0,B1358&gt;0),LN(B1359/B1358),"")</x:f>
      </x:c>
      <x:c r="D1359" s="16" t="str">
        <x:f>IF(ISNUMBER(C1359),ABS(C1359),"")</x:f>
      </x:c>
      <x:c r="E1359" s="16" t="str">
        <x:f>IF(ISNUMBER(C1359),C1359^2,"")</x:f>
      </x:c>
      <x:c r="F1359" s="16" t="str">
        <x:f>IF(AND(ISNUMBER(C1359),ISNUMBER($J$6),$J$6&gt;0),(C1359-$J$5)/$J$6,"")</x:f>
      </x:c>
      <x:c r="G1359" s="1" t="str">
        <x:f>IF(ISNUMBER(F1359),IF(ABS(F1359)&gt;3,1,0),"")</x:f>
      </x:c>
      <x:c r="H1359" s="1" t="str">
        <x:f>IF(ISNUMBER(F1359),F1359^4,"")</x:f>
      </x:c>
      <x:c r="I1359" s="1"/>
      <x:c r="J1359" s="1"/>
      <x:c r="K1359" s="1"/>
      <x:c r="L1359" s="1"/>
      <x:c r="M1359" s="1"/>
      <x:c r="N1359" s="1"/>
    </x:row>
    <x:row r="1360" ht="22" customHeight="1">
      <x:c r="A1360" s="14"/>
      <x:c r="B1360" s="15"/>
      <x:c r="C1360" s="16" t="str">
        <x:f>IF(AND(ISNUMBER(B1360),ISNUMBER(B1359),B1360&gt;0,B1359&gt;0),LN(B1360/B1359),"")</x:f>
      </x:c>
      <x:c r="D1360" s="16" t="str">
        <x:f>IF(ISNUMBER(C1360),ABS(C1360),"")</x:f>
      </x:c>
      <x:c r="E1360" s="16" t="str">
        <x:f>IF(ISNUMBER(C1360),C1360^2,"")</x:f>
      </x:c>
      <x:c r="F1360" s="16" t="str">
        <x:f>IF(AND(ISNUMBER(C1360),ISNUMBER($J$6),$J$6&gt;0),(C1360-$J$5)/$J$6,"")</x:f>
      </x:c>
      <x:c r="G1360" s="1" t="str">
        <x:f>IF(ISNUMBER(F1360),IF(ABS(F1360)&gt;3,1,0),"")</x:f>
      </x:c>
      <x:c r="H1360" s="1" t="str">
        <x:f>IF(ISNUMBER(F1360),F1360^4,"")</x:f>
      </x:c>
      <x:c r="I1360" s="1"/>
      <x:c r="J1360" s="1"/>
      <x:c r="K1360" s="1"/>
      <x:c r="L1360" s="1"/>
      <x:c r="M1360" s="1"/>
      <x:c r="N1360" s="1"/>
    </x:row>
    <x:row r="1361" ht="22" customHeight="1">
      <x:c r="A1361" s="14"/>
      <x:c r="B1361" s="15"/>
      <x:c r="C1361" s="16" t="str">
        <x:f>IF(AND(ISNUMBER(B1361),ISNUMBER(B1360),B1361&gt;0,B1360&gt;0),LN(B1361/B1360),"")</x:f>
      </x:c>
      <x:c r="D1361" s="16" t="str">
        <x:f>IF(ISNUMBER(C1361),ABS(C1361),"")</x:f>
      </x:c>
      <x:c r="E1361" s="16" t="str">
        <x:f>IF(ISNUMBER(C1361),C1361^2,"")</x:f>
      </x:c>
      <x:c r="F1361" s="16" t="str">
        <x:f>IF(AND(ISNUMBER(C1361),ISNUMBER($J$6),$J$6&gt;0),(C1361-$J$5)/$J$6,"")</x:f>
      </x:c>
      <x:c r="G1361" s="1" t="str">
        <x:f>IF(ISNUMBER(F1361),IF(ABS(F1361)&gt;3,1,0),"")</x:f>
      </x:c>
      <x:c r="H1361" s="1" t="str">
        <x:f>IF(ISNUMBER(F1361),F1361^4,"")</x:f>
      </x:c>
      <x:c r="I1361" s="1"/>
      <x:c r="J1361" s="1"/>
      <x:c r="K1361" s="1"/>
      <x:c r="L1361" s="1"/>
      <x:c r="M1361" s="1"/>
      <x:c r="N1361" s="1"/>
    </x:row>
    <x:row r="1362" ht="22" customHeight="1">
      <x:c r="A1362" s="14"/>
      <x:c r="B1362" s="15"/>
      <x:c r="C1362" s="16" t="str">
        <x:f>IF(AND(ISNUMBER(B1362),ISNUMBER(B1361),B1362&gt;0,B1361&gt;0),LN(B1362/B1361),"")</x:f>
      </x:c>
      <x:c r="D1362" s="16" t="str">
        <x:f>IF(ISNUMBER(C1362),ABS(C1362),"")</x:f>
      </x:c>
      <x:c r="E1362" s="16" t="str">
        <x:f>IF(ISNUMBER(C1362),C1362^2,"")</x:f>
      </x:c>
      <x:c r="F1362" s="16" t="str">
        <x:f>IF(AND(ISNUMBER(C1362),ISNUMBER($J$6),$J$6&gt;0),(C1362-$J$5)/$J$6,"")</x:f>
      </x:c>
      <x:c r="G1362" s="1" t="str">
        <x:f>IF(ISNUMBER(F1362),IF(ABS(F1362)&gt;3,1,0),"")</x:f>
      </x:c>
      <x:c r="H1362" s="1" t="str">
        <x:f>IF(ISNUMBER(F1362),F1362^4,"")</x:f>
      </x:c>
      <x:c r="I1362" s="1"/>
      <x:c r="J1362" s="1"/>
      <x:c r="K1362" s="1"/>
      <x:c r="L1362" s="1"/>
      <x:c r="M1362" s="1"/>
      <x:c r="N1362" s="1"/>
    </x:row>
    <x:row r="1363" ht="22" customHeight="1">
      <x:c r="A1363" s="14"/>
      <x:c r="B1363" s="15"/>
      <x:c r="C1363" s="16" t="str">
        <x:f>IF(AND(ISNUMBER(B1363),ISNUMBER(B1362),B1363&gt;0,B1362&gt;0),LN(B1363/B1362),"")</x:f>
      </x:c>
      <x:c r="D1363" s="16" t="str">
        <x:f>IF(ISNUMBER(C1363),ABS(C1363),"")</x:f>
      </x:c>
      <x:c r="E1363" s="16" t="str">
        <x:f>IF(ISNUMBER(C1363),C1363^2,"")</x:f>
      </x:c>
      <x:c r="F1363" s="16" t="str">
        <x:f>IF(AND(ISNUMBER(C1363),ISNUMBER($J$6),$J$6&gt;0),(C1363-$J$5)/$J$6,"")</x:f>
      </x:c>
      <x:c r="G1363" s="1" t="str">
        <x:f>IF(ISNUMBER(F1363),IF(ABS(F1363)&gt;3,1,0),"")</x:f>
      </x:c>
      <x:c r="H1363" s="1" t="str">
        <x:f>IF(ISNUMBER(F1363),F1363^4,"")</x:f>
      </x:c>
      <x:c r="I1363" s="1"/>
      <x:c r="J1363" s="1"/>
      <x:c r="K1363" s="1"/>
      <x:c r="L1363" s="1"/>
      <x:c r="M1363" s="1"/>
      <x:c r="N1363" s="1"/>
    </x:row>
    <x:row r="1364" ht="22" customHeight="1">
      <x:c r="A1364" s="14"/>
      <x:c r="B1364" s="15"/>
      <x:c r="C1364" s="16" t="str">
        <x:f>IF(AND(ISNUMBER(B1364),ISNUMBER(B1363),B1364&gt;0,B1363&gt;0),LN(B1364/B1363),"")</x:f>
      </x:c>
      <x:c r="D1364" s="16" t="str">
        <x:f>IF(ISNUMBER(C1364),ABS(C1364),"")</x:f>
      </x:c>
      <x:c r="E1364" s="16" t="str">
        <x:f>IF(ISNUMBER(C1364),C1364^2,"")</x:f>
      </x:c>
      <x:c r="F1364" s="16" t="str">
        <x:f>IF(AND(ISNUMBER(C1364),ISNUMBER($J$6),$J$6&gt;0),(C1364-$J$5)/$J$6,"")</x:f>
      </x:c>
      <x:c r="G1364" s="1" t="str">
        <x:f>IF(ISNUMBER(F1364),IF(ABS(F1364)&gt;3,1,0),"")</x:f>
      </x:c>
      <x:c r="H1364" s="1" t="str">
        <x:f>IF(ISNUMBER(F1364),F1364^4,"")</x:f>
      </x:c>
      <x:c r="I1364" s="1"/>
      <x:c r="J1364" s="1"/>
      <x:c r="K1364" s="1"/>
      <x:c r="L1364" s="1"/>
      <x:c r="M1364" s="1"/>
      <x:c r="N1364" s="1"/>
    </x:row>
    <x:row r="1365" ht="22" customHeight="1">
      <x:c r="A1365" s="14"/>
      <x:c r="B1365" s="15"/>
      <x:c r="C1365" s="16" t="str">
        <x:f>IF(AND(ISNUMBER(B1365),ISNUMBER(B1364),B1365&gt;0,B1364&gt;0),LN(B1365/B1364),"")</x:f>
      </x:c>
      <x:c r="D1365" s="16" t="str">
        <x:f>IF(ISNUMBER(C1365),ABS(C1365),"")</x:f>
      </x:c>
      <x:c r="E1365" s="16" t="str">
        <x:f>IF(ISNUMBER(C1365),C1365^2,"")</x:f>
      </x:c>
      <x:c r="F1365" s="16" t="str">
        <x:f>IF(AND(ISNUMBER(C1365),ISNUMBER($J$6),$J$6&gt;0),(C1365-$J$5)/$J$6,"")</x:f>
      </x:c>
      <x:c r="G1365" s="1" t="str">
        <x:f>IF(ISNUMBER(F1365),IF(ABS(F1365)&gt;3,1,0),"")</x:f>
      </x:c>
      <x:c r="H1365" s="1" t="str">
        <x:f>IF(ISNUMBER(F1365),F1365^4,"")</x:f>
      </x:c>
      <x:c r="I1365" s="1"/>
      <x:c r="J1365" s="1"/>
      <x:c r="K1365" s="1"/>
      <x:c r="L1365" s="1"/>
      <x:c r="M1365" s="1"/>
      <x:c r="N1365" s="1"/>
    </x:row>
    <x:row r="1366" ht="22" customHeight="1">
      <x:c r="A1366" s="14"/>
      <x:c r="B1366" s="15"/>
      <x:c r="C1366" s="16" t="str">
        <x:f>IF(AND(ISNUMBER(B1366),ISNUMBER(B1365),B1366&gt;0,B1365&gt;0),LN(B1366/B1365),"")</x:f>
      </x:c>
      <x:c r="D1366" s="16" t="str">
        <x:f>IF(ISNUMBER(C1366),ABS(C1366),"")</x:f>
      </x:c>
      <x:c r="E1366" s="16" t="str">
        <x:f>IF(ISNUMBER(C1366),C1366^2,"")</x:f>
      </x:c>
      <x:c r="F1366" s="16" t="str">
        <x:f>IF(AND(ISNUMBER(C1366),ISNUMBER($J$6),$J$6&gt;0),(C1366-$J$5)/$J$6,"")</x:f>
      </x:c>
      <x:c r="G1366" s="1" t="str">
        <x:f>IF(ISNUMBER(F1366),IF(ABS(F1366)&gt;3,1,0),"")</x:f>
      </x:c>
      <x:c r="H1366" s="1" t="str">
        <x:f>IF(ISNUMBER(F1366),F1366^4,"")</x:f>
      </x:c>
      <x:c r="I1366" s="1"/>
      <x:c r="J1366" s="1"/>
      <x:c r="K1366" s="1"/>
      <x:c r="L1366" s="1"/>
      <x:c r="M1366" s="1"/>
      <x:c r="N1366" s="1"/>
    </x:row>
    <x:row r="1367" ht="22" customHeight="1">
      <x:c r="A1367" s="14"/>
      <x:c r="B1367" s="15"/>
      <x:c r="C1367" s="16" t="str">
        <x:f>IF(AND(ISNUMBER(B1367),ISNUMBER(B1366),B1367&gt;0,B1366&gt;0),LN(B1367/B1366),"")</x:f>
      </x:c>
      <x:c r="D1367" s="16" t="str">
        <x:f>IF(ISNUMBER(C1367),ABS(C1367),"")</x:f>
      </x:c>
      <x:c r="E1367" s="16" t="str">
        <x:f>IF(ISNUMBER(C1367),C1367^2,"")</x:f>
      </x:c>
      <x:c r="F1367" s="16" t="str">
        <x:f>IF(AND(ISNUMBER(C1367),ISNUMBER($J$6),$J$6&gt;0),(C1367-$J$5)/$J$6,"")</x:f>
      </x:c>
      <x:c r="G1367" s="1" t="str">
        <x:f>IF(ISNUMBER(F1367),IF(ABS(F1367)&gt;3,1,0),"")</x:f>
      </x:c>
      <x:c r="H1367" s="1" t="str">
        <x:f>IF(ISNUMBER(F1367),F1367^4,"")</x:f>
      </x:c>
      <x:c r="I1367" s="1"/>
      <x:c r="J1367" s="1"/>
      <x:c r="K1367" s="1"/>
      <x:c r="L1367" s="1"/>
      <x:c r="M1367" s="1"/>
      <x:c r="N1367" s="1"/>
    </x:row>
    <x:row r="1368" ht="22" customHeight="1">
      <x:c r="A1368" s="14"/>
      <x:c r="B1368" s="15"/>
      <x:c r="C1368" s="16" t="str">
        <x:f>IF(AND(ISNUMBER(B1368),ISNUMBER(B1367),B1368&gt;0,B1367&gt;0),LN(B1368/B1367),"")</x:f>
      </x:c>
      <x:c r="D1368" s="16" t="str">
        <x:f>IF(ISNUMBER(C1368),ABS(C1368),"")</x:f>
      </x:c>
      <x:c r="E1368" s="16" t="str">
        <x:f>IF(ISNUMBER(C1368),C1368^2,"")</x:f>
      </x:c>
      <x:c r="F1368" s="16" t="str">
        <x:f>IF(AND(ISNUMBER(C1368),ISNUMBER($J$6),$J$6&gt;0),(C1368-$J$5)/$J$6,"")</x:f>
      </x:c>
      <x:c r="G1368" s="1" t="str">
        <x:f>IF(ISNUMBER(F1368),IF(ABS(F1368)&gt;3,1,0),"")</x:f>
      </x:c>
      <x:c r="H1368" s="1" t="str">
        <x:f>IF(ISNUMBER(F1368),F1368^4,"")</x:f>
      </x:c>
      <x:c r="I1368" s="1"/>
      <x:c r="J1368" s="1"/>
      <x:c r="K1368" s="1"/>
      <x:c r="L1368" s="1"/>
      <x:c r="M1368" s="1"/>
      <x:c r="N1368" s="1"/>
    </x:row>
    <x:row r="1369" ht="22" customHeight="1">
      <x:c r="A1369" s="14"/>
      <x:c r="B1369" s="15"/>
      <x:c r="C1369" s="16" t="str">
        <x:f>IF(AND(ISNUMBER(B1369),ISNUMBER(B1368),B1369&gt;0,B1368&gt;0),LN(B1369/B1368),"")</x:f>
      </x:c>
      <x:c r="D1369" s="16" t="str">
        <x:f>IF(ISNUMBER(C1369),ABS(C1369),"")</x:f>
      </x:c>
      <x:c r="E1369" s="16" t="str">
        <x:f>IF(ISNUMBER(C1369),C1369^2,"")</x:f>
      </x:c>
      <x:c r="F1369" s="16" t="str">
        <x:f>IF(AND(ISNUMBER(C1369),ISNUMBER($J$6),$J$6&gt;0),(C1369-$J$5)/$J$6,"")</x:f>
      </x:c>
      <x:c r="G1369" s="1" t="str">
        <x:f>IF(ISNUMBER(F1369),IF(ABS(F1369)&gt;3,1,0),"")</x:f>
      </x:c>
      <x:c r="H1369" s="1" t="str">
        <x:f>IF(ISNUMBER(F1369),F1369^4,"")</x:f>
      </x:c>
      <x:c r="I1369" s="1"/>
      <x:c r="J1369" s="1"/>
      <x:c r="K1369" s="1"/>
      <x:c r="L1369" s="1"/>
      <x:c r="M1369" s="1"/>
      <x:c r="N1369" s="1"/>
    </x:row>
    <x:row r="1370" ht="22" customHeight="1">
      <x:c r="A1370" s="14"/>
      <x:c r="B1370" s="15"/>
      <x:c r="C1370" s="16" t="str">
        <x:f>IF(AND(ISNUMBER(B1370),ISNUMBER(B1369),B1370&gt;0,B1369&gt;0),LN(B1370/B1369),"")</x:f>
      </x:c>
      <x:c r="D1370" s="16" t="str">
        <x:f>IF(ISNUMBER(C1370),ABS(C1370),"")</x:f>
      </x:c>
      <x:c r="E1370" s="16" t="str">
        <x:f>IF(ISNUMBER(C1370),C1370^2,"")</x:f>
      </x:c>
      <x:c r="F1370" s="16" t="str">
        <x:f>IF(AND(ISNUMBER(C1370),ISNUMBER($J$6),$J$6&gt;0),(C1370-$J$5)/$J$6,"")</x:f>
      </x:c>
      <x:c r="G1370" s="1" t="str">
        <x:f>IF(ISNUMBER(F1370),IF(ABS(F1370)&gt;3,1,0),"")</x:f>
      </x:c>
      <x:c r="H1370" s="1" t="str">
        <x:f>IF(ISNUMBER(F1370),F1370^4,"")</x:f>
      </x:c>
      <x:c r="I1370" s="1"/>
      <x:c r="J1370" s="1"/>
      <x:c r="K1370" s="1"/>
      <x:c r="L1370" s="1"/>
      <x:c r="M1370" s="1"/>
      <x:c r="N1370" s="1"/>
    </x:row>
    <x:row r="1371" ht="22" customHeight="1">
      <x:c r="A1371" s="14"/>
      <x:c r="B1371" s="15"/>
      <x:c r="C1371" s="16" t="str">
        <x:f>IF(AND(ISNUMBER(B1371),ISNUMBER(B1370),B1371&gt;0,B1370&gt;0),LN(B1371/B1370),"")</x:f>
      </x:c>
      <x:c r="D1371" s="16" t="str">
        <x:f>IF(ISNUMBER(C1371),ABS(C1371),"")</x:f>
      </x:c>
      <x:c r="E1371" s="16" t="str">
        <x:f>IF(ISNUMBER(C1371),C1371^2,"")</x:f>
      </x:c>
      <x:c r="F1371" s="16" t="str">
        <x:f>IF(AND(ISNUMBER(C1371),ISNUMBER($J$6),$J$6&gt;0),(C1371-$J$5)/$J$6,"")</x:f>
      </x:c>
      <x:c r="G1371" s="1" t="str">
        <x:f>IF(ISNUMBER(F1371),IF(ABS(F1371)&gt;3,1,0),"")</x:f>
      </x:c>
      <x:c r="H1371" s="1" t="str">
        <x:f>IF(ISNUMBER(F1371),F1371^4,"")</x:f>
      </x:c>
      <x:c r="I1371" s="1"/>
      <x:c r="J1371" s="1"/>
      <x:c r="K1371" s="1"/>
      <x:c r="L1371" s="1"/>
      <x:c r="M1371" s="1"/>
      <x:c r="N1371" s="1"/>
    </x:row>
    <x:row r="1372" ht="22" customHeight="1">
      <x:c r="A1372" s="14"/>
      <x:c r="B1372" s="15"/>
      <x:c r="C1372" s="16" t="str">
        <x:f>IF(AND(ISNUMBER(B1372),ISNUMBER(B1371),B1372&gt;0,B1371&gt;0),LN(B1372/B1371),"")</x:f>
      </x:c>
      <x:c r="D1372" s="16" t="str">
        <x:f>IF(ISNUMBER(C1372),ABS(C1372),"")</x:f>
      </x:c>
      <x:c r="E1372" s="16" t="str">
        <x:f>IF(ISNUMBER(C1372),C1372^2,"")</x:f>
      </x:c>
      <x:c r="F1372" s="16" t="str">
        <x:f>IF(AND(ISNUMBER(C1372),ISNUMBER($J$6),$J$6&gt;0),(C1372-$J$5)/$J$6,"")</x:f>
      </x:c>
      <x:c r="G1372" s="1" t="str">
        <x:f>IF(ISNUMBER(F1372),IF(ABS(F1372)&gt;3,1,0),"")</x:f>
      </x:c>
      <x:c r="H1372" s="1" t="str">
        <x:f>IF(ISNUMBER(F1372),F1372^4,"")</x:f>
      </x:c>
      <x:c r="I1372" s="1"/>
      <x:c r="J1372" s="1"/>
      <x:c r="K1372" s="1"/>
      <x:c r="L1372" s="1"/>
      <x:c r="M1372" s="1"/>
      <x:c r="N1372" s="1"/>
    </x:row>
    <x:row r="1373" ht="22" customHeight="1">
      <x:c r="A1373" s="14"/>
      <x:c r="B1373" s="15"/>
      <x:c r="C1373" s="16" t="str">
        <x:f>IF(AND(ISNUMBER(B1373),ISNUMBER(B1372),B1373&gt;0,B1372&gt;0),LN(B1373/B1372),"")</x:f>
      </x:c>
      <x:c r="D1373" s="16" t="str">
        <x:f>IF(ISNUMBER(C1373),ABS(C1373),"")</x:f>
      </x:c>
      <x:c r="E1373" s="16" t="str">
        <x:f>IF(ISNUMBER(C1373),C1373^2,"")</x:f>
      </x:c>
      <x:c r="F1373" s="16" t="str">
        <x:f>IF(AND(ISNUMBER(C1373),ISNUMBER($J$6),$J$6&gt;0),(C1373-$J$5)/$J$6,"")</x:f>
      </x:c>
      <x:c r="G1373" s="1" t="str">
        <x:f>IF(ISNUMBER(F1373),IF(ABS(F1373)&gt;3,1,0),"")</x:f>
      </x:c>
      <x:c r="H1373" s="1" t="str">
        <x:f>IF(ISNUMBER(F1373),F1373^4,"")</x:f>
      </x:c>
      <x:c r="I1373" s="1"/>
      <x:c r="J1373" s="1"/>
      <x:c r="K1373" s="1"/>
      <x:c r="L1373" s="1"/>
      <x:c r="M1373" s="1"/>
      <x:c r="N1373" s="1"/>
    </x:row>
    <x:row r="1374" ht="22" customHeight="1">
      <x:c r="A1374" s="14"/>
      <x:c r="B1374" s="15"/>
      <x:c r="C1374" s="16" t="str">
        <x:f>IF(AND(ISNUMBER(B1374),ISNUMBER(B1373),B1374&gt;0,B1373&gt;0),LN(B1374/B1373),"")</x:f>
      </x:c>
      <x:c r="D1374" s="16" t="str">
        <x:f>IF(ISNUMBER(C1374),ABS(C1374),"")</x:f>
      </x:c>
      <x:c r="E1374" s="16" t="str">
        <x:f>IF(ISNUMBER(C1374),C1374^2,"")</x:f>
      </x:c>
      <x:c r="F1374" s="16" t="str">
        <x:f>IF(AND(ISNUMBER(C1374),ISNUMBER($J$6),$J$6&gt;0),(C1374-$J$5)/$J$6,"")</x:f>
      </x:c>
      <x:c r="G1374" s="1" t="str">
        <x:f>IF(ISNUMBER(F1374),IF(ABS(F1374)&gt;3,1,0),"")</x:f>
      </x:c>
      <x:c r="H1374" s="1" t="str">
        <x:f>IF(ISNUMBER(F1374),F1374^4,"")</x:f>
      </x:c>
      <x:c r="I1374" s="1"/>
      <x:c r="J1374" s="1"/>
      <x:c r="K1374" s="1"/>
      <x:c r="L1374" s="1"/>
      <x:c r="M1374" s="1"/>
      <x:c r="N1374" s="1"/>
    </x:row>
    <x:row r="1375" ht="22" customHeight="1">
      <x:c r="A1375" s="14"/>
      <x:c r="B1375" s="15"/>
      <x:c r="C1375" s="16" t="str">
        <x:f>IF(AND(ISNUMBER(B1375),ISNUMBER(B1374),B1375&gt;0,B1374&gt;0),LN(B1375/B1374),"")</x:f>
      </x:c>
      <x:c r="D1375" s="16" t="str">
        <x:f>IF(ISNUMBER(C1375),ABS(C1375),"")</x:f>
      </x:c>
      <x:c r="E1375" s="16" t="str">
        <x:f>IF(ISNUMBER(C1375),C1375^2,"")</x:f>
      </x:c>
      <x:c r="F1375" s="16" t="str">
        <x:f>IF(AND(ISNUMBER(C1375),ISNUMBER($J$6),$J$6&gt;0),(C1375-$J$5)/$J$6,"")</x:f>
      </x:c>
      <x:c r="G1375" s="1" t="str">
        <x:f>IF(ISNUMBER(F1375),IF(ABS(F1375)&gt;3,1,0),"")</x:f>
      </x:c>
      <x:c r="H1375" s="1" t="str">
        <x:f>IF(ISNUMBER(F1375),F1375^4,"")</x:f>
      </x:c>
      <x:c r="I1375" s="1"/>
      <x:c r="J1375" s="1"/>
      <x:c r="K1375" s="1"/>
      <x:c r="L1375" s="1"/>
      <x:c r="M1375" s="1"/>
      <x:c r="N1375" s="1"/>
    </x:row>
    <x:row r="1376" ht="22" customHeight="1">
      <x:c r="A1376" s="14"/>
      <x:c r="B1376" s="15"/>
      <x:c r="C1376" s="16" t="str">
        <x:f>IF(AND(ISNUMBER(B1376),ISNUMBER(B1375),B1376&gt;0,B1375&gt;0),LN(B1376/B1375),"")</x:f>
      </x:c>
      <x:c r="D1376" s="16" t="str">
        <x:f>IF(ISNUMBER(C1376),ABS(C1376),"")</x:f>
      </x:c>
      <x:c r="E1376" s="16" t="str">
        <x:f>IF(ISNUMBER(C1376),C1376^2,"")</x:f>
      </x:c>
      <x:c r="F1376" s="16" t="str">
        <x:f>IF(AND(ISNUMBER(C1376),ISNUMBER($J$6),$J$6&gt;0),(C1376-$J$5)/$J$6,"")</x:f>
      </x:c>
      <x:c r="G1376" s="1" t="str">
        <x:f>IF(ISNUMBER(F1376),IF(ABS(F1376)&gt;3,1,0),"")</x:f>
      </x:c>
      <x:c r="H1376" s="1" t="str">
        <x:f>IF(ISNUMBER(F1376),F1376^4,"")</x:f>
      </x:c>
      <x:c r="I1376" s="1"/>
      <x:c r="J1376" s="1"/>
      <x:c r="K1376" s="1"/>
      <x:c r="L1376" s="1"/>
      <x:c r="M1376" s="1"/>
      <x:c r="N1376" s="1"/>
    </x:row>
    <x:row r="1377" ht="22" customHeight="1">
      <x:c r="A1377" s="14"/>
      <x:c r="B1377" s="15"/>
      <x:c r="C1377" s="16" t="str">
        <x:f>IF(AND(ISNUMBER(B1377),ISNUMBER(B1376),B1377&gt;0,B1376&gt;0),LN(B1377/B1376),"")</x:f>
      </x:c>
      <x:c r="D1377" s="16" t="str">
        <x:f>IF(ISNUMBER(C1377),ABS(C1377),"")</x:f>
      </x:c>
      <x:c r="E1377" s="16" t="str">
        <x:f>IF(ISNUMBER(C1377),C1377^2,"")</x:f>
      </x:c>
      <x:c r="F1377" s="16" t="str">
        <x:f>IF(AND(ISNUMBER(C1377),ISNUMBER($J$6),$J$6&gt;0),(C1377-$J$5)/$J$6,"")</x:f>
      </x:c>
      <x:c r="G1377" s="1" t="str">
        <x:f>IF(ISNUMBER(F1377),IF(ABS(F1377)&gt;3,1,0),"")</x:f>
      </x:c>
      <x:c r="H1377" s="1" t="str">
        <x:f>IF(ISNUMBER(F1377),F1377^4,"")</x:f>
      </x:c>
      <x:c r="I1377" s="1"/>
      <x:c r="J1377" s="1"/>
      <x:c r="K1377" s="1"/>
      <x:c r="L1377" s="1"/>
      <x:c r="M1377" s="1"/>
      <x:c r="N1377" s="1"/>
    </x:row>
    <x:row r="1378" ht="22" customHeight="1">
      <x:c r="A1378" s="14"/>
      <x:c r="B1378" s="15"/>
      <x:c r="C1378" s="16" t="str">
        <x:f>IF(AND(ISNUMBER(B1378),ISNUMBER(B1377),B1378&gt;0,B1377&gt;0),LN(B1378/B1377),"")</x:f>
      </x:c>
      <x:c r="D1378" s="16" t="str">
        <x:f>IF(ISNUMBER(C1378),ABS(C1378),"")</x:f>
      </x:c>
      <x:c r="E1378" s="16" t="str">
        <x:f>IF(ISNUMBER(C1378),C1378^2,"")</x:f>
      </x:c>
      <x:c r="F1378" s="16" t="str">
        <x:f>IF(AND(ISNUMBER(C1378),ISNUMBER($J$6),$J$6&gt;0),(C1378-$J$5)/$J$6,"")</x:f>
      </x:c>
      <x:c r="G1378" s="1" t="str">
        <x:f>IF(ISNUMBER(F1378),IF(ABS(F1378)&gt;3,1,0),"")</x:f>
      </x:c>
      <x:c r="H1378" s="1" t="str">
        <x:f>IF(ISNUMBER(F1378),F1378^4,"")</x:f>
      </x:c>
      <x:c r="I1378" s="1"/>
      <x:c r="J1378" s="1"/>
      <x:c r="K1378" s="1"/>
      <x:c r="L1378" s="1"/>
      <x:c r="M1378" s="1"/>
      <x:c r="N1378" s="1"/>
    </x:row>
    <x:row r="1379" ht="22" customHeight="1">
      <x:c r="A1379" s="14"/>
      <x:c r="B1379" s="15"/>
      <x:c r="C1379" s="16" t="str">
        <x:f>IF(AND(ISNUMBER(B1379),ISNUMBER(B1378),B1379&gt;0,B1378&gt;0),LN(B1379/B1378),"")</x:f>
      </x:c>
      <x:c r="D1379" s="16" t="str">
        <x:f>IF(ISNUMBER(C1379),ABS(C1379),"")</x:f>
      </x:c>
      <x:c r="E1379" s="16" t="str">
        <x:f>IF(ISNUMBER(C1379),C1379^2,"")</x:f>
      </x:c>
      <x:c r="F1379" s="16" t="str">
        <x:f>IF(AND(ISNUMBER(C1379),ISNUMBER($J$6),$J$6&gt;0),(C1379-$J$5)/$J$6,"")</x:f>
      </x:c>
      <x:c r="G1379" s="1" t="str">
        <x:f>IF(ISNUMBER(F1379),IF(ABS(F1379)&gt;3,1,0),"")</x:f>
      </x:c>
      <x:c r="H1379" s="1" t="str">
        <x:f>IF(ISNUMBER(F1379),F1379^4,"")</x:f>
      </x:c>
      <x:c r="I1379" s="1"/>
      <x:c r="J1379" s="1"/>
      <x:c r="K1379" s="1"/>
      <x:c r="L1379" s="1"/>
      <x:c r="M1379" s="1"/>
      <x:c r="N1379" s="1"/>
    </x:row>
    <x:row r="1380" ht="22" customHeight="1">
      <x:c r="A1380" s="14"/>
      <x:c r="B1380" s="15"/>
      <x:c r="C1380" s="16" t="str">
        <x:f>IF(AND(ISNUMBER(B1380),ISNUMBER(B1379),B1380&gt;0,B1379&gt;0),LN(B1380/B1379),"")</x:f>
      </x:c>
      <x:c r="D1380" s="16" t="str">
        <x:f>IF(ISNUMBER(C1380),ABS(C1380),"")</x:f>
      </x:c>
      <x:c r="E1380" s="16" t="str">
        <x:f>IF(ISNUMBER(C1380),C1380^2,"")</x:f>
      </x:c>
      <x:c r="F1380" s="16" t="str">
        <x:f>IF(AND(ISNUMBER(C1380),ISNUMBER($J$6),$J$6&gt;0),(C1380-$J$5)/$J$6,"")</x:f>
      </x:c>
      <x:c r="G1380" s="1" t="str">
        <x:f>IF(ISNUMBER(F1380),IF(ABS(F1380)&gt;3,1,0),"")</x:f>
      </x:c>
      <x:c r="H1380" s="1" t="str">
        <x:f>IF(ISNUMBER(F1380),F1380^4,"")</x:f>
      </x:c>
      <x:c r="I1380" s="1"/>
      <x:c r="J1380" s="1"/>
      <x:c r="K1380" s="1"/>
      <x:c r="L1380" s="1"/>
      <x:c r="M1380" s="1"/>
      <x:c r="N1380" s="1"/>
    </x:row>
    <x:row r="1381" ht="22" customHeight="1">
      <x:c r="A1381" s="14"/>
      <x:c r="B1381" s="15"/>
      <x:c r="C1381" s="16" t="str">
        <x:f>IF(AND(ISNUMBER(B1381),ISNUMBER(B1380),B1381&gt;0,B1380&gt;0),LN(B1381/B1380),"")</x:f>
      </x:c>
      <x:c r="D1381" s="16" t="str">
        <x:f>IF(ISNUMBER(C1381),ABS(C1381),"")</x:f>
      </x:c>
      <x:c r="E1381" s="16" t="str">
        <x:f>IF(ISNUMBER(C1381),C1381^2,"")</x:f>
      </x:c>
      <x:c r="F1381" s="16" t="str">
        <x:f>IF(AND(ISNUMBER(C1381),ISNUMBER($J$6),$J$6&gt;0),(C1381-$J$5)/$J$6,"")</x:f>
      </x:c>
      <x:c r="G1381" s="1" t="str">
        <x:f>IF(ISNUMBER(F1381),IF(ABS(F1381)&gt;3,1,0),"")</x:f>
      </x:c>
      <x:c r="H1381" s="1" t="str">
        <x:f>IF(ISNUMBER(F1381),F1381^4,"")</x:f>
      </x:c>
      <x:c r="I1381" s="1"/>
      <x:c r="J1381" s="1"/>
      <x:c r="K1381" s="1"/>
      <x:c r="L1381" s="1"/>
      <x:c r="M1381" s="1"/>
      <x:c r="N1381" s="1"/>
    </x:row>
    <x:row r="1382" ht="22" customHeight="1">
      <x:c r="A1382" s="14"/>
      <x:c r="B1382" s="15"/>
      <x:c r="C1382" s="16" t="str">
        <x:f>IF(AND(ISNUMBER(B1382),ISNUMBER(B1381),B1382&gt;0,B1381&gt;0),LN(B1382/B1381),"")</x:f>
      </x:c>
      <x:c r="D1382" s="16" t="str">
        <x:f>IF(ISNUMBER(C1382),ABS(C1382),"")</x:f>
      </x:c>
      <x:c r="E1382" s="16" t="str">
        <x:f>IF(ISNUMBER(C1382),C1382^2,"")</x:f>
      </x:c>
      <x:c r="F1382" s="16" t="str">
        <x:f>IF(AND(ISNUMBER(C1382),ISNUMBER($J$6),$J$6&gt;0),(C1382-$J$5)/$J$6,"")</x:f>
      </x:c>
      <x:c r="G1382" s="1" t="str">
        <x:f>IF(ISNUMBER(F1382),IF(ABS(F1382)&gt;3,1,0),"")</x:f>
      </x:c>
      <x:c r="H1382" s="1" t="str">
        <x:f>IF(ISNUMBER(F1382),F1382^4,"")</x:f>
      </x:c>
      <x:c r="I1382" s="1"/>
      <x:c r="J1382" s="1"/>
      <x:c r="K1382" s="1"/>
      <x:c r="L1382" s="1"/>
      <x:c r="M1382" s="1"/>
      <x:c r="N1382" s="1"/>
    </x:row>
    <x:row r="1383" ht="22" customHeight="1">
      <x:c r="A1383" s="14"/>
      <x:c r="B1383" s="15"/>
      <x:c r="C1383" s="16" t="str">
        <x:f>IF(AND(ISNUMBER(B1383),ISNUMBER(B1382),B1383&gt;0,B1382&gt;0),LN(B1383/B1382),"")</x:f>
      </x:c>
      <x:c r="D1383" s="16" t="str">
        <x:f>IF(ISNUMBER(C1383),ABS(C1383),"")</x:f>
      </x:c>
      <x:c r="E1383" s="16" t="str">
        <x:f>IF(ISNUMBER(C1383),C1383^2,"")</x:f>
      </x:c>
      <x:c r="F1383" s="16" t="str">
        <x:f>IF(AND(ISNUMBER(C1383),ISNUMBER($J$6),$J$6&gt;0),(C1383-$J$5)/$J$6,"")</x:f>
      </x:c>
      <x:c r="G1383" s="1" t="str">
        <x:f>IF(ISNUMBER(F1383),IF(ABS(F1383)&gt;3,1,0),"")</x:f>
      </x:c>
      <x:c r="H1383" s="1" t="str">
        <x:f>IF(ISNUMBER(F1383),F1383^4,"")</x:f>
      </x:c>
      <x:c r="I1383" s="1"/>
      <x:c r="J1383" s="1"/>
      <x:c r="K1383" s="1"/>
      <x:c r="L1383" s="1"/>
      <x:c r="M1383" s="1"/>
      <x:c r="N1383" s="1"/>
    </x:row>
    <x:row r="1384" ht="22" customHeight="1">
      <x:c r="A1384" s="14"/>
      <x:c r="B1384" s="15"/>
      <x:c r="C1384" s="16" t="str">
        <x:f>IF(AND(ISNUMBER(B1384),ISNUMBER(B1383),B1384&gt;0,B1383&gt;0),LN(B1384/B1383),"")</x:f>
      </x:c>
      <x:c r="D1384" s="16" t="str">
        <x:f>IF(ISNUMBER(C1384),ABS(C1384),"")</x:f>
      </x:c>
      <x:c r="E1384" s="16" t="str">
        <x:f>IF(ISNUMBER(C1384),C1384^2,"")</x:f>
      </x:c>
      <x:c r="F1384" s="16" t="str">
        <x:f>IF(AND(ISNUMBER(C1384),ISNUMBER($J$6),$J$6&gt;0),(C1384-$J$5)/$J$6,"")</x:f>
      </x:c>
      <x:c r="G1384" s="1" t="str">
        <x:f>IF(ISNUMBER(F1384),IF(ABS(F1384)&gt;3,1,0),"")</x:f>
      </x:c>
      <x:c r="H1384" s="1" t="str">
        <x:f>IF(ISNUMBER(F1384),F1384^4,"")</x:f>
      </x:c>
      <x:c r="I1384" s="1"/>
      <x:c r="J1384" s="1"/>
      <x:c r="K1384" s="1"/>
      <x:c r="L1384" s="1"/>
      <x:c r="M1384" s="1"/>
      <x:c r="N1384" s="1"/>
    </x:row>
    <x:row r="1385" ht="22" customHeight="1">
      <x:c r="A1385" s="14"/>
      <x:c r="B1385" s="15"/>
      <x:c r="C1385" s="16" t="str">
        <x:f>IF(AND(ISNUMBER(B1385),ISNUMBER(B1384),B1385&gt;0,B1384&gt;0),LN(B1385/B1384),"")</x:f>
      </x:c>
      <x:c r="D1385" s="16" t="str">
        <x:f>IF(ISNUMBER(C1385),ABS(C1385),"")</x:f>
      </x:c>
      <x:c r="E1385" s="16" t="str">
        <x:f>IF(ISNUMBER(C1385),C1385^2,"")</x:f>
      </x:c>
      <x:c r="F1385" s="16" t="str">
        <x:f>IF(AND(ISNUMBER(C1385),ISNUMBER($J$6),$J$6&gt;0),(C1385-$J$5)/$J$6,"")</x:f>
      </x:c>
      <x:c r="G1385" s="1" t="str">
        <x:f>IF(ISNUMBER(F1385),IF(ABS(F1385)&gt;3,1,0),"")</x:f>
      </x:c>
      <x:c r="H1385" s="1" t="str">
        <x:f>IF(ISNUMBER(F1385),F1385^4,"")</x:f>
      </x:c>
      <x:c r="I1385" s="1"/>
      <x:c r="J1385" s="1"/>
      <x:c r="K1385" s="1"/>
      <x:c r="L1385" s="1"/>
      <x:c r="M1385" s="1"/>
      <x:c r="N1385" s="1"/>
    </x:row>
    <x:row r="1386" ht="22" customHeight="1">
      <x:c r="A1386" s="14"/>
      <x:c r="B1386" s="15"/>
      <x:c r="C1386" s="16" t="str">
        <x:f>IF(AND(ISNUMBER(B1386),ISNUMBER(B1385),B1386&gt;0,B1385&gt;0),LN(B1386/B1385),"")</x:f>
      </x:c>
      <x:c r="D1386" s="16" t="str">
        <x:f>IF(ISNUMBER(C1386),ABS(C1386),"")</x:f>
      </x:c>
      <x:c r="E1386" s="16" t="str">
        <x:f>IF(ISNUMBER(C1386),C1386^2,"")</x:f>
      </x:c>
      <x:c r="F1386" s="16" t="str">
        <x:f>IF(AND(ISNUMBER(C1386),ISNUMBER($J$6),$J$6&gt;0),(C1386-$J$5)/$J$6,"")</x:f>
      </x:c>
      <x:c r="G1386" s="1" t="str">
        <x:f>IF(ISNUMBER(F1386),IF(ABS(F1386)&gt;3,1,0),"")</x:f>
      </x:c>
      <x:c r="H1386" s="1" t="str">
        <x:f>IF(ISNUMBER(F1386),F1386^4,"")</x:f>
      </x:c>
      <x:c r="I1386" s="1"/>
      <x:c r="J1386" s="1"/>
      <x:c r="K1386" s="1"/>
      <x:c r="L1386" s="1"/>
      <x:c r="M1386" s="1"/>
      <x:c r="N1386" s="1"/>
    </x:row>
    <x:row r="1387" ht="22" customHeight="1">
      <x:c r="A1387" s="14"/>
      <x:c r="B1387" s="15"/>
      <x:c r="C1387" s="16" t="str">
        <x:f>IF(AND(ISNUMBER(B1387),ISNUMBER(B1386),B1387&gt;0,B1386&gt;0),LN(B1387/B1386),"")</x:f>
      </x:c>
      <x:c r="D1387" s="16" t="str">
        <x:f>IF(ISNUMBER(C1387),ABS(C1387),"")</x:f>
      </x:c>
      <x:c r="E1387" s="16" t="str">
        <x:f>IF(ISNUMBER(C1387),C1387^2,"")</x:f>
      </x:c>
      <x:c r="F1387" s="16" t="str">
        <x:f>IF(AND(ISNUMBER(C1387),ISNUMBER($J$6),$J$6&gt;0),(C1387-$J$5)/$J$6,"")</x:f>
      </x:c>
      <x:c r="G1387" s="1" t="str">
        <x:f>IF(ISNUMBER(F1387),IF(ABS(F1387)&gt;3,1,0),"")</x:f>
      </x:c>
      <x:c r="H1387" s="1" t="str">
        <x:f>IF(ISNUMBER(F1387),F1387^4,"")</x:f>
      </x:c>
      <x:c r="I1387" s="1"/>
      <x:c r="J1387" s="1"/>
      <x:c r="K1387" s="1"/>
      <x:c r="L1387" s="1"/>
      <x:c r="M1387" s="1"/>
      <x:c r="N1387" s="1"/>
    </x:row>
    <x:row r="1388" ht="22" customHeight="1">
      <x:c r="A1388" s="14"/>
      <x:c r="B1388" s="15"/>
      <x:c r="C1388" s="16" t="str">
        <x:f>IF(AND(ISNUMBER(B1388),ISNUMBER(B1387),B1388&gt;0,B1387&gt;0),LN(B1388/B1387),"")</x:f>
      </x:c>
      <x:c r="D1388" s="16" t="str">
        <x:f>IF(ISNUMBER(C1388),ABS(C1388),"")</x:f>
      </x:c>
      <x:c r="E1388" s="16" t="str">
        <x:f>IF(ISNUMBER(C1388),C1388^2,"")</x:f>
      </x:c>
      <x:c r="F1388" s="16" t="str">
        <x:f>IF(AND(ISNUMBER(C1388),ISNUMBER($J$6),$J$6&gt;0),(C1388-$J$5)/$J$6,"")</x:f>
      </x:c>
      <x:c r="G1388" s="1" t="str">
        <x:f>IF(ISNUMBER(F1388),IF(ABS(F1388)&gt;3,1,0),"")</x:f>
      </x:c>
      <x:c r="H1388" s="1" t="str">
        <x:f>IF(ISNUMBER(F1388),F1388^4,"")</x:f>
      </x:c>
      <x:c r="I1388" s="1"/>
      <x:c r="J1388" s="1"/>
      <x:c r="K1388" s="1"/>
      <x:c r="L1388" s="1"/>
      <x:c r="M1388" s="1"/>
      <x:c r="N1388" s="1"/>
    </x:row>
    <x:row r="1389" ht="22" customHeight="1">
      <x:c r="A1389" s="14"/>
      <x:c r="B1389" s="15"/>
      <x:c r="C1389" s="16" t="str">
        <x:f>IF(AND(ISNUMBER(B1389),ISNUMBER(B1388),B1389&gt;0,B1388&gt;0),LN(B1389/B1388),"")</x:f>
      </x:c>
      <x:c r="D1389" s="16" t="str">
        <x:f>IF(ISNUMBER(C1389),ABS(C1389),"")</x:f>
      </x:c>
      <x:c r="E1389" s="16" t="str">
        <x:f>IF(ISNUMBER(C1389),C1389^2,"")</x:f>
      </x:c>
      <x:c r="F1389" s="16" t="str">
        <x:f>IF(AND(ISNUMBER(C1389),ISNUMBER($J$6),$J$6&gt;0),(C1389-$J$5)/$J$6,"")</x:f>
      </x:c>
      <x:c r="G1389" s="1" t="str">
        <x:f>IF(ISNUMBER(F1389),IF(ABS(F1389)&gt;3,1,0),"")</x:f>
      </x:c>
      <x:c r="H1389" s="1" t="str">
        <x:f>IF(ISNUMBER(F1389),F1389^4,"")</x:f>
      </x:c>
      <x:c r="I1389" s="1"/>
      <x:c r="J1389" s="1"/>
      <x:c r="K1389" s="1"/>
      <x:c r="L1389" s="1"/>
      <x:c r="M1389" s="1"/>
      <x:c r="N1389" s="1"/>
    </x:row>
    <x:row r="1390" ht="22" customHeight="1">
      <x:c r="A1390" s="14"/>
      <x:c r="B1390" s="15"/>
      <x:c r="C1390" s="16" t="str">
        <x:f>IF(AND(ISNUMBER(B1390),ISNUMBER(B1389),B1390&gt;0,B1389&gt;0),LN(B1390/B1389),"")</x:f>
      </x:c>
      <x:c r="D1390" s="16" t="str">
        <x:f>IF(ISNUMBER(C1390),ABS(C1390),"")</x:f>
      </x:c>
      <x:c r="E1390" s="16" t="str">
        <x:f>IF(ISNUMBER(C1390),C1390^2,"")</x:f>
      </x:c>
      <x:c r="F1390" s="16" t="str">
        <x:f>IF(AND(ISNUMBER(C1390),ISNUMBER($J$6),$J$6&gt;0),(C1390-$J$5)/$J$6,"")</x:f>
      </x:c>
      <x:c r="G1390" s="1" t="str">
        <x:f>IF(ISNUMBER(F1390),IF(ABS(F1390)&gt;3,1,0),"")</x:f>
      </x:c>
      <x:c r="H1390" s="1" t="str">
        <x:f>IF(ISNUMBER(F1390),F1390^4,"")</x:f>
      </x:c>
      <x:c r="I1390" s="1"/>
      <x:c r="J1390" s="1"/>
      <x:c r="K1390" s="1"/>
      <x:c r="L1390" s="1"/>
      <x:c r="M1390" s="1"/>
      <x:c r="N1390" s="1"/>
    </x:row>
    <x:row r="1391" ht="22" customHeight="1">
      <x:c r="A1391" s="14"/>
      <x:c r="B1391" s="15"/>
      <x:c r="C1391" s="16" t="str">
        <x:f>IF(AND(ISNUMBER(B1391),ISNUMBER(B1390),B1391&gt;0,B1390&gt;0),LN(B1391/B1390),"")</x:f>
      </x:c>
      <x:c r="D1391" s="16" t="str">
        <x:f>IF(ISNUMBER(C1391),ABS(C1391),"")</x:f>
      </x:c>
      <x:c r="E1391" s="16" t="str">
        <x:f>IF(ISNUMBER(C1391),C1391^2,"")</x:f>
      </x:c>
      <x:c r="F1391" s="16" t="str">
        <x:f>IF(AND(ISNUMBER(C1391),ISNUMBER($J$6),$J$6&gt;0),(C1391-$J$5)/$J$6,"")</x:f>
      </x:c>
      <x:c r="G1391" s="1" t="str">
        <x:f>IF(ISNUMBER(F1391),IF(ABS(F1391)&gt;3,1,0),"")</x:f>
      </x:c>
      <x:c r="H1391" s="1" t="str">
        <x:f>IF(ISNUMBER(F1391),F1391^4,"")</x:f>
      </x:c>
      <x:c r="I1391" s="1"/>
      <x:c r="J1391" s="1"/>
      <x:c r="K1391" s="1"/>
      <x:c r="L1391" s="1"/>
      <x:c r="M1391" s="1"/>
      <x:c r="N1391" s="1"/>
    </x:row>
    <x:row r="1392" ht="22" customHeight="1">
      <x:c r="A1392" s="14"/>
      <x:c r="B1392" s="15"/>
      <x:c r="C1392" s="16" t="str">
        <x:f>IF(AND(ISNUMBER(B1392),ISNUMBER(B1391),B1392&gt;0,B1391&gt;0),LN(B1392/B1391),"")</x:f>
      </x:c>
      <x:c r="D1392" s="16" t="str">
        <x:f>IF(ISNUMBER(C1392),ABS(C1392),"")</x:f>
      </x:c>
      <x:c r="E1392" s="16" t="str">
        <x:f>IF(ISNUMBER(C1392),C1392^2,"")</x:f>
      </x:c>
      <x:c r="F1392" s="16" t="str">
        <x:f>IF(AND(ISNUMBER(C1392),ISNUMBER($J$6),$J$6&gt;0),(C1392-$J$5)/$J$6,"")</x:f>
      </x:c>
      <x:c r="G1392" s="1" t="str">
        <x:f>IF(ISNUMBER(F1392),IF(ABS(F1392)&gt;3,1,0),"")</x:f>
      </x:c>
      <x:c r="H1392" s="1" t="str">
        <x:f>IF(ISNUMBER(F1392),F1392^4,"")</x:f>
      </x:c>
      <x:c r="I1392" s="1"/>
      <x:c r="J1392" s="1"/>
      <x:c r="K1392" s="1"/>
      <x:c r="L1392" s="1"/>
      <x:c r="M1392" s="1"/>
      <x:c r="N1392" s="1"/>
    </x:row>
    <x:row r="1393" ht="22" customHeight="1">
      <x:c r="A1393" s="14"/>
      <x:c r="B1393" s="15"/>
      <x:c r="C1393" s="16" t="str">
        <x:f>IF(AND(ISNUMBER(B1393),ISNUMBER(B1392),B1393&gt;0,B1392&gt;0),LN(B1393/B1392),"")</x:f>
      </x:c>
      <x:c r="D1393" s="16" t="str">
        <x:f>IF(ISNUMBER(C1393),ABS(C1393),"")</x:f>
      </x:c>
      <x:c r="E1393" s="16" t="str">
        <x:f>IF(ISNUMBER(C1393),C1393^2,"")</x:f>
      </x:c>
      <x:c r="F1393" s="16" t="str">
        <x:f>IF(AND(ISNUMBER(C1393),ISNUMBER($J$6),$J$6&gt;0),(C1393-$J$5)/$J$6,"")</x:f>
      </x:c>
      <x:c r="G1393" s="1" t="str">
        <x:f>IF(ISNUMBER(F1393),IF(ABS(F1393)&gt;3,1,0),"")</x:f>
      </x:c>
      <x:c r="H1393" s="1" t="str">
        <x:f>IF(ISNUMBER(F1393),F1393^4,"")</x:f>
      </x:c>
      <x:c r="I1393" s="1"/>
      <x:c r="J1393" s="1"/>
      <x:c r="K1393" s="1"/>
      <x:c r="L1393" s="1"/>
      <x:c r="M1393" s="1"/>
      <x:c r="N1393" s="1"/>
    </x:row>
    <x:row r="1394" ht="22" customHeight="1">
      <x:c r="A1394" s="14"/>
      <x:c r="B1394" s="15"/>
      <x:c r="C1394" s="16" t="str">
        <x:f>IF(AND(ISNUMBER(B1394),ISNUMBER(B1393),B1394&gt;0,B1393&gt;0),LN(B1394/B1393),"")</x:f>
      </x:c>
      <x:c r="D1394" s="16" t="str">
        <x:f>IF(ISNUMBER(C1394),ABS(C1394),"")</x:f>
      </x:c>
      <x:c r="E1394" s="16" t="str">
        <x:f>IF(ISNUMBER(C1394),C1394^2,"")</x:f>
      </x:c>
      <x:c r="F1394" s="16" t="str">
        <x:f>IF(AND(ISNUMBER(C1394),ISNUMBER($J$6),$J$6&gt;0),(C1394-$J$5)/$J$6,"")</x:f>
      </x:c>
      <x:c r="G1394" s="1" t="str">
        <x:f>IF(ISNUMBER(F1394),IF(ABS(F1394)&gt;3,1,0),"")</x:f>
      </x:c>
      <x:c r="H1394" s="1" t="str">
        <x:f>IF(ISNUMBER(F1394),F1394^4,"")</x:f>
      </x:c>
      <x:c r="I1394" s="1"/>
      <x:c r="J1394" s="1"/>
      <x:c r="K1394" s="1"/>
      <x:c r="L1394" s="1"/>
      <x:c r="M1394" s="1"/>
      <x:c r="N1394" s="1"/>
    </x:row>
    <x:row r="1395" ht="22" customHeight="1">
      <x:c r="A1395" s="14"/>
      <x:c r="B1395" s="15"/>
      <x:c r="C1395" s="16" t="str">
        <x:f>IF(AND(ISNUMBER(B1395),ISNUMBER(B1394),B1395&gt;0,B1394&gt;0),LN(B1395/B1394),"")</x:f>
      </x:c>
      <x:c r="D1395" s="16" t="str">
        <x:f>IF(ISNUMBER(C1395),ABS(C1395),"")</x:f>
      </x:c>
      <x:c r="E1395" s="16" t="str">
        <x:f>IF(ISNUMBER(C1395),C1395^2,"")</x:f>
      </x:c>
      <x:c r="F1395" s="16" t="str">
        <x:f>IF(AND(ISNUMBER(C1395),ISNUMBER($J$6),$J$6&gt;0),(C1395-$J$5)/$J$6,"")</x:f>
      </x:c>
      <x:c r="G1395" s="1" t="str">
        <x:f>IF(ISNUMBER(F1395),IF(ABS(F1395)&gt;3,1,0),"")</x:f>
      </x:c>
      <x:c r="H1395" s="1" t="str">
        <x:f>IF(ISNUMBER(F1395),F1395^4,"")</x:f>
      </x:c>
      <x:c r="I1395" s="1"/>
      <x:c r="J1395" s="1"/>
      <x:c r="K1395" s="1"/>
      <x:c r="L1395" s="1"/>
      <x:c r="M1395" s="1"/>
      <x:c r="N1395" s="1"/>
    </x:row>
    <x:row r="1396" ht="22" customHeight="1">
      <x:c r="A1396" s="14"/>
      <x:c r="B1396" s="15"/>
      <x:c r="C1396" s="16" t="str">
        <x:f>IF(AND(ISNUMBER(B1396),ISNUMBER(B1395),B1396&gt;0,B1395&gt;0),LN(B1396/B1395),"")</x:f>
      </x:c>
      <x:c r="D1396" s="16" t="str">
        <x:f>IF(ISNUMBER(C1396),ABS(C1396),"")</x:f>
      </x:c>
      <x:c r="E1396" s="16" t="str">
        <x:f>IF(ISNUMBER(C1396),C1396^2,"")</x:f>
      </x:c>
      <x:c r="F1396" s="16" t="str">
        <x:f>IF(AND(ISNUMBER(C1396),ISNUMBER($J$6),$J$6&gt;0),(C1396-$J$5)/$J$6,"")</x:f>
      </x:c>
      <x:c r="G1396" s="1" t="str">
        <x:f>IF(ISNUMBER(F1396),IF(ABS(F1396)&gt;3,1,0),"")</x:f>
      </x:c>
      <x:c r="H1396" s="1" t="str">
        <x:f>IF(ISNUMBER(F1396),F1396^4,"")</x:f>
      </x:c>
      <x:c r="I1396" s="1"/>
      <x:c r="J1396" s="1"/>
      <x:c r="K1396" s="1"/>
      <x:c r="L1396" s="1"/>
      <x:c r="M1396" s="1"/>
      <x:c r="N1396" s="1"/>
    </x:row>
    <x:row r="1397" ht="22" customHeight="1">
      <x:c r="A1397" s="14"/>
      <x:c r="B1397" s="15"/>
      <x:c r="C1397" s="16" t="str">
        <x:f>IF(AND(ISNUMBER(B1397),ISNUMBER(B1396),B1397&gt;0,B1396&gt;0),LN(B1397/B1396),"")</x:f>
      </x:c>
      <x:c r="D1397" s="16" t="str">
        <x:f>IF(ISNUMBER(C1397),ABS(C1397),"")</x:f>
      </x:c>
      <x:c r="E1397" s="16" t="str">
        <x:f>IF(ISNUMBER(C1397),C1397^2,"")</x:f>
      </x:c>
      <x:c r="F1397" s="16" t="str">
        <x:f>IF(AND(ISNUMBER(C1397),ISNUMBER($J$6),$J$6&gt;0),(C1397-$J$5)/$J$6,"")</x:f>
      </x:c>
      <x:c r="G1397" s="1" t="str">
        <x:f>IF(ISNUMBER(F1397),IF(ABS(F1397)&gt;3,1,0),"")</x:f>
      </x:c>
      <x:c r="H1397" s="1" t="str">
        <x:f>IF(ISNUMBER(F1397),F1397^4,"")</x:f>
      </x:c>
      <x:c r="I1397" s="1"/>
      <x:c r="J1397" s="1"/>
      <x:c r="K1397" s="1"/>
      <x:c r="L1397" s="1"/>
      <x:c r="M1397" s="1"/>
      <x:c r="N1397" s="1"/>
    </x:row>
    <x:row r="1398" ht="22" customHeight="1">
      <x:c r="A1398" s="14"/>
      <x:c r="B1398" s="15"/>
      <x:c r="C1398" s="16" t="str">
        <x:f>IF(AND(ISNUMBER(B1398),ISNUMBER(B1397),B1398&gt;0,B1397&gt;0),LN(B1398/B1397),"")</x:f>
      </x:c>
      <x:c r="D1398" s="16" t="str">
        <x:f>IF(ISNUMBER(C1398),ABS(C1398),"")</x:f>
      </x:c>
      <x:c r="E1398" s="16" t="str">
        <x:f>IF(ISNUMBER(C1398),C1398^2,"")</x:f>
      </x:c>
      <x:c r="F1398" s="16" t="str">
        <x:f>IF(AND(ISNUMBER(C1398),ISNUMBER($J$6),$J$6&gt;0),(C1398-$J$5)/$J$6,"")</x:f>
      </x:c>
      <x:c r="G1398" s="1" t="str">
        <x:f>IF(ISNUMBER(F1398),IF(ABS(F1398)&gt;3,1,0),"")</x:f>
      </x:c>
      <x:c r="H1398" s="1" t="str">
        <x:f>IF(ISNUMBER(F1398),F1398^4,"")</x:f>
      </x:c>
      <x:c r="I1398" s="1"/>
      <x:c r="J1398" s="1"/>
      <x:c r="K1398" s="1"/>
      <x:c r="L1398" s="1"/>
      <x:c r="M1398" s="1"/>
      <x:c r="N1398" s="1"/>
    </x:row>
    <x:row r="1399" ht="22" customHeight="1">
      <x:c r="A1399" s="14"/>
      <x:c r="B1399" s="15"/>
      <x:c r="C1399" s="16" t="str">
        <x:f>IF(AND(ISNUMBER(B1399),ISNUMBER(B1398),B1399&gt;0,B1398&gt;0),LN(B1399/B1398),"")</x:f>
      </x:c>
      <x:c r="D1399" s="16" t="str">
        <x:f>IF(ISNUMBER(C1399),ABS(C1399),"")</x:f>
      </x:c>
      <x:c r="E1399" s="16" t="str">
        <x:f>IF(ISNUMBER(C1399),C1399^2,"")</x:f>
      </x:c>
      <x:c r="F1399" s="16" t="str">
        <x:f>IF(AND(ISNUMBER(C1399),ISNUMBER($J$6),$J$6&gt;0),(C1399-$J$5)/$J$6,"")</x:f>
      </x:c>
      <x:c r="G1399" s="1" t="str">
        <x:f>IF(ISNUMBER(F1399),IF(ABS(F1399)&gt;3,1,0),"")</x:f>
      </x:c>
      <x:c r="H1399" s="1" t="str">
        <x:f>IF(ISNUMBER(F1399),F1399^4,"")</x:f>
      </x:c>
      <x:c r="I1399" s="1"/>
      <x:c r="J1399" s="1"/>
      <x:c r="K1399" s="1"/>
      <x:c r="L1399" s="1"/>
      <x:c r="M1399" s="1"/>
      <x:c r="N1399" s="1"/>
    </x:row>
    <x:row r="1400" ht="22" customHeight="1">
      <x:c r="A1400" s="14"/>
      <x:c r="B1400" s="15"/>
      <x:c r="C1400" s="16" t="str">
        <x:f>IF(AND(ISNUMBER(B1400),ISNUMBER(B1399),B1400&gt;0,B1399&gt;0),LN(B1400/B1399),"")</x:f>
      </x:c>
      <x:c r="D1400" s="16" t="str">
        <x:f>IF(ISNUMBER(C1400),ABS(C1400),"")</x:f>
      </x:c>
      <x:c r="E1400" s="16" t="str">
        <x:f>IF(ISNUMBER(C1400),C1400^2,"")</x:f>
      </x:c>
      <x:c r="F1400" s="16" t="str">
        <x:f>IF(AND(ISNUMBER(C1400),ISNUMBER($J$6),$J$6&gt;0),(C1400-$J$5)/$J$6,"")</x:f>
      </x:c>
      <x:c r="G1400" s="1" t="str">
        <x:f>IF(ISNUMBER(F1400),IF(ABS(F1400)&gt;3,1,0),"")</x:f>
      </x:c>
      <x:c r="H1400" s="1" t="str">
        <x:f>IF(ISNUMBER(F1400),F1400^4,"")</x:f>
      </x:c>
      <x:c r="I1400" s="1"/>
      <x:c r="J1400" s="1"/>
      <x:c r="K1400" s="1"/>
      <x:c r="L1400" s="1"/>
      <x:c r="M1400" s="1"/>
      <x:c r="N1400" s="1"/>
    </x:row>
    <x:row r="1401" ht="22" customHeight="1">
      <x:c r="A1401" s="14"/>
      <x:c r="B1401" s="15"/>
      <x:c r="C1401" s="16" t="str">
        <x:f>IF(AND(ISNUMBER(B1401),ISNUMBER(B1400),B1401&gt;0,B1400&gt;0),LN(B1401/B1400),"")</x:f>
      </x:c>
      <x:c r="D1401" s="16" t="str">
        <x:f>IF(ISNUMBER(C1401),ABS(C1401),"")</x:f>
      </x:c>
      <x:c r="E1401" s="16" t="str">
        <x:f>IF(ISNUMBER(C1401),C1401^2,"")</x:f>
      </x:c>
      <x:c r="F1401" s="16" t="str">
        <x:f>IF(AND(ISNUMBER(C1401),ISNUMBER($J$6),$J$6&gt;0),(C1401-$J$5)/$J$6,"")</x:f>
      </x:c>
      <x:c r="G1401" s="1" t="str">
        <x:f>IF(ISNUMBER(F1401),IF(ABS(F1401)&gt;3,1,0),"")</x:f>
      </x:c>
      <x:c r="H1401" s="1" t="str">
        <x:f>IF(ISNUMBER(F1401),F1401^4,"")</x:f>
      </x:c>
      <x:c r="I1401" s="1"/>
      <x:c r="J1401" s="1"/>
      <x:c r="K1401" s="1"/>
      <x:c r="L1401" s="1"/>
      <x:c r="M1401" s="1"/>
      <x:c r="N1401" s="1"/>
    </x:row>
    <x:row r="1402" ht="22" customHeight="1">
      <x:c r="A1402" s="14"/>
      <x:c r="B1402" s="15"/>
      <x:c r="C1402" s="16" t="str">
        <x:f>IF(AND(ISNUMBER(B1402),ISNUMBER(B1401),B1402&gt;0,B1401&gt;0),LN(B1402/B1401),"")</x:f>
      </x:c>
      <x:c r="D1402" s="16" t="str">
        <x:f>IF(ISNUMBER(C1402),ABS(C1402),"")</x:f>
      </x:c>
      <x:c r="E1402" s="16" t="str">
        <x:f>IF(ISNUMBER(C1402),C1402^2,"")</x:f>
      </x:c>
      <x:c r="F1402" s="16" t="str">
        <x:f>IF(AND(ISNUMBER(C1402),ISNUMBER($J$6),$J$6&gt;0),(C1402-$J$5)/$J$6,"")</x:f>
      </x:c>
      <x:c r="G1402" s="1" t="str">
        <x:f>IF(ISNUMBER(F1402),IF(ABS(F1402)&gt;3,1,0),"")</x:f>
      </x:c>
      <x:c r="H1402" s="1" t="str">
        <x:f>IF(ISNUMBER(F1402),F1402^4,"")</x:f>
      </x:c>
      <x:c r="I1402" s="1"/>
      <x:c r="J1402" s="1"/>
      <x:c r="K1402" s="1"/>
      <x:c r="L1402" s="1"/>
      <x:c r="M1402" s="1"/>
      <x:c r="N1402" s="1"/>
    </x:row>
    <x:row r="1403" ht="22" customHeight="1">
      <x:c r="A1403" s="14"/>
      <x:c r="B1403" s="15"/>
      <x:c r="C1403" s="16" t="str">
        <x:f>IF(AND(ISNUMBER(B1403),ISNUMBER(B1402),B1403&gt;0,B1402&gt;0),LN(B1403/B1402),"")</x:f>
      </x:c>
      <x:c r="D1403" s="16" t="str">
        <x:f>IF(ISNUMBER(C1403),ABS(C1403),"")</x:f>
      </x:c>
      <x:c r="E1403" s="16" t="str">
        <x:f>IF(ISNUMBER(C1403),C1403^2,"")</x:f>
      </x:c>
      <x:c r="F1403" s="16" t="str">
        <x:f>IF(AND(ISNUMBER(C1403),ISNUMBER($J$6),$J$6&gt;0),(C1403-$J$5)/$J$6,"")</x:f>
      </x:c>
      <x:c r="G1403" s="1" t="str">
        <x:f>IF(ISNUMBER(F1403),IF(ABS(F1403)&gt;3,1,0),"")</x:f>
      </x:c>
      <x:c r="H1403" s="1" t="str">
        <x:f>IF(ISNUMBER(F1403),F1403^4,"")</x:f>
      </x:c>
      <x:c r="I1403" s="1"/>
      <x:c r="J1403" s="1"/>
      <x:c r="K1403" s="1"/>
      <x:c r="L1403" s="1"/>
      <x:c r="M1403" s="1"/>
      <x:c r="N1403" s="1"/>
    </x:row>
    <x:row r="1404" ht="22" customHeight="1">
      <x:c r="A1404" s="14"/>
      <x:c r="B1404" s="15"/>
      <x:c r="C1404" s="16" t="str">
        <x:f>IF(AND(ISNUMBER(B1404),ISNUMBER(B1403),B1404&gt;0,B1403&gt;0),LN(B1404/B1403),"")</x:f>
      </x:c>
      <x:c r="D1404" s="16" t="str">
        <x:f>IF(ISNUMBER(C1404),ABS(C1404),"")</x:f>
      </x:c>
      <x:c r="E1404" s="16" t="str">
        <x:f>IF(ISNUMBER(C1404),C1404^2,"")</x:f>
      </x:c>
      <x:c r="F1404" s="16" t="str">
        <x:f>IF(AND(ISNUMBER(C1404),ISNUMBER($J$6),$J$6&gt;0),(C1404-$J$5)/$J$6,"")</x:f>
      </x:c>
      <x:c r="G1404" s="1" t="str">
        <x:f>IF(ISNUMBER(F1404),IF(ABS(F1404)&gt;3,1,0),"")</x:f>
      </x:c>
      <x:c r="H1404" s="1" t="str">
        <x:f>IF(ISNUMBER(F1404),F1404^4,"")</x:f>
      </x:c>
      <x:c r="I1404" s="1"/>
      <x:c r="J1404" s="1"/>
      <x:c r="K1404" s="1"/>
      <x:c r="L1404" s="1"/>
      <x:c r="M1404" s="1"/>
      <x:c r="N1404" s="1"/>
    </x:row>
    <x:row r="1405" ht="22" customHeight="1">
      <x:c r="A1405" s="14"/>
      <x:c r="B1405" s="15"/>
      <x:c r="C1405" s="16" t="str">
        <x:f>IF(AND(ISNUMBER(B1405),ISNUMBER(B1404),B1405&gt;0,B1404&gt;0),LN(B1405/B1404),"")</x:f>
      </x:c>
      <x:c r="D1405" s="16" t="str">
        <x:f>IF(ISNUMBER(C1405),ABS(C1405),"")</x:f>
      </x:c>
      <x:c r="E1405" s="16" t="str">
        <x:f>IF(ISNUMBER(C1405),C1405^2,"")</x:f>
      </x:c>
      <x:c r="F1405" s="16" t="str">
        <x:f>IF(AND(ISNUMBER(C1405),ISNUMBER($J$6),$J$6&gt;0),(C1405-$J$5)/$J$6,"")</x:f>
      </x:c>
      <x:c r="G1405" s="1" t="str">
        <x:f>IF(ISNUMBER(F1405),IF(ABS(F1405)&gt;3,1,0),"")</x:f>
      </x:c>
      <x:c r="H1405" s="1" t="str">
        <x:f>IF(ISNUMBER(F1405),F1405^4,"")</x:f>
      </x:c>
      <x:c r="I1405" s="1"/>
      <x:c r="J1405" s="1"/>
      <x:c r="K1405" s="1"/>
      <x:c r="L1405" s="1"/>
      <x:c r="M1405" s="1"/>
      <x:c r="N1405" s="1"/>
    </x:row>
    <x:row r="1406" ht="22" customHeight="1">
      <x:c r="A1406" s="14"/>
      <x:c r="B1406" s="15"/>
      <x:c r="C1406" s="16" t="str">
        <x:f>IF(AND(ISNUMBER(B1406),ISNUMBER(B1405),B1406&gt;0,B1405&gt;0),LN(B1406/B1405),"")</x:f>
      </x:c>
      <x:c r="D1406" s="16" t="str">
        <x:f>IF(ISNUMBER(C1406),ABS(C1406),"")</x:f>
      </x:c>
      <x:c r="E1406" s="16" t="str">
        <x:f>IF(ISNUMBER(C1406),C1406^2,"")</x:f>
      </x:c>
      <x:c r="F1406" s="16" t="str">
        <x:f>IF(AND(ISNUMBER(C1406),ISNUMBER($J$6),$J$6&gt;0),(C1406-$J$5)/$J$6,"")</x:f>
      </x:c>
      <x:c r="G1406" s="1" t="str">
        <x:f>IF(ISNUMBER(F1406),IF(ABS(F1406)&gt;3,1,0),"")</x:f>
      </x:c>
      <x:c r="H1406" s="1" t="str">
        <x:f>IF(ISNUMBER(F1406),F1406^4,"")</x:f>
      </x:c>
      <x:c r="I1406" s="1"/>
      <x:c r="J1406" s="1"/>
      <x:c r="K1406" s="1"/>
      <x:c r="L1406" s="1"/>
      <x:c r="M1406" s="1"/>
      <x:c r="N1406" s="1"/>
    </x:row>
    <x:row r="1407" ht="22" customHeight="1">
      <x:c r="A1407" s="14"/>
      <x:c r="B1407" s="15"/>
      <x:c r="C1407" s="16" t="str">
        <x:f>IF(AND(ISNUMBER(B1407),ISNUMBER(B1406),B1407&gt;0,B1406&gt;0),LN(B1407/B1406),"")</x:f>
      </x:c>
      <x:c r="D1407" s="16" t="str">
        <x:f>IF(ISNUMBER(C1407),ABS(C1407),"")</x:f>
      </x:c>
      <x:c r="E1407" s="16" t="str">
        <x:f>IF(ISNUMBER(C1407),C1407^2,"")</x:f>
      </x:c>
      <x:c r="F1407" s="16" t="str">
        <x:f>IF(AND(ISNUMBER(C1407),ISNUMBER($J$6),$J$6&gt;0),(C1407-$J$5)/$J$6,"")</x:f>
      </x:c>
      <x:c r="G1407" s="1" t="str">
        <x:f>IF(ISNUMBER(F1407),IF(ABS(F1407)&gt;3,1,0),"")</x:f>
      </x:c>
      <x:c r="H1407" s="1" t="str">
        <x:f>IF(ISNUMBER(F1407),F1407^4,"")</x:f>
      </x:c>
      <x:c r="I1407" s="1"/>
      <x:c r="J1407" s="1"/>
      <x:c r="K1407" s="1"/>
      <x:c r="L1407" s="1"/>
      <x:c r="M1407" s="1"/>
      <x:c r="N1407" s="1"/>
    </x:row>
    <x:row r="1408" ht="22" customHeight="1">
      <x:c r="A1408" s="14"/>
      <x:c r="B1408" s="15"/>
      <x:c r="C1408" s="16" t="str">
        <x:f>IF(AND(ISNUMBER(B1408),ISNUMBER(B1407),B1408&gt;0,B1407&gt;0),LN(B1408/B1407),"")</x:f>
      </x:c>
      <x:c r="D1408" s="16" t="str">
        <x:f>IF(ISNUMBER(C1408),ABS(C1408),"")</x:f>
      </x:c>
      <x:c r="E1408" s="16" t="str">
        <x:f>IF(ISNUMBER(C1408),C1408^2,"")</x:f>
      </x:c>
      <x:c r="F1408" s="16" t="str">
        <x:f>IF(AND(ISNUMBER(C1408),ISNUMBER($J$6),$J$6&gt;0),(C1408-$J$5)/$J$6,"")</x:f>
      </x:c>
      <x:c r="G1408" s="1" t="str">
        <x:f>IF(ISNUMBER(F1408),IF(ABS(F1408)&gt;3,1,0),"")</x:f>
      </x:c>
      <x:c r="H1408" s="1" t="str">
        <x:f>IF(ISNUMBER(F1408),F1408^4,"")</x:f>
      </x:c>
      <x:c r="I1408" s="1"/>
      <x:c r="J1408" s="1"/>
      <x:c r="K1408" s="1"/>
      <x:c r="L1408" s="1"/>
      <x:c r="M1408" s="1"/>
      <x:c r="N1408" s="1"/>
    </x:row>
    <x:row r="1409" ht="22" customHeight="1">
      <x:c r="A1409" s="14"/>
      <x:c r="B1409" s="15"/>
      <x:c r="C1409" s="16" t="str">
        <x:f>IF(AND(ISNUMBER(B1409),ISNUMBER(B1408),B1409&gt;0,B1408&gt;0),LN(B1409/B1408),"")</x:f>
      </x:c>
      <x:c r="D1409" s="16" t="str">
        <x:f>IF(ISNUMBER(C1409),ABS(C1409),"")</x:f>
      </x:c>
      <x:c r="E1409" s="16" t="str">
        <x:f>IF(ISNUMBER(C1409),C1409^2,"")</x:f>
      </x:c>
      <x:c r="F1409" s="16" t="str">
        <x:f>IF(AND(ISNUMBER(C1409),ISNUMBER($J$6),$J$6&gt;0),(C1409-$J$5)/$J$6,"")</x:f>
      </x:c>
      <x:c r="G1409" s="1" t="str">
        <x:f>IF(ISNUMBER(F1409),IF(ABS(F1409)&gt;3,1,0),"")</x:f>
      </x:c>
      <x:c r="H1409" s="1" t="str">
        <x:f>IF(ISNUMBER(F1409),F1409^4,"")</x:f>
      </x:c>
      <x:c r="I1409" s="1"/>
      <x:c r="J1409" s="1"/>
      <x:c r="K1409" s="1"/>
      <x:c r="L1409" s="1"/>
      <x:c r="M1409" s="1"/>
      <x:c r="N1409" s="1"/>
    </x:row>
    <x:row r="1410" ht="22" customHeight="1">
      <x:c r="A1410" s="14"/>
      <x:c r="B1410" s="15"/>
      <x:c r="C1410" s="16" t="str">
        <x:f>IF(AND(ISNUMBER(B1410),ISNUMBER(B1409),B1410&gt;0,B1409&gt;0),LN(B1410/B1409),"")</x:f>
      </x:c>
      <x:c r="D1410" s="16" t="str">
        <x:f>IF(ISNUMBER(C1410),ABS(C1410),"")</x:f>
      </x:c>
      <x:c r="E1410" s="16" t="str">
        <x:f>IF(ISNUMBER(C1410),C1410^2,"")</x:f>
      </x:c>
      <x:c r="F1410" s="16" t="str">
        <x:f>IF(AND(ISNUMBER(C1410),ISNUMBER($J$6),$J$6&gt;0),(C1410-$J$5)/$J$6,"")</x:f>
      </x:c>
      <x:c r="G1410" s="1" t="str">
        <x:f>IF(ISNUMBER(F1410),IF(ABS(F1410)&gt;3,1,0),"")</x:f>
      </x:c>
      <x:c r="H1410" s="1" t="str">
        <x:f>IF(ISNUMBER(F1410),F1410^4,"")</x:f>
      </x:c>
      <x:c r="I1410" s="1"/>
      <x:c r="J1410" s="1"/>
      <x:c r="K1410" s="1"/>
      <x:c r="L1410" s="1"/>
      <x:c r="M1410" s="1"/>
      <x:c r="N1410" s="1"/>
    </x:row>
    <x:row r="1411" ht="22" customHeight="1">
      <x:c r="A1411" s="14"/>
      <x:c r="B1411" s="15"/>
      <x:c r="C1411" s="16" t="str">
        <x:f>IF(AND(ISNUMBER(B1411),ISNUMBER(B1410),B1411&gt;0,B1410&gt;0),LN(B1411/B1410),"")</x:f>
      </x:c>
      <x:c r="D1411" s="16" t="str">
        <x:f>IF(ISNUMBER(C1411),ABS(C1411),"")</x:f>
      </x:c>
      <x:c r="E1411" s="16" t="str">
        <x:f>IF(ISNUMBER(C1411),C1411^2,"")</x:f>
      </x:c>
      <x:c r="F1411" s="16" t="str">
        <x:f>IF(AND(ISNUMBER(C1411),ISNUMBER($J$6),$J$6&gt;0),(C1411-$J$5)/$J$6,"")</x:f>
      </x:c>
      <x:c r="G1411" s="1" t="str">
        <x:f>IF(ISNUMBER(F1411),IF(ABS(F1411)&gt;3,1,0),"")</x:f>
      </x:c>
      <x:c r="H1411" s="1" t="str">
        <x:f>IF(ISNUMBER(F1411),F1411^4,"")</x:f>
      </x:c>
      <x:c r="I1411" s="1"/>
      <x:c r="J1411" s="1"/>
      <x:c r="K1411" s="1"/>
      <x:c r="L1411" s="1"/>
      <x:c r="M1411" s="1"/>
      <x:c r="N1411" s="1"/>
    </x:row>
    <x:row r="1412" ht="22" customHeight="1">
      <x:c r="A1412" s="14"/>
      <x:c r="B1412" s="15"/>
      <x:c r="C1412" s="16" t="str">
        <x:f>IF(AND(ISNUMBER(B1412),ISNUMBER(B1411),B1412&gt;0,B1411&gt;0),LN(B1412/B1411),"")</x:f>
      </x:c>
      <x:c r="D1412" s="16" t="str">
        <x:f>IF(ISNUMBER(C1412),ABS(C1412),"")</x:f>
      </x:c>
      <x:c r="E1412" s="16" t="str">
        <x:f>IF(ISNUMBER(C1412),C1412^2,"")</x:f>
      </x:c>
      <x:c r="F1412" s="16" t="str">
        <x:f>IF(AND(ISNUMBER(C1412),ISNUMBER($J$6),$J$6&gt;0),(C1412-$J$5)/$J$6,"")</x:f>
      </x:c>
      <x:c r="G1412" s="1" t="str">
        <x:f>IF(ISNUMBER(F1412),IF(ABS(F1412)&gt;3,1,0),"")</x:f>
      </x:c>
      <x:c r="H1412" s="1" t="str">
        <x:f>IF(ISNUMBER(F1412),F1412^4,"")</x:f>
      </x:c>
      <x:c r="I1412" s="1"/>
      <x:c r="J1412" s="1"/>
      <x:c r="K1412" s="1"/>
      <x:c r="L1412" s="1"/>
      <x:c r="M1412" s="1"/>
      <x:c r="N1412" s="1"/>
    </x:row>
    <x:row r="1413" ht="22" customHeight="1">
      <x:c r="A1413" s="14"/>
      <x:c r="B1413" s="15"/>
      <x:c r="C1413" s="16" t="str">
        <x:f>IF(AND(ISNUMBER(B1413),ISNUMBER(B1412),B1413&gt;0,B1412&gt;0),LN(B1413/B1412),"")</x:f>
      </x:c>
      <x:c r="D1413" s="16" t="str">
        <x:f>IF(ISNUMBER(C1413),ABS(C1413),"")</x:f>
      </x:c>
      <x:c r="E1413" s="16" t="str">
        <x:f>IF(ISNUMBER(C1413),C1413^2,"")</x:f>
      </x:c>
      <x:c r="F1413" s="16" t="str">
        <x:f>IF(AND(ISNUMBER(C1413),ISNUMBER($J$6),$J$6&gt;0),(C1413-$J$5)/$J$6,"")</x:f>
      </x:c>
      <x:c r="G1413" s="1" t="str">
        <x:f>IF(ISNUMBER(F1413),IF(ABS(F1413)&gt;3,1,0),"")</x:f>
      </x:c>
      <x:c r="H1413" s="1" t="str">
        <x:f>IF(ISNUMBER(F1413),F1413^4,"")</x:f>
      </x:c>
      <x:c r="I1413" s="1"/>
      <x:c r="J1413" s="1"/>
      <x:c r="K1413" s="1"/>
      <x:c r="L1413" s="1"/>
      <x:c r="M1413" s="1"/>
      <x:c r="N1413" s="1"/>
    </x:row>
    <x:row r="1414" ht="22" customHeight="1">
      <x:c r="A1414" s="14"/>
      <x:c r="B1414" s="15"/>
      <x:c r="C1414" s="16" t="str">
        <x:f>IF(AND(ISNUMBER(B1414),ISNUMBER(B1413),B1414&gt;0,B1413&gt;0),LN(B1414/B1413),"")</x:f>
      </x:c>
      <x:c r="D1414" s="16" t="str">
        <x:f>IF(ISNUMBER(C1414),ABS(C1414),"")</x:f>
      </x:c>
      <x:c r="E1414" s="16" t="str">
        <x:f>IF(ISNUMBER(C1414),C1414^2,"")</x:f>
      </x:c>
      <x:c r="F1414" s="16" t="str">
        <x:f>IF(AND(ISNUMBER(C1414),ISNUMBER($J$6),$J$6&gt;0),(C1414-$J$5)/$J$6,"")</x:f>
      </x:c>
      <x:c r="G1414" s="1" t="str">
        <x:f>IF(ISNUMBER(F1414),IF(ABS(F1414)&gt;3,1,0),"")</x:f>
      </x:c>
      <x:c r="H1414" s="1" t="str">
        <x:f>IF(ISNUMBER(F1414),F1414^4,"")</x:f>
      </x:c>
      <x:c r="I1414" s="1"/>
      <x:c r="J1414" s="1"/>
      <x:c r="K1414" s="1"/>
      <x:c r="L1414" s="1"/>
      <x:c r="M1414" s="1"/>
      <x:c r="N1414" s="1"/>
    </x:row>
    <x:row r="1415" ht="22" customHeight="1">
      <x:c r="A1415" s="14"/>
      <x:c r="B1415" s="15"/>
      <x:c r="C1415" s="16" t="str">
        <x:f>IF(AND(ISNUMBER(B1415),ISNUMBER(B1414),B1415&gt;0,B1414&gt;0),LN(B1415/B1414),"")</x:f>
      </x:c>
      <x:c r="D1415" s="16" t="str">
        <x:f>IF(ISNUMBER(C1415),ABS(C1415),"")</x:f>
      </x:c>
      <x:c r="E1415" s="16" t="str">
        <x:f>IF(ISNUMBER(C1415),C1415^2,"")</x:f>
      </x:c>
      <x:c r="F1415" s="16" t="str">
        <x:f>IF(AND(ISNUMBER(C1415),ISNUMBER($J$6),$J$6&gt;0),(C1415-$J$5)/$J$6,"")</x:f>
      </x:c>
      <x:c r="G1415" s="1" t="str">
        <x:f>IF(ISNUMBER(F1415),IF(ABS(F1415)&gt;3,1,0),"")</x:f>
      </x:c>
      <x:c r="H1415" s="1" t="str">
        <x:f>IF(ISNUMBER(F1415),F1415^4,"")</x:f>
      </x:c>
      <x:c r="I1415" s="1"/>
      <x:c r="J1415" s="1"/>
      <x:c r="K1415" s="1"/>
      <x:c r="L1415" s="1"/>
      <x:c r="M1415" s="1"/>
      <x:c r="N1415" s="1"/>
    </x:row>
    <x:row r="1416" ht="22" customHeight="1">
      <x:c r="A1416" s="14"/>
      <x:c r="B1416" s="15"/>
      <x:c r="C1416" s="16" t="str">
        <x:f>IF(AND(ISNUMBER(B1416),ISNUMBER(B1415),B1416&gt;0,B1415&gt;0),LN(B1416/B1415),"")</x:f>
      </x:c>
      <x:c r="D1416" s="16" t="str">
        <x:f>IF(ISNUMBER(C1416),ABS(C1416),"")</x:f>
      </x:c>
      <x:c r="E1416" s="16" t="str">
        <x:f>IF(ISNUMBER(C1416),C1416^2,"")</x:f>
      </x:c>
      <x:c r="F1416" s="16" t="str">
        <x:f>IF(AND(ISNUMBER(C1416),ISNUMBER($J$6),$J$6&gt;0),(C1416-$J$5)/$J$6,"")</x:f>
      </x:c>
      <x:c r="G1416" s="1" t="str">
        <x:f>IF(ISNUMBER(F1416),IF(ABS(F1416)&gt;3,1,0),"")</x:f>
      </x:c>
      <x:c r="H1416" s="1" t="str">
        <x:f>IF(ISNUMBER(F1416),F1416^4,"")</x:f>
      </x:c>
      <x:c r="I1416" s="1"/>
      <x:c r="J1416" s="1"/>
      <x:c r="K1416" s="1"/>
      <x:c r="L1416" s="1"/>
      <x:c r="M1416" s="1"/>
      <x:c r="N1416" s="1"/>
    </x:row>
    <x:row r="1417" ht="22" customHeight="1">
      <x:c r="A1417" s="14"/>
      <x:c r="B1417" s="15"/>
      <x:c r="C1417" s="16" t="str">
        <x:f>IF(AND(ISNUMBER(B1417),ISNUMBER(B1416),B1417&gt;0,B1416&gt;0),LN(B1417/B1416),"")</x:f>
      </x:c>
      <x:c r="D1417" s="16" t="str">
        <x:f>IF(ISNUMBER(C1417),ABS(C1417),"")</x:f>
      </x:c>
      <x:c r="E1417" s="16" t="str">
        <x:f>IF(ISNUMBER(C1417),C1417^2,"")</x:f>
      </x:c>
      <x:c r="F1417" s="16" t="str">
        <x:f>IF(AND(ISNUMBER(C1417),ISNUMBER($J$6),$J$6&gt;0),(C1417-$J$5)/$J$6,"")</x:f>
      </x:c>
      <x:c r="G1417" s="1" t="str">
        <x:f>IF(ISNUMBER(F1417),IF(ABS(F1417)&gt;3,1,0),"")</x:f>
      </x:c>
      <x:c r="H1417" s="1" t="str">
        <x:f>IF(ISNUMBER(F1417),F1417^4,"")</x:f>
      </x:c>
      <x:c r="I1417" s="1"/>
      <x:c r="J1417" s="1"/>
      <x:c r="K1417" s="1"/>
      <x:c r="L1417" s="1"/>
      <x:c r="M1417" s="1"/>
      <x:c r="N1417" s="1"/>
    </x:row>
    <x:row r="1418" ht="22" customHeight="1">
      <x:c r="A1418" s="14"/>
      <x:c r="B1418" s="15"/>
      <x:c r="C1418" s="16" t="str">
        <x:f>IF(AND(ISNUMBER(B1418),ISNUMBER(B1417),B1418&gt;0,B1417&gt;0),LN(B1418/B1417),"")</x:f>
      </x:c>
      <x:c r="D1418" s="16" t="str">
        <x:f>IF(ISNUMBER(C1418),ABS(C1418),"")</x:f>
      </x:c>
      <x:c r="E1418" s="16" t="str">
        <x:f>IF(ISNUMBER(C1418),C1418^2,"")</x:f>
      </x:c>
      <x:c r="F1418" s="16" t="str">
        <x:f>IF(AND(ISNUMBER(C1418),ISNUMBER($J$6),$J$6&gt;0),(C1418-$J$5)/$J$6,"")</x:f>
      </x:c>
      <x:c r="G1418" s="1" t="str">
        <x:f>IF(ISNUMBER(F1418),IF(ABS(F1418)&gt;3,1,0),"")</x:f>
      </x:c>
      <x:c r="H1418" s="1" t="str">
        <x:f>IF(ISNUMBER(F1418),F1418^4,"")</x:f>
      </x:c>
      <x:c r="I1418" s="1"/>
      <x:c r="J1418" s="1"/>
      <x:c r="K1418" s="1"/>
      <x:c r="L1418" s="1"/>
      <x:c r="M1418" s="1"/>
      <x:c r="N1418" s="1"/>
    </x:row>
    <x:row r="1419" ht="22" customHeight="1">
      <x:c r="A1419" s="14"/>
      <x:c r="B1419" s="15"/>
      <x:c r="C1419" s="16" t="str">
        <x:f>IF(AND(ISNUMBER(B1419),ISNUMBER(B1418),B1419&gt;0,B1418&gt;0),LN(B1419/B1418),"")</x:f>
      </x:c>
      <x:c r="D1419" s="16" t="str">
        <x:f>IF(ISNUMBER(C1419),ABS(C1419),"")</x:f>
      </x:c>
      <x:c r="E1419" s="16" t="str">
        <x:f>IF(ISNUMBER(C1419),C1419^2,"")</x:f>
      </x:c>
      <x:c r="F1419" s="16" t="str">
        <x:f>IF(AND(ISNUMBER(C1419),ISNUMBER($J$6),$J$6&gt;0),(C1419-$J$5)/$J$6,"")</x:f>
      </x:c>
      <x:c r="G1419" s="1" t="str">
        <x:f>IF(ISNUMBER(F1419),IF(ABS(F1419)&gt;3,1,0),"")</x:f>
      </x:c>
      <x:c r="H1419" s="1" t="str">
        <x:f>IF(ISNUMBER(F1419),F1419^4,"")</x:f>
      </x:c>
      <x:c r="I1419" s="1"/>
      <x:c r="J1419" s="1"/>
      <x:c r="K1419" s="1"/>
      <x:c r="L1419" s="1"/>
      <x:c r="M1419" s="1"/>
      <x:c r="N1419" s="1"/>
    </x:row>
    <x:row r="1420" ht="22" customHeight="1">
      <x:c r="A1420" s="14"/>
      <x:c r="B1420" s="15"/>
      <x:c r="C1420" s="16" t="str">
        <x:f>IF(AND(ISNUMBER(B1420),ISNUMBER(B1419),B1420&gt;0,B1419&gt;0),LN(B1420/B1419),"")</x:f>
      </x:c>
      <x:c r="D1420" s="16" t="str">
        <x:f>IF(ISNUMBER(C1420),ABS(C1420),"")</x:f>
      </x:c>
      <x:c r="E1420" s="16" t="str">
        <x:f>IF(ISNUMBER(C1420),C1420^2,"")</x:f>
      </x:c>
      <x:c r="F1420" s="16" t="str">
        <x:f>IF(AND(ISNUMBER(C1420),ISNUMBER($J$6),$J$6&gt;0),(C1420-$J$5)/$J$6,"")</x:f>
      </x:c>
      <x:c r="G1420" s="1" t="str">
        <x:f>IF(ISNUMBER(F1420),IF(ABS(F1420)&gt;3,1,0),"")</x:f>
      </x:c>
      <x:c r="H1420" s="1" t="str">
        <x:f>IF(ISNUMBER(F1420),F1420^4,"")</x:f>
      </x:c>
      <x:c r="I1420" s="1"/>
      <x:c r="J1420" s="1"/>
      <x:c r="K1420" s="1"/>
      <x:c r="L1420" s="1"/>
      <x:c r="M1420" s="1"/>
      <x:c r="N1420" s="1"/>
    </x:row>
    <x:row r="1421" ht="22" customHeight="1">
      <x:c r="A1421" s="14"/>
      <x:c r="B1421" s="15"/>
      <x:c r="C1421" s="16" t="str">
        <x:f>IF(AND(ISNUMBER(B1421),ISNUMBER(B1420),B1421&gt;0,B1420&gt;0),LN(B1421/B1420),"")</x:f>
      </x:c>
      <x:c r="D1421" s="16" t="str">
        <x:f>IF(ISNUMBER(C1421),ABS(C1421),"")</x:f>
      </x:c>
      <x:c r="E1421" s="16" t="str">
        <x:f>IF(ISNUMBER(C1421),C1421^2,"")</x:f>
      </x:c>
      <x:c r="F1421" s="16" t="str">
        <x:f>IF(AND(ISNUMBER(C1421),ISNUMBER($J$6),$J$6&gt;0),(C1421-$J$5)/$J$6,"")</x:f>
      </x:c>
      <x:c r="G1421" s="1" t="str">
        <x:f>IF(ISNUMBER(F1421),IF(ABS(F1421)&gt;3,1,0),"")</x:f>
      </x:c>
      <x:c r="H1421" s="1" t="str">
        <x:f>IF(ISNUMBER(F1421),F1421^4,"")</x:f>
      </x:c>
      <x:c r="I1421" s="1"/>
      <x:c r="J1421" s="1"/>
      <x:c r="K1421" s="1"/>
      <x:c r="L1421" s="1"/>
      <x:c r="M1421" s="1"/>
      <x:c r="N1421" s="1"/>
    </x:row>
    <x:row r="1422" ht="22" customHeight="1">
      <x:c r="A1422" s="14"/>
      <x:c r="B1422" s="15"/>
      <x:c r="C1422" s="16" t="str">
        <x:f>IF(AND(ISNUMBER(B1422),ISNUMBER(B1421),B1422&gt;0,B1421&gt;0),LN(B1422/B1421),"")</x:f>
      </x:c>
      <x:c r="D1422" s="16" t="str">
        <x:f>IF(ISNUMBER(C1422),ABS(C1422),"")</x:f>
      </x:c>
      <x:c r="E1422" s="16" t="str">
        <x:f>IF(ISNUMBER(C1422),C1422^2,"")</x:f>
      </x:c>
      <x:c r="F1422" s="16" t="str">
        <x:f>IF(AND(ISNUMBER(C1422),ISNUMBER($J$6),$J$6&gt;0),(C1422-$J$5)/$J$6,"")</x:f>
      </x:c>
      <x:c r="G1422" s="1" t="str">
        <x:f>IF(ISNUMBER(F1422),IF(ABS(F1422)&gt;3,1,0),"")</x:f>
      </x:c>
      <x:c r="H1422" s="1" t="str">
        <x:f>IF(ISNUMBER(F1422),F1422^4,"")</x:f>
      </x:c>
      <x:c r="I1422" s="1"/>
      <x:c r="J1422" s="1"/>
      <x:c r="K1422" s="1"/>
      <x:c r="L1422" s="1"/>
      <x:c r="M1422" s="1"/>
      <x:c r="N1422" s="1"/>
    </x:row>
    <x:row r="1423" ht="22" customHeight="1">
      <x:c r="A1423" s="14"/>
      <x:c r="B1423" s="15"/>
      <x:c r="C1423" s="16" t="str">
        <x:f>IF(AND(ISNUMBER(B1423),ISNUMBER(B1422),B1423&gt;0,B1422&gt;0),LN(B1423/B1422),"")</x:f>
      </x:c>
      <x:c r="D1423" s="16" t="str">
        <x:f>IF(ISNUMBER(C1423),ABS(C1423),"")</x:f>
      </x:c>
      <x:c r="E1423" s="16" t="str">
        <x:f>IF(ISNUMBER(C1423),C1423^2,"")</x:f>
      </x:c>
      <x:c r="F1423" s="16" t="str">
        <x:f>IF(AND(ISNUMBER(C1423),ISNUMBER($J$6),$J$6&gt;0),(C1423-$J$5)/$J$6,"")</x:f>
      </x:c>
      <x:c r="G1423" s="1" t="str">
        <x:f>IF(ISNUMBER(F1423),IF(ABS(F1423)&gt;3,1,0),"")</x:f>
      </x:c>
      <x:c r="H1423" s="1" t="str">
        <x:f>IF(ISNUMBER(F1423),F1423^4,"")</x:f>
      </x:c>
      <x:c r="I1423" s="1"/>
      <x:c r="J1423" s="1"/>
      <x:c r="K1423" s="1"/>
      <x:c r="L1423" s="1"/>
      <x:c r="M1423" s="1"/>
      <x:c r="N1423" s="1"/>
    </x:row>
    <x:row r="1424" ht="22" customHeight="1">
      <x:c r="A1424" s="14"/>
      <x:c r="B1424" s="15"/>
      <x:c r="C1424" s="16" t="str">
        <x:f>IF(AND(ISNUMBER(B1424),ISNUMBER(B1423),B1424&gt;0,B1423&gt;0),LN(B1424/B1423),"")</x:f>
      </x:c>
      <x:c r="D1424" s="16" t="str">
        <x:f>IF(ISNUMBER(C1424),ABS(C1424),"")</x:f>
      </x:c>
      <x:c r="E1424" s="16" t="str">
        <x:f>IF(ISNUMBER(C1424),C1424^2,"")</x:f>
      </x:c>
      <x:c r="F1424" s="16" t="str">
        <x:f>IF(AND(ISNUMBER(C1424),ISNUMBER($J$6),$J$6&gt;0),(C1424-$J$5)/$J$6,"")</x:f>
      </x:c>
      <x:c r="G1424" s="1" t="str">
        <x:f>IF(ISNUMBER(F1424),IF(ABS(F1424)&gt;3,1,0),"")</x:f>
      </x:c>
      <x:c r="H1424" s="1" t="str">
        <x:f>IF(ISNUMBER(F1424),F1424^4,"")</x:f>
      </x:c>
      <x:c r="I1424" s="1"/>
      <x:c r="J1424" s="1"/>
      <x:c r="K1424" s="1"/>
      <x:c r="L1424" s="1"/>
      <x:c r="M1424" s="1"/>
      <x:c r="N1424" s="1"/>
    </x:row>
    <x:row r="1425" ht="22" customHeight="1">
      <x:c r="A1425" s="14"/>
      <x:c r="B1425" s="15"/>
      <x:c r="C1425" s="16" t="str">
        <x:f>IF(AND(ISNUMBER(B1425),ISNUMBER(B1424),B1425&gt;0,B1424&gt;0),LN(B1425/B1424),"")</x:f>
      </x:c>
      <x:c r="D1425" s="16" t="str">
        <x:f>IF(ISNUMBER(C1425),ABS(C1425),"")</x:f>
      </x:c>
      <x:c r="E1425" s="16" t="str">
        <x:f>IF(ISNUMBER(C1425),C1425^2,"")</x:f>
      </x:c>
      <x:c r="F1425" s="16" t="str">
        <x:f>IF(AND(ISNUMBER(C1425),ISNUMBER($J$6),$J$6&gt;0),(C1425-$J$5)/$J$6,"")</x:f>
      </x:c>
      <x:c r="G1425" s="1" t="str">
        <x:f>IF(ISNUMBER(F1425),IF(ABS(F1425)&gt;3,1,0),"")</x:f>
      </x:c>
      <x:c r="H1425" s="1" t="str">
        <x:f>IF(ISNUMBER(F1425),F1425^4,"")</x:f>
      </x:c>
      <x:c r="I1425" s="1"/>
      <x:c r="J1425" s="1"/>
      <x:c r="K1425" s="1"/>
      <x:c r="L1425" s="1"/>
      <x:c r="M1425" s="1"/>
      <x:c r="N1425" s="1"/>
    </x:row>
    <x:row r="1426" ht="22" customHeight="1">
      <x:c r="A1426" s="14"/>
      <x:c r="B1426" s="15"/>
      <x:c r="C1426" s="16" t="str">
        <x:f>IF(AND(ISNUMBER(B1426),ISNUMBER(B1425),B1426&gt;0,B1425&gt;0),LN(B1426/B1425),"")</x:f>
      </x:c>
      <x:c r="D1426" s="16" t="str">
        <x:f>IF(ISNUMBER(C1426),ABS(C1426),"")</x:f>
      </x:c>
      <x:c r="E1426" s="16" t="str">
        <x:f>IF(ISNUMBER(C1426),C1426^2,"")</x:f>
      </x:c>
      <x:c r="F1426" s="16" t="str">
        <x:f>IF(AND(ISNUMBER(C1426),ISNUMBER($J$6),$J$6&gt;0),(C1426-$J$5)/$J$6,"")</x:f>
      </x:c>
      <x:c r="G1426" s="1" t="str">
        <x:f>IF(ISNUMBER(F1426),IF(ABS(F1426)&gt;3,1,0),"")</x:f>
      </x:c>
      <x:c r="H1426" s="1" t="str">
        <x:f>IF(ISNUMBER(F1426),F1426^4,"")</x:f>
      </x:c>
      <x:c r="I1426" s="1"/>
      <x:c r="J1426" s="1"/>
      <x:c r="K1426" s="1"/>
      <x:c r="L1426" s="1"/>
      <x:c r="M1426" s="1"/>
      <x:c r="N1426" s="1"/>
    </x:row>
    <x:row r="1427" ht="22" customHeight="1">
      <x:c r="A1427" s="14"/>
      <x:c r="B1427" s="15"/>
      <x:c r="C1427" s="16" t="str">
        <x:f>IF(AND(ISNUMBER(B1427),ISNUMBER(B1426),B1427&gt;0,B1426&gt;0),LN(B1427/B1426),"")</x:f>
      </x:c>
      <x:c r="D1427" s="16" t="str">
        <x:f>IF(ISNUMBER(C1427),ABS(C1427),"")</x:f>
      </x:c>
      <x:c r="E1427" s="16" t="str">
        <x:f>IF(ISNUMBER(C1427),C1427^2,"")</x:f>
      </x:c>
      <x:c r="F1427" s="16" t="str">
        <x:f>IF(AND(ISNUMBER(C1427),ISNUMBER($J$6),$J$6&gt;0),(C1427-$J$5)/$J$6,"")</x:f>
      </x:c>
      <x:c r="G1427" s="1" t="str">
        <x:f>IF(ISNUMBER(F1427),IF(ABS(F1427)&gt;3,1,0),"")</x:f>
      </x:c>
      <x:c r="H1427" s="1" t="str">
        <x:f>IF(ISNUMBER(F1427),F1427^4,"")</x:f>
      </x:c>
      <x:c r="I1427" s="1"/>
      <x:c r="J1427" s="1"/>
      <x:c r="K1427" s="1"/>
      <x:c r="L1427" s="1"/>
      <x:c r="M1427" s="1"/>
      <x:c r="N1427" s="1"/>
    </x:row>
    <x:row r="1428" ht="22" customHeight="1">
      <x:c r="A1428" s="14"/>
      <x:c r="B1428" s="15"/>
      <x:c r="C1428" s="16" t="str">
        <x:f>IF(AND(ISNUMBER(B1428),ISNUMBER(B1427),B1428&gt;0,B1427&gt;0),LN(B1428/B1427),"")</x:f>
      </x:c>
      <x:c r="D1428" s="16" t="str">
        <x:f>IF(ISNUMBER(C1428),ABS(C1428),"")</x:f>
      </x:c>
      <x:c r="E1428" s="16" t="str">
        <x:f>IF(ISNUMBER(C1428),C1428^2,"")</x:f>
      </x:c>
      <x:c r="F1428" s="16" t="str">
        <x:f>IF(AND(ISNUMBER(C1428),ISNUMBER($J$6),$J$6&gt;0),(C1428-$J$5)/$J$6,"")</x:f>
      </x:c>
      <x:c r="G1428" s="1" t="str">
        <x:f>IF(ISNUMBER(F1428),IF(ABS(F1428)&gt;3,1,0),"")</x:f>
      </x:c>
      <x:c r="H1428" s="1" t="str">
        <x:f>IF(ISNUMBER(F1428),F1428^4,"")</x:f>
      </x:c>
      <x:c r="I1428" s="1"/>
      <x:c r="J1428" s="1"/>
      <x:c r="K1428" s="1"/>
      <x:c r="L1428" s="1"/>
      <x:c r="M1428" s="1"/>
      <x:c r="N1428" s="1"/>
    </x:row>
    <x:row r="1429" ht="22" customHeight="1">
      <x:c r="A1429" s="14"/>
      <x:c r="B1429" s="15"/>
      <x:c r="C1429" s="16" t="str">
        <x:f>IF(AND(ISNUMBER(B1429),ISNUMBER(B1428),B1429&gt;0,B1428&gt;0),LN(B1429/B1428),"")</x:f>
      </x:c>
      <x:c r="D1429" s="16" t="str">
        <x:f>IF(ISNUMBER(C1429),ABS(C1429),"")</x:f>
      </x:c>
      <x:c r="E1429" s="16" t="str">
        <x:f>IF(ISNUMBER(C1429),C1429^2,"")</x:f>
      </x:c>
      <x:c r="F1429" s="16" t="str">
        <x:f>IF(AND(ISNUMBER(C1429),ISNUMBER($J$6),$J$6&gt;0),(C1429-$J$5)/$J$6,"")</x:f>
      </x:c>
      <x:c r="G1429" s="1" t="str">
        <x:f>IF(ISNUMBER(F1429),IF(ABS(F1429)&gt;3,1,0),"")</x:f>
      </x:c>
      <x:c r="H1429" s="1" t="str">
        <x:f>IF(ISNUMBER(F1429),F1429^4,"")</x:f>
      </x:c>
      <x:c r="I1429" s="1"/>
      <x:c r="J1429" s="1"/>
      <x:c r="K1429" s="1"/>
      <x:c r="L1429" s="1"/>
      <x:c r="M1429" s="1"/>
      <x:c r="N1429" s="1"/>
    </x:row>
    <x:row r="1430" ht="22" customHeight="1">
      <x:c r="A1430" s="14"/>
      <x:c r="B1430" s="15"/>
      <x:c r="C1430" s="16" t="str">
        <x:f>IF(AND(ISNUMBER(B1430),ISNUMBER(B1429),B1430&gt;0,B1429&gt;0),LN(B1430/B1429),"")</x:f>
      </x:c>
      <x:c r="D1430" s="16" t="str">
        <x:f>IF(ISNUMBER(C1430),ABS(C1430),"")</x:f>
      </x:c>
      <x:c r="E1430" s="16" t="str">
        <x:f>IF(ISNUMBER(C1430),C1430^2,"")</x:f>
      </x:c>
      <x:c r="F1430" s="16" t="str">
        <x:f>IF(AND(ISNUMBER(C1430),ISNUMBER($J$6),$J$6&gt;0),(C1430-$J$5)/$J$6,"")</x:f>
      </x:c>
      <x:c r="G1430" s="1" t="str">
        <x:f>IF(ISNUMBER(F1430),IF(ABS(F1430)&gt;3,1,0),"")</x:f>
      </x:c>
      <x:c r="H1430" s="1" t="str">
        <x:f>IF(ISNUMBER(F1430),F1430^4,"")</x:f>
      </x:c>
      <x:c r="I1430" s="1"/>
      <x:c r="J1430" s="1"/>
      <x:c r="K1430" s="1"/>
      <x:c r="L1430" s="1"/>
      <x:c r="M1430" s="1"/>
      <x:c r="N1430" s="1"/>
    </x:row>
    <x:row r="1431" ht="22" customHeight="1">
      <x:c r="A1431" s="14"/>
      <x:c r="B1431" s="15"/>
      <x:c r="C1431" s="16" t="str">
        <x:f>IF(AND(ISNUMBER(B1431),ISNUMBER(B1430),B1431&gt;0,B1430&gt;0),LN(B1431/B1430),"")</x:f>
      </x:c>
      <x:c r="D1431" s="16" t="str">
        <x:f>IF(ISNUMBER(C1431),ABS(C1431),"")</x:f>
      </x:c>
      <x:c r="E1431" s="16" t="str">
        <x:f>IF(ISNUMBER(C1431),C1431^2,"")</x:f>
      </x:c>
      <x:c r="F1431" s="16" t="str">
        <x:f>IF(AND(ISNUMBER(C1431),ISNUMBER($J$6),$J$6&gt;0),(C1431-$J$5)/$J$6,"")</x:f>
      </x:c>
      <x:c r="G1431" s="1" t="str">
        <x:f>IF(ISNUMBER(F1431),IF(ABS(F1431)&gt;3,1,0),"")</x:f>
      </x:c>
      <x:c r="H1431" s="1" t="str">
        <x:f>IF(ISNUMBER(F1431),F1431^4,"")</x:f>
      </x:c>
      <x:c r="I1431" s="1"/>
      <x:c r="J1431" s="1"/>
      <x:c r="K1431" s="1"/>
      <x:c r="L1431" s="1"/>
      <x:c r="M1431" s="1"/>
      <x:c r="N1431" s="1"/>
    </x:row>
    <x:row r="1432" ht="22" customHeight="1">
      <x:c r="A1432" s="14"/>
      <x:c r="B1432" s="15"/>
      <x:c r="C1432" s="16" t="str">
        <x:f>IF(AND(ISNUMBER(B1432),ISNUMBER(B1431),B1432&gt;0,B1431&gt;0),LN(B1432/B1431),"")</x:f>
      </x:c>
      <x:c r="D1432" s="16" t="str">
        <x:f>IF(ISNUMBER(C1432),ABS(C1432),"")</x:f>
      </x:c>
      <x:c r="E1432" s="16" t="str">
        <x:f>IF(ISNUMBER(C1432),C1432^2,"")</x:f>
      </x:c>
      <x:c r="F1432" s="16" t="str">
        <x:f>IF(AND(ISNUMBER(C1432),ISNUMBER($J$6),$J$6&gt;0),(C1432-$J$5)/$J$6,"")</x:f>
      </x:c>
      <x:c r="G1432" s="1" t="str">
        <x:f>IF(ISNUMBER(F1432),IF(ABS(F1432)&gt;3,1,0),"")</x:f>
      </x:c>
      <x:c r="H1432" s="1" t="str">
        <x:f>IF(ISNUMBER(F1432),F1432^4,"")</x:f>
      </x:c>
      <x:c r="I1432" s="1"/>
      <x:c r="J1432" s="1"/>
      <x:c r="K1432" s="1"/>
      <x:c r="L1432" s="1"/>
      <x:c r="M1432" s="1"/>
      <x:c r="N1432" s="1"/>
    </x:row>
    <x:row r="1433" ht="22" customHeight="1">
      <x:c r="A1433" s="14"/>
      <x:c r="B1433" s="15"/>
      <x:c r="C1433" s="16" t="str">
        <x:f>IF(AND(ISNUMBER(B1433),ISNUMBER(B1432),B1433&gt;0,B1432&gt;0),LN(B1433/B1432),"")</x:f>
      </x:c>
      <x:c r="D1433" s="16" t="str">
        <x:f>IF(ISNUMBER(C1433),ABS(C1433),"")</x:f>
      </x:c>
      <x:c r="E1433" s="16" t="str">
        <x:f>IF(ISNUMBER(C1433),C1433^2,"")</x:f>
      </x:c>
      <x:c r="F1433" s="16" t="str">
        <x:f>IF(AND(ISNUMBER(C1433),ISNUMBER($J$6),$J$6&gt;0),(C1433-$J$5)/$J$6,"")</x:f>
      </x:c>
      <x:c r="G1433" s="1" t="str">
        <x:f>IF(ISNUMBER(F1433),IF(ABS(F1433)&gt;3,1,0),"")</x:f>
      </x:c>
      <x:c r="H1433" s="1" t="str">
        <x:f>IF(ISNUMBER(F1433),F1433^4,"")</x:f>
      </x:c>
      <x:c r="I1433" s="1"/>
      <x:c r="J1433" s="1"/>
      <x:c r="K1433" s="1"/>
      <x:c r="L1433" s="1"/>
      <x:c r="M1433" s="1"/>
      <x:c r="N1433" s="1"/>
    </x:row>
    <x:row r="1434" ht="22" customHeight="1">
      <x:c r="A1434" s="14"/>
      <x:c r="B1434" s="15"/>
      <x:c r="C1434" s="16" t="str">
        <x:f>IF(AND(ISNUMBER(B1434),ISNUMBER(B1433),B1434&gt;0,B1433&gt;0),LN(B1434/B1433),"")</x:f>
      </x:c>
      <x:c r="D1434" s="16" t="str">
        <x:f>IF(ISNUMBER(C1434),ABS(C1434),"")</x:f>
      </x:c>
      <x:c r="E1434" s="16" t="str">
        <x:f>IF(ISNUMBER(C1434),C1434^2,"")</x:f>
      </x:c>
      <x:c r="F1434" s="16" t="str">
        <x:f>IF(AND(ISNUMBER(C1434),ISNUMBER($J$6),$J$6&gt;0),(C1434-$J$5)/$J$6,"")</x:f>
      </x:c>
      <x:c r="G1434" s="1" t="str">
        <x:f>IF(ISNUMBER(F1434),IF(ABS(F1434)&gt;3,1,0),"")</x:f>
      </x:c>
      <x:c r="H1434" s="1" t="str">
        <x:f>IF(ISNUMBER(F1434),F1434^4,"")</x:f>
      </x:c>
      <x:c r="I1434" s="1"/>
      <x:c r="J1434" s="1"/>
      <x:c r="K1434" s="1"/>
      <x:c r="L1434" s="1"/>
      <x:c r="M1434" s="1"/>
      <x:c r="N1434" s="1"/>
    </x:row>
    <x:row r="1435" ht="22" customHeight="1">
      <x:c r="A1435" s="14"/>
      <x:c r="B1435" s="15"/>
      <x:c r="C1435" s="16" t="str">
        <x:f>IF(AND(ISNUMBER(B1435),ISNUMBER(B1434),B1435&gt;0,B1434&gt;0),LN(B1435/B1434),"")</x:f>
      </x:c>
      <x:c r="D1435" s="16" t="str">
        <x:f>IF(ISNUMBER(C1435),ABS(C1435),"")</x:f>
      </x:c>
      <x:c r="E1435" s="16" t="str">
        <x:f>IF(ISNUMBER(C1435),C1435^2,"")</x:f>
      </x:c>
      <x:c r="F1435" s="16" t="str">
        <x:f>IF(AND(ISNUMBER(C1435),ISNUMBER($J$6),$J$6&gt;0),(C1435-$J$5)/$J$6,"")</x:f>
      </x:c>
      <x:c r="G1435" s="1" t="str">
        <x:f>IF(ISNUMBER(F1435),IF(ABS(F1435)&gt;3,1,0),"")</x:f>
      </x:c>
      <x:c r="H1435" s="1" t="str">
        <x:f>IF(ISNUMBER(F1435),F1435^4,"")</x:f>
      </x:c>
      <x:c r="I1435" s="1"/>
      <x:c r="J1435" s="1"/>
      <x:c r="K1435" s="1"/>
      <x:c r="L1435" s="1"/>
      <x:c r="M1435" s="1"/>
      <x:c r="N1435" s="1"/>
    </x:row>
    <x:row r="1436" ht="22" customHeight="1">
      <x:c r="A1436" s="14"/>
      <x:c r="B1436" s="15"/>
      <x:c r="C1436" s="16" t="str">
        <x:f>IF(AND(ISNUMBER(B1436),ISNUMBER(B1435),B1436&gt;0,B1435&gt;0),LN(B1436/B1435),"")</x:f>
      </x:c>
      <x:c r="D1436" s="16" t="str">
        <x:f>IF(ISNUMBER(C1436),ABS(C1436),"")</x:f>
      </x:c>
      <x:c r="E1436" s="16" t="str">
        <x:f>IF(ISNUMBER(C1436),C1436^2,"")</x:f>
      </x:c>
      <x:c r="F1436" s="16" t="str">
        <x:f>IF(AND(ISNUMBER(C1436),ISNUMBER($J$6),$J$6&gt;0),(C1436-$J$5)/$J$6,"")</x:f>
      </x:c>
      <x:c r="G1436" s="1" t="str">
        <x:f>IF(ISNUMBER(F1436),IF(ABS(F1436)&gt;3,1,0),"")</x:f>
      </x:c>
      <x:c r="H1436" s="1" t="str">
        <x:f>IF(ISNUMBER(F1436),F1436^4,"")</x:f>
      </x:c>
      <x:c r="I1436" s="1"/>
      <x:c r="J1436" s="1"/>
      <x:c r="K1436" s="1"/>
      <x:c r="L1436" s="1"/>
      <x:c r="M1436" s="1"/>
      <x:c r="N1436" s="1"/>
    </x:row>
    <x:row r="1437" ht="22" customHeight="1">
      <x:c r="A1437" s="14"/>
      <x:c r="B1437" s="15"/>
      <x:c r="C1437" s="16" t="str">
        <x:f>IF(AND(ISNUMBER(B1437),ISNUMBER(B1436),B1437&gt;0,B1436&gt;0),LN(B1437/B1436),"")</x:f>
      </x:c>
      <x:c r="D1437" s="16" t="str">
        <x:f>IF(ISNUMBER(C1437),ABS(C1437),"")</x:f>
      </x:c>
      <x:c r="E1437" s="16" t="str">
        <x:f>IF(ISNUMBER(C1437),C1437^2,"")</x:f>
      </x:c>
      <x:c r="F1437" s="16" t="str">
        <x:f>IF(AND(ISNUMBER(C1437),ISNUMBER($J$6),$J$6&gt;0),(C1437-$J$5)/$J$6,"")</x:f>
      </x:c>
      <x:c r="G1437" s="1" t="str">
        <x:f>IF(ISNUMBER(F1437),IF(ABS(F1437)&gt;3,1,0),"")</x:f>
      </x:c>
      <x:c r="H1437" s="1" t="str">
        <x:f>IF(ISNUMBER(F1437),F1437^4,"")</x:f>
      </x:c>
      <x:c r="I1437" s="1"/>
      <x:c r="J1437" s="1"/>
      <x:c r="K1437" s="1"/>
      <x:c r="L1437" s="1"/>
      <x:c r="M1437" s="1"/>
      <x:c r="N1437" s="1"/>
    </x:row>
    <x:row r="1438" ht="22" customHeight="1">
      <x:c r="A1438" s="14"/>
      <x:c r="B1438" s="15"/>
      <x:c r="C1438" s="16" t="str">
        <x:f>IF(AND(ISNUMBER(B1438),ISNUMBER(B1437),B1438&gt;0,B1437&gt;0),LN(B1438/B1437),"")</x:f>
      </x:c>
      <x:c r="D1438" s="16" t="str">
        <x:f>IF(ISNUMBER(C1438),ABS(C1438),"")</x:f>
      </x:c>
      <x:c r="E1438" s="16" t="str">
        <x:f>IF(ISNUMBER(C1438),C1438^2,"")</x:f>
      </x:c>
      <x:c r="F1438" s="16" t="str">
        <x:f>IF(AND(ISNUMBER(C1438),ISNUMBER($J$6),$J$6&gt;0),(C1438-$J$5)/$J$6,"")</x:f>
      </x:c>
      <x:c r="G1438" s="1" t="str">
        <x:f>IF(ISNUMBER(F1438),IF(ABS(F1438)&gt;3,1,0),"")</x:f>
      </x:c>
      <x:c r="H1438" s="1" t="str">
        <x:f>IF(ISNUMBER(F1438),F1438^4,"")</x:f>
      </x:c>
      <x:c r="I1438" s="1"/>
      <x:c r="J1438" s="1"/>
      <x:c r="K1438" s="1"/>
      <x:c r="L1438" s="1"/>
      <x:c r="M1438" s="1"/>
      <x:c r="N1438" s="1"/>
    </x:row>
    <x:row r="1439" ht="22" customHeight="1">
      <x:c r="A1439" s="14"/>
      <x:c r="B1439" s="15"/>
      <x:c r="C1439" s="16" t="str">
        <x:f>IF(AND(ISNUMBER(B1439),ISNUMBER(B1438),B1439&gt;0,B1438&gt;0),LN(B1439/B1438),"")</x:f>
      </x:c>
      <x:c r="D1439" s="16" t="str">
        <x:f>IF(ISNUMBER(C1439),ABS(C1439),"")</x:f>
      </x:c>
      <x:c r="E1439" s="16" t="str">
        <x:f>IF(ISNUMBER(C1439),C1439^2,"")</x:f>
      </x:c>
      <x:c r="F1439" s="16" t="str">
        <x:f>IF(AND(ISNUMBER(C1439),ISNUMBER($J$6),$J$6&gt;0),(C1439-$J$5)/$J$6,"")</x:f>
      </x:c>
      <x:c r="G1439" s="1" t="str">
        <x:f>IF(ISNUMBER(F1439),IF(ABS(F1439)&gt;3,1,0),"")</x:f>
      </x:c>
      <x:c r="H1439" s="1" t="str">
        <x:f>IF(ISNUMBER(F1439),F1439^4,"")</x:f>
      </x:c>
      <x:c r="I1439" s="1"/>
      <x:c r="J1439" s="1"/>
      <x:c r="K1439" s="1"/>
      <x:c r="L1439" s="1"/>
      <x:c r="M1439" s="1"/>
      <x:c r="N1439" s="1"/>
    </x:row>
    <x:row r="1440" ht="22" customHeight="1">
      <x:c r="A1440" s="14"/>
      <x:c r="B1440" s="15"/>
      <x:c r="C1440" s="16" t="str">
        <x:f>IF(AND(ISNUMBER(B1440),ISNUMBER(B1439),B1440&gt;0,B1439&gt;0),LN(B1440/B1439),"")</x:f>
      </x:c>
      <x:c r="D1440" s="16" t="str">
        <x:f>IF(ISNUMBER(C1440),ABS(C1440),"")</x:f>
      </x:c>
      <x:c r="E1440" s="16" t="str">
        <x:f>IF(ISNUMBER(C1440),C1440^2,"")</x:f>
      </x:c>
      <x:c r="F1440" s="16" t="str">
        <x:f>IF(AND(ISNUMBER(C1440),ISNUMBER($J$6),$J$6&gt;0),(C1440-$J$5)/$J$6,"")</x:f>
      </x:c>
      <x:c r="G1440" s="1" t="str">
        <x:f>IF(ISNUMBER(F1440),IF(ABS(F1440)&gt;3,1,0),"")</x:f>
      </x:c>
      <x:c r="H1440" s="1" t="str">
        <x:f>IF(ISNUMBER(F1440),F1440^4,"")</x:f>
      </x:c>
      <x:c r="I1440" s="1"/>
      <x:c r="J1440" s="1"/>
      <x:c r="K1440" s="1"/>
      <x:c r="L1440" s="1"/>
      <x:c r="M1440" s="1"/>
      <x:c r="N1440" s="1"/>
    </x:row>
    <x:row r="1441" ht="22" customHeight="1">
      <x:c r="A1441" s="14"/>
      <x:c r="B1441" s="15"/>
      <x:c r="C1441" s="16" t="str">
        <x:f>IF(AND(ISNUMBER(B1441),ISNUMBER(B1440),B1441&gt;0,B1440&gt;0),LN(B1441/B1440),"")</x:f>
      </x:c>
      <x:c r="D1441" s="16" t="str">
        <x:f>IF(ISNUMBER(C1441),ABS(C1441),"")</x:f>
      </x:c>
      <x:c r="E1441" s="16" t="str">
        <x:f>IF(ISNUMBER(C1441),C1441^2,"")</x:f>
      </x:c>
      <x:c r="F1441" s="16" t="str">
        <x:f>IF(AND(ISNUMBER(C1441),ISNUMBER($J$6),$J$6&gt;0),(C1441-$J$5)/$J$6,"")</x:f>
      </x:c>
      <x:c r="G1441" s="1" t="str">
        <x:f>IF(ISNUMBER(F1441),IF(ABS(F1441)&gt;3,1,0),"")</x:f>
      </x:c>
      <x:c r="H1441" s="1" t="str">
        <x:f>IF(ISNUMBER(F1441),F1441^4,"")</x:f>
      </x:c>
      <x:c r="I1441" s="1"/>
      <x:c r="J1441" s="1"/>
      <x:c r="K1441" s="1"/>
      <x:c r="L1441" s="1"/>
      <x:c r="M1441" s="1"/>
      <x:c r="N1441" s="1"/>
    </x:row>
    <x:row r="1442" ht="22" customHeight="1">
      <x:c r="A1442" s="14"/>
      <x:c r="B1442" s="15"/>
      <x:c r="C1442" s="16" t="str">
        <x:f>IF(AND(ISNUMBER(B1442),ISNUMBER(B1441),B1442&gt;0,B1441&gt;0),LN(B1442/B1441),"")</x:f>
      </x:c>
      <x:c r="D1442" s="16" t="str">
        <x:f>IF(ISNUMBER(C1442),ABS(C1442),"")</x:f>
      </x:c>
      <x:c r="E1442" s="16" t="str">
        <x:f>IF(ISNUMBER(C1442),C1442^2,"")</x:f>
      </x:c>
      <x:c r="F1442" s="16" t="str">
        <x:f>IF(AND(ISNUMBER(C1442),ISNUMBER($J$6),$J$6&gt;0),(C1442-$J$5)/$J$6,"")</x:f>
      </x:c>
      <x:c r="G1442" s="1" t="str">
        <x:f>IF(ISNUMBER(F1442),IF(ABS(F1442)&gt;3,1,0),"")</x:f>
      </x:c>
      <x:c r="H1442" s="1" t="str">
        <x:f>IF(ISNUMBER(F1442),F1442^4,"")</x:f>
      </x:c>
      <x:c r="I1442" s="1"/>
      <x:c r="J1442" s="1"/>
      <x:c r="K1442" s="1"/>
      <x:c r="L1442" s="1"/>
      <x:c r="M1442" s="1"/>
      <x:c r="N1442" s="1"/>
    </x:row>
    <x:row r="1443" ht="22" customHeight="1">
      <x:c r="A1443" s="14"/>
      <x:c r="B1443" s="15"/>
      <x:c r="C1443" s="16" t="str">
        <x:f>IF(AND(ISNUMBER(B1443),ISNUMBER(B1442),B1443&gt;0,B1442&gt;0),LN(B1443/B1442),"")</x:f>
      </x:c>
      <x:c r="D1443" s="16" t="str">
        <x:f>IF(ISNUMBER(C1443),ABS(C1443),"")</x:f>
      </x:c>
      <x:c r="E1443" s="16" t="str">
        <x:f>IF(ISNUMBER(C1443),C1443^2,"")</x:f>
      </x:c>
      <x:c r="F1443" s="16" t="str">
        <x:f>IF(AND(ISNUMBER(C1443),ISNUMBER($J$6),$J$6&gt;0),(C1443-$J$5)/$J$6,"")</x:f>
      </x:c>
      <x:c r="G1443" s="1" t="str">
        <x:f>IF(ISNUMBER(F1443),IF(ABS(F1443)&gt;3,1,0),"")</x:f>
      </x:c>
      <x:c r="H1443" s="1" t="str">
        <x:f>IF(ISNUMBER(F1443),F1443^4,"")</x:f>
      </x:c>
      <x:c r="I1443" s="1"/>
      <x:c r="J1443" s="1"/>
      <x:c r="K1443" s="1"/>
      <x:c r="L1443" s="1"/>
      <x:c r="M1443" s="1"/>
      <x:c r="N1443" s="1"/>
    </x:row>
    <x:row r="1444" ht="22" customHeight="1">
      <x:c r="A1444" s="14"/>
      <x:c r="B1444" s="15"/>
      <x:c r="C1444" s="16" t="str">
        <x:f>IF(AND(ISNUMBER(B1444),ISNUMBER(B1443),B1444&gt;0,B1443&gt;0),LN(B1444/B1443),"")</x:f>
      </x:c>
      <x:c r="D1444" s="16" t="str">
        <x:f>IF(ISNUMBER(C1444),ABS(C1444),"")</x:f>
      </x:c>
      <x:c r="E1444" s="16" t="str">
        <x:f>IF(ISNUMBER(C1444),C1444^2,"")</x:f>
      </x:c>
      <x:c r="F1444" s="16" t="str">
        <x:f>IF(AND(ISNUMBER(C1444),ISNUMBER($J$6),$J$6&gt;0),(C1444-$J$5)/$J$6,"")</x:f>
      </x:c>
      <x:c r="G1444" s="1" t="str">
        <x:f>IF(ISNUMBER(F1444),IF(ABS(F1444)&gt;3,1,0),"")</x:f>
      </x:c>
      <x:c r="H1444" s="1" t="str">
        <x:f>IF(ISNUMBER(F1444),F1444^4,"")</x:f>
      </x:c>
      <x:c r="I1444" s="1"/>
      <x:c r="J1444" s="1"/>
      <x:c r="K1444" s="1"/>
      <x:c r="L1444" s="1"/>
      <x:c r="M1444" s="1"/>
      <x:c r="N1444" s="1"/>
    </x:row>
    <x:row r="1445" ht="22" customHeight="1">
      <x:c r="A1445" s="14"/>
      <x:c r="B1445" s="15"/>
      <x:c r="C1445" s="16" t="str">
        <x:f>IF(AND(ISNUMBER(B1445),ISNUMBER(B1444),B1445&gt;0,B1444&gt;0),LN(B1445/B1444),"")</x:f>
      </x:c>
      <x:c r="D1445" s="16" t="str">
        <x:f>IF(ISNUMBER(C1445),ABS(C1445),"")</x:f>
      </x:c>
      <x:c r="E1445" s="16" t="str">
        <x:f>IF(ISNUMBER(C1445),C1445^2,"")</x:f>
      </x:c>
      <x:c r="F1445" s="16" t="str">
        <x:f>IF(AND(ISNUMBER(C1445),ISNUMBER($J$6),$J$6&gt;0),(C1445-$J$5)/$J$6,"")</x:f>
      </x:c>
      <x:c r="G1445" s="1" t="str">
        <x:f>IF(ISNUMBER(F1445),IF(ABS(F1445)&gt;3,1,0),"")</x:f>
      </x:c>
      <x:c r="H1445" s="1" t="str">
        <x:f>IF(ISNUMBER(F1445),F1445^4,"")</x:f>
      </x:c>
      <x:c r="I1445" s="1"/>
      <x:c r="J1445" s="1"/>
      <x:c r="K1445" s="1"/>
      <x:c r="L1445" s="1"/>
      <x:c r="M1445" s="1"/>
      <x:c r="N1445" s="1"/>
    </x:row>
    <x:row r="1446" ht="22" customHeight="1">
      <x:c r="A1446" s="14"/>
      <x:c r="B1446" s="15"/>
      <x:c r="C1446" s="16" t="str">
        <x:f>IF(AND(ISNUMBER(B1446),ISNUMBER(B1445),B1446&gt;0,B1445&gt;0),LN(B1446/B1445),"")</x:f>
      </x:c>
      <x:c r="D1446" s="16" t="str">
        <x:f>IF(ISNUMBER(C1446),ABS(C1446),"")</x:f>
      </x:c>
      <x:c r="E1446" s="16" t="str">
        <x:f>IF(ISNUMBER(C1446),C1446^2,"")</x:f>
      </x:c>
      <x:c r="F1446" s="16" t="str">
        <x:f>IF(AND(ISNUMBER(C1446),ISNUMBER($J$6),$J$6&gt;0),(C1446-$J$5)/$J$6,"")</x:f>
      </x:c>
      <x:c r="G1446" s="1" t="str">
        <x:f>IF(ISNUMBER(F1446),IF(ABS(F1446)&gt;3,1,0),"")</x:f>
      </x:c>
      <x:c r="H1446" s="1" t="str">
        <x:f>IF(ISNUMBER(F1446),F1446^4,"")</x:f>
      </x:c>
      <x:c r="I1446" s="1"/>
      <x:c r="J1446" s="1"/>
      <x:c r="K1446" s="1"/>
      <x:c r="L1446" s="1"/>
      <x:c r="M1446" s="1"/>
      <x:c r="N1446" s="1"/>
    </x:row>
    <x:row r="1447" ht="22" customHeight="1">
      <x:c r="A1447" s="14"/>
      <x:c r="B1447" s="15"/>
      <x:c r="C1447" s="16" t="str">
        <x:f>IF(AND(ISNUMBER(B1447),ISNUMBER(B1446),B1447&gt;0,B1446&gt;0),LN(B1447/B1446),"")</x:f>
      </x:c>
      <x:c r="D1447" s="16" t="str">
        <x:f>IF(ISNUMBER(C1447),ABS(C1447),"")</x:f>
      </x:c>
      <x:c r="E1447" s="16" t="str">
        <x:f>IF(ISNUMBER(C1447),C1447^2,"")</x:f>
      </x:c>
      <x:c r="F1447" s="16" t="str">
        <x:f>IF(AND(ISNUMBER(C1447),ISNUMBER($J$6),$J$6&gt;0),(C1447-$J$5)/$J$6,"")</x:f>
      </x:c>
      <x:c r="G1447" s="1" t="str">
        <x:f>IF(ISNUMBER(F1447),IF(ABS(F1447)&gt;3,1,0),"")</x:f>
      </x:c>
      <x:c r="H1447" s="1" t="str">
        <x:f>IF(ISNUMBER(F1447),F1447^4,"")</x:f>
      </x:c>
      <x:c r="I1447" s="1"/>
      <x:c r="J1447" s="1"/>
      <x:c r="K1447" s="1"/>
      <x:c r="L1447" s="1"/>
      <x:c r="M1447" s="1"/>
      <x:c r="N1447" s="1"/>
    </x:row>
    <x:row r="1448" ht="22" customHeight="1">
      <x:c r="A1448" s="14"/>
      <x:c r="B1448" s="15"/>
      <x:c r="C1448" s="16" t="str">
        <x:f>IF(AND(ISNUMBER(B1448),ISNUMBER(B1447),B1448&gt;0,B1447&gt;0),LN(B1448/B1447),"")</x:f>
      </x:c>
      <x:c r="D1448" s="16" t="str">
        <x:f>IF(ISNUMBER(C1448),ABS(C1448),"")</x:f>
      </x:c>
      <x:c r="E1448" s="16" t="str">
        <x:f>IF(ISNUMBER(C1448),C1448^2,"")</x:f>
      </x:c>
      <x:c r="F1448" s="16" t="str">
        <x:f>IF(AND(ISNUMBER(C1448),ISNUMBER($J$6),$J$6&gt;0),(C1448-$J$5)/$J$6,"")</x:f>
      </x:c>
      <x:c r="G1448" s="1" t="str">
        <x:f>IF(ISNUMBER(F1448),IF(ABS(F1448)&gt;3,1,0),"")</x:f>
      </x:c>
      <x:c r="H1448" s="1" t="str">
        <x:f>IF(ISNUMBER(F1448),F1448^4,"")</x:f>
      </x:c>
      <x:c r="I1448" s="1"/>
      <x:c r="J1448" s="1"/>
      <x:c r="K1448" s="1"/>
      <x:c r="L1448" s="1"/>
      <x:c r="M1448" s="1"/>
      <x:c r="N1448" s="1"/>
    </x:row>
    <x:row r="1449" ht="22" customHeight="1">
      <x:c r="A1449" s="14"/>
      <x:c r="B1449" s="15"/>
      <x:c r="C1449" s="16" t="str">
        <x:f>IF(AND(ISNUMBER(B1449),ISNUMBER(B1448),B1449&gt;0,B1448&gt;0),LN(B1449/B1448),"")</x:f>
      </x:c>
      <x:c r="D1449" s="16" t="str">
        <x:f>IF(ISNUMBER(C1449),ABS(C1449),"")</x:f>
      </x:c>
      <x:c r="E1449" s="16" t="str">
        <x:f>IF(ISNUMBER(C1449),C1449^2,"")</x:f>
      </x:c>
      <x:c r="F1449" s="16" t="str">
        <x:f>IF(AND(ISNUMBER(C1449),ISNUMBER($J$6),$J$6&gt;0),(C1449-$J$5)/$J$6,"")</x:f>
      </x:c>
      <x:c r="G1449" s="1" t="str">
        <x:f>IF(ISNUMBER(F1449),IF(ABS(F1449)&gt;3,1,0),"")</x:f>
      </x:c>
      <x:c r="H1449" s="1" t="str">
        <x:f>IF(ISNUMBER(F1449),F1449^4,"")</x:f>
      </x:c>
      <x:c r="I1449" s="1"/>
      <x:c r="J1449" s="1"/>
      <x:c r="K1449" s="1"/>
      <x:c r="L1449" s="1"/>
      <x:c r="M1449" s="1"/>
      <x:c r="N1449" s="1"/>
    </x:row>
    <x:row r="1450" ht="22" customHeight="1">
      <x:c r="A1450" s="14"/>
      <x:c r="B1450" s="15"/>
      <x:c r="C1450" s="16" t="str">
        <x:f>IF(AND(ISNUMBER(B1450),ISNUMBER(B1449),B1450&gt;0,B1449&gt;0),LN(B1450/B1449),"")</x:f>
      </x:c>
      <x:c r="D1450" s="16" t="str">
        <x:f>IF(ISNUMBER(C1450),ABS(C1450),"")</x:f>
      </x:c>
      <x:c r="E1450" s="16" t="str">
        <x:f>IF(ISNUMBER(C1450),C1450^2,"")</x:f>
      </x:c>
      <x:c r="F1450" s="16" t="str">
        <x:f>IF(AND(ISNUMBER(C1450),ISNUMBER($J$6),$J$6&gt;0),(C1450-$J$5)/$J$6,"")</x:f>
      </x:c>
      <x:c r="G1450" s="1" t="str">
        <x:f>IF(ISNUMBER(F1450),IF(ABS(F1450)&gt;3,1,0),"")</x:f>
      </x:c>
      <x:c r="H1450" s="1" t="str">
        <x:f>IF(ISNUMBER(F1450),F1450^4,"")</x:f>
      </x:c>
      <x:c r="I1450" s="1"/>
      <x:c r="J1450" s="1"/>
      <x:c r="K1450" s="1"/>
      <x:c r="L1450" s="1"/>
      <x:c r="M1450" s="1"/>
      <x:c r="N1450" s="1"/>
    </x:row>
    <x:row r="1451" ht="22" customHeight="1">
      <x:c r="A1451" s="14"/>
      <x:c r="B1451" s="15"/>
      <x:c r="C1451" s="16" t="str">
        <x:f>IF(AND(ISNUMBER(B1451),ISNUMBER(B1450),B1451&gt;0,B1450&gt;0),LN(B1451/B1450),"")</x:f>
      </x:c>
      <x:c r="D1451" s="16" t="str">
        <x:f>IF(ISNUMBER(C1451),ABS(C1451),"")</x:f>
      </x:c>
      <x:c r="E1451" s="16" t="str">
        <x:f>IF(ISNUMBER(C1451),C1451^2,"")</x:f>
      </x:c>
      <x:c r="F1451" s="16" t="str">
        <x:f>IF(AND(ISNUMBER(C1451),ISNUMBER($J$6),$J$6&gt;0),(C1451-$J$5)/$J$6,"")</x:f>
      </x:c>
      <x:c r="G1451" s="1" t="str">
        <x:f>IF(ISNUMBER(F1451),IF(ABS(F1451)&gt;3,1,0),"")</x:f>
      </x:c>
      <x:c r="H1451" s="1" t="str">
        <x:f>IF(ISNUMBER(F1451),F1451^4,"")</x:f>
      </x:c>
      <x:c r="I1451" s="1"/>
      <x:c r="J1451" s="1"/>
      <x:c r="K1451" s="1"/>
      <x:c r="L1451" s="1"/>
      <x:c r="M1451" s="1"/>
      <x:c r="N1451" s="1"/>
    </x:row>
    <x:row r="1452" ht="22" customHeight="1">
      <x:c r="A1452" s="14"/>
      <x:c r="B1452" s="15"/>
      <x:c r="C1452" s="16" t="str">
        <x:f>IF(AND(ISNUMBER(B1452),ISNUMBER(B1451),B1452&gt;0,B1451&gt;0),LN(B1452/B1451),"")</x:f>
      </x:c>
      <x:c r="D1452" s="16" t="str">
        <x:f>IF(ISNUMBER(C1452),ABS(C1452),"")</x:f>
      </x:c>
      <x:c r="E1452" s="16" t="str">
        <x:f>IF(ISNUMBER(C1452),C1452^2,"")</x:f>
      </x:c>
      <x:c r="F1452" s="16" t="str">
        <x:f>IF(AND(ISNUMBER(C1452),ISNUMBER($J$6),$J$6&gt;0),(C1452-$J$5)/$J$6,"")</x:f>
      </x:c>
      <x:c r="G1452" s="1" t="str">
        <x:f>IF(ISNUMBER(F1452),IF(ABS(F1452)&gt;3,1,0),"")</x:f>
      </x:c>
      <x:c r="H1452" s="1" t="str">
        <x:f>IF(ISNUMBER(F1452),F1452^4,"")</x:f>
      </x:c>
      <x:c r="I1452" s="1"/>
      <x:c r="J1452" s="1"/>
      <x:c r="K1452" s="1"/>
      <x:c r="L1452" s="1"/>
      <x:c r="M1452" s="1"/>
      <x:c r="N1452" s="1"/>
    </x:row>
    <x:row r="1453" ht="22" customHeight="1">
      <x:c r="A1453" s="14"/>
      <x:c r="B1453" s="15"/>
      <x:c r="C1453" s="16" t="str">
        <x:f>IF(AND(ISNUMBER(B1453),ISNUMBER(B1452),B1453&gt;0,B1452&gt;0),LN(B1453/B1452),"")</x:f>
      </x:c>
      <x:c r="D1453" s="16" t="str">
        <x:f>IF(ISNUMBER(C1453),ABS(C1453),"")</x:f>
      </x:c>
      <x:c r="E1453" s="16" t="str">
        <x:f>IF(ISNUMBER(C1453),C1453^2,"")</x:f>
      </x:c>
      <x:c r="F1453" s="16" t="str">
        <x:f>IF(AND(ISNUMBER(C1453),ISNUMBER($J$6),$J$6&gt;0),(C1453-$J$5)/$J$6,"")</x:f>
      </x:c>
      <x:c r="G1453" s="1" t="str">
        <x:f>IF(ISNUMBER(F1453),IF(ABS(F1453)&gt;3,1,0),"")</x:f>
      </x:c>
      <x:c r="H1453" s="1" t="str">
        <x:f>IF(ISNUMBER(F1453),F1453^4,"")</x:f>
      </x:c>
      <x:c r="I1453" s="1"/>
      <x:c r="J1453" s="1"/>
      <x:c r="K1453" s="1"/>
      <x:c r="L1453" s="1"/>
      <x:c r="M1453" s="1"/>
      <x:c r="N1453" s="1"/>
    </x:row>
    <x:row r="1454" ht="22" customHeight="1">
      <x:c r="A1454" s="14"/>
      <x:c r="B1454" s="15"/>
      <x:c r="C1454" s="16" t="str">
        <x:f>IF(AND(ISNUMBER(B1454),ISNUMBER(B1453),B1454&gt;0,B1453&gt;0),LN(B1454/B1453),"")</x:f>
      </x:c>
      <x:c r="D1454" s="16" t="str">
        <x:f>IF(ISNUMBER(C1454),ABS(C1454),"")</x:f>
      </x:c>
      <x:c r="E1454" s="16" t="str">
        <x:f>IF(ISNUMBER(C1454),C1454^2,"")</x:f>
      </x:c>
      <x:c r="F1454" s="16" t="str">
        <x:f>IF(AND(ISNUMBER(C1454),ISNUMBER($J$6),$J$6&gt;0),(C1454-$J$5)/$J$6,"")</x:f>
      </x:c>
      <x:c r="G1454" s="1" t="str">
        <x:f>IF(ISNUMBER(F1454),IF(ABS(F1454)&gt;3,1,0),"")</x:f>
      </x:c>
      <x:c r="H1454" s="1" t="str">
        <x:f>IF(ISNUMBER(F1454),F1454^4,"")</x:f>
      </x:c>
      <x:c r="I1454" s="1"/>
      <x:c r="J1454" s="1"/>
      <x:c r="K1454" s="1"/>
      <x:c r="L1454" s="1"/>
      <x:c r="M1454" s="1"/>
      <x:c r="N1454" s="1"/>
    </x:row>
    <x:row r="1455" ht="22" customHeight="1">
      <x:c r="A1455" s="14"/>
      <x:c r="B1455" s="15"/>
      <x:c r="C1455" s="16" t="str">
        <x:f>IF(AND(ISNUMBER(B1455),ISNUMBER(B1454),B1455&gt;0,B1454&gt;0),LN(B1455/B1454),"")</x:f>
      </x:c>
      <x:c r="D1455" s="16" t="str">
        <x:f>IF(ISNUMBER(C1455),ABS(C1455),"")</x:f>
      </x:c>
      <x:c r="E1455" s="16" t="str">
        <x:f>IF(ISNUMBER(C1455),C1455^2,"")</x:f>
      </x:c>
      <x:c r="F1455" s="16" t="str">
        <x:f>IF(AND(ISNUMBER(C1455),ISNUMBER($J$6),$J$6&gt;0),(C1455-$J$5)/$J$6,"")</x:f>
      </x:c>
      <x:c r="G1455" s="1" t="str">
        <x:f>IF(ISNUMBER(F1455),IF(ABS(F1455)&gt;3,1,0),"")</x:f>
      </x:c>
      <x:c r="H1455" s="1" t="str">
        <x:f>IF(ISNUMBER(F1455),F1455^4,"")</x:f>
      </x:c>
      <x:c r="I1455" s="1"/>
      <x:c r="J1455" s="1"/>
      <x:c r="K1455" s="1"/>
      <x:c r="L1455" s="1"/>
      <x:c r="M1455" s="1"/>
      <x:c r="N1455" s="1"/>
    </x:row>
    <x:row r="1456" ht="22" customHeight="1">
      <x:c r="A1456" s="14"/>
      <x:c r="B1456" s="15"/>
      <x:c r="C1456" s="16" t="str">
        <x:f>IF(AND(ISNUMBER(B1456),ISNUMBER(B1455),B1456&gt;0,B1455&gt;0),LN(B1456/B1455),"")</x:f>
      </x:c>
      <x:c r="D1456" s="16" t="str">
        <x:f>IF(ISNUMBER(C1456),ABS(C1456),"")</x:f>
      </x:c>
      <x:c r="E1456" s="16" t="str">
        <x:f>IF(ISNUMBER(C1456),C1456^2,"")</x:f>
      </x:c>
      <x:c r="F1456" s="16" t="str">
        <x:f>IF(AND(ISNUMBER(C1456),ISNUMBER($J$6),$J$6&gt;0),(C1456-$J$5)/$J$6,"")</x:f>
      </x:c>
      <x:c r="G1456" s="1" t="str">
        <x:f>IF(ISNUMBER(F1456),IF(ABS(F1456)&gt;3,1,0),"")</x:f>
      </x:c>
      <x:c r="H1456" s="1" t="str">
        <x:f>IF(ISNUMBER(F1456),F1456^4,"")</x:f>
      </x:c>
      <x:c r="I1456" s="1"/>
      <x:c r="J1456" s="1"/>
      <x:c r="K1456" s="1"/>
      <x:c r="L1456" s="1"/>
      <x:c r="M1456" s="1"/>
      <x:c r="N1456" s="1"/>
    </x:row>
    <x:row r="1457" ht="22" customHeight="1">
      <x:c r="A1457" s="14"/>
      <x:c r="B1457" s="15"/>
      <x:c r="C1457" s="16" t="str">
        <x:f>IF(AND(ISNUMBER(B1457),ISNUMBER(B1456),B1457&gt;0,B1456&gt;0),LN(B1457/B1456),"")</x:f>
      </x:c>
      <x:c r="D1457" s="16" t="str">
        <x:f>IF(ISNUMBER(C1457),ABS(C1457),"")</x:f>
      </x:c>
      <x:c r="E1457" s="16" t="str">
        <x:f>IF(ISNUMBER(C1457),C1457^2,"")</x:f>
      </x:c>
      <x:c r="F1457" s="16" t="str">
        <x:f>IF(AND(ISNUMBER(C1457),ISNUMBER($J$6),$J$6&gt;0),(C1457-$J$5)/$J$6,"")</x:f>
      </x:c>
      <x:c r="G1457" s="1" t="str">
        <x:f>IF(ISNUMBER(F1457),IF(ABS(F1457)&gt;3,1,0),"")</x:f>
      </x:c>
      <x:c r="H1457" s="1" t="str">
        <x:f>IF(ISNUMBER(F1457),F1457^4,"")</x:f>
      </x:c>
      <x:c r="I1457" s="1"/>
      <x:c r="J1457" s="1"/>
      <x:c r="K1457" s="1"/>
      <x:c r="L1457" s="1"/>
      <x:c r="M1457" s="1"/>
      <x:c r="N1457" s="1"/>
    </x:row>
    <x:row r="1458" ht="22" customHeight="1">
      <x:c r="A1458" s="14"/>
      <x:c r="B1458" s="15"/>
      <x:c r="C1458" s="16" t="str">
        <x:f>IF(AND(ISNUMBER(B1458),ISNUMBER(B1457),B1458&gt;0,B1457&gt;0),LN(B1458/B1457),"")</x:f>
      </x:c>
      <x:c r="D1458" s="16" t="str">
        <x:f>IF(ISNUMBER(C1458),ABS(C1458),"")</x:f>
      </x:c>
      <x:c r="E1458" s="16" t="str">
        <x:f>IF(ISNUMBER(C1458),C1458^2,"")</x:f>
      </x:c>
      <x:c r="F1458" s="16" t="str">
        <x:f>IF(AND(ISNUMBER(C1458),ISNUMBER($J$6),$J$6&gt;0),(C1458-$J$5)/$J$6,"")</x:f>
      </x:c>
      <x:c r="G1458" s="1" t="str">
        <x:f>IF(ISNUMBER(F1458),IF(ABS(F1458)&gt;3,1,0),"")</x:f>
      </x:c>
      <x:c r="H1458" s="1" t="str">
        <x:f>IF(ISNUMBER(F1458),F1458^4,"")</x:f>
      </x:c>
      <x:c r="I1458" s="1"/>
      <x:c r="J1458" s="1"/>
      <x:c r="K1458" s="1"/>
      <x:c r="L1458" s="1"/>
      <x:c r="M1458" s="1"/>
      <x:c r="N1458" s="1"/>
    </x:row>
    <x:row r="1459" ht="22" customHeight="1">
      <x:c r="A1459" s="14"/>
      <x:c r="B1459" s="15"/>
      <x:c r="C1459" s="16" t="str">
        <x:f>IF(AND(ISNUMBER(B1459),ISNUMBER(B1458),B1459&gt;0,B1458&gt;0),LN(B1459/B1458),"")</x:f>
      </x:c>
      <x:c r="D1459" s="16" t="str">
        <x:f>IF(ISNUMBER(C1459),ABS(C1459),"")</x:f>
      </x:c>
      <x:c r="E1459" s="16" t="str">
        <x:f>IF(ISNUMBER(C1459),C1459^2,"")</x:f>
      </x:c>
      <x:c r="F1459" s="16" t="str">
        <x:f>IF(AND(ISNUMBER(C1459),ISNUMBER($J$6),$J$6&gt;0),(C1459-$J$5)/$J$6,"")</x:f>
      </x:c>
      <x:c r="G1459" s="1" t="str">
        <x:f>IF(ISNUMBER(F1459),IF(ABS(F1459)&gt;3,1,0),"")</x:f>
      </x:c>
      <x:c r="H1459" s="1" t="str">
        <x:f>IF(ISNUMBER(F1459),F1459^4,"")</x:f>
      </x:c>
      <x:c r="I1459" s="1"/>
      <x:c r="J1459" s="1"/>
      <x:c r="K1459" s="1"/>
      <x:c r="L1459" s="1"/>
      <x:c r="M1459" s="1"/>
      <x:c r="N1459" s="1"/>
    </x:row>
    <x:row r="1460" ht="22" customHeight="1">
      <x:c r="A1460" s="14"/>
      <x:c r="B1460" s="15"/>
      <x:c r="C1460" s="16" t="str">
        <x:f>IF(AND(ISNUMBER(B1460),ISNUMBER(B1459),B1460&gt;0,B1459&gt;0),LN(B1460/B1459),"")</x:f>
      </x:c>
      <x:c r="D1460" s="16" t="str">
        <x:f>IF(ISNUMBER(C1460),ABS(C1460),"")</x:f>
      </x:c>
      <x:c r="E1460" s="16" t="str">
        <x:f>IF(ISNUMBER(C1460),C1460^2,"")</x:f>
      </x:c>
      <x:c r="F1460" s="16" t="str">
        <x:f>IF(AND(ISNUMBER(C1460),ISNUMBER($J$6),$J$6&gt;0),(C1460-$J$5)/$J$6,"")</x:f>
      </x:c>
      <x:c r="G1460" s="1" t="str">
        <x:f>IF(ISNUMBER(F1460),IF(ABS(F1460)&gt;3,1,0),"")</x:f>
      </x:c>
      <x:c r="H1460" s="1" t="str">
        <x:f>IF(ISNUMBER(F1460),F1460^4,"")</x:f>
      </x:c>
      <x:c r="I1460" s="1"/>
      <x:c r="J1460" s="1"/>
      <x:c r="K1460" s="1"/>
      <x:c r="L1460" s="1"/>
      <x:c r="M1460" s="1"/>
      <x:c r="N1460" s="1"/>
    </x:row>
    <x:row r="1461" ht="22" customHeight="1">
      <x:c r="A1461" s="14"/>
      <x:c r="B1461" s="15"/>
      <x:c r="C1461" s="16" t="str">
        <x:f>IF(AND(ISNUMBER(B1461),ISNUMBER(B1460),B1461&gt;0,B1460&gt;0),LN(B1461/B1460),"")</x:f>
      </x:c>
      <x:c r="D1461" s="16" t="str">
        <x:f>IF(ISNUMBER(C1461),ABS(C1461),"")</x:f>
      </x:c>
      <x:c r="E1461" s="16" t="str">
        <x:f>IF(ISNUMBER(C1461),C1461^2,"")</x:f>
      </x:c>
      <x:c r="F1461" s="16" t="str">
        <x:f>IF(AND(ISNUMBER(C1461),ISNUMBER($J$6),$J$6&gt;0),(C1461-$J$5)/$J$6,"")</x:f>
      </x:c>
      <x:c r="G1461" s="1" t="str">
        <x:f>IF(ISNUMBER(F1461),IF(ABS(F1461)&gt;3,1,0),"")</x:f>
      </x:c>
      <x:c r="H1461" s="1" t="str">
        <x:f>IF(ISNUMBER(F1461),F1461^4,"")</x:f>
      </x:c>
      <x:c r="I1461" s="1"/>
      <x:c r="J1461" s="1"/>
      <x:c r="K1461" s="1"/>
      <x:c r="L1461" s="1"/>
      <x:c r="M1461" s="1"/>
      <x:c r="N1461" s="1"/>
    </x:row>
    <x:row r="1462" ht="22" customHeight="1">
      <x:c r="A1462" s="14"/>
      <x:c r="B1462" s="15"/>
      <x:c r="C1462" s="16" t="str">
        <x:f>IF(AND(ISNUMBER(B1462),ISNUMBER(B1461),B1462&gt;0,B1461&gt;0),LN(B1462/B1461),"")</x:f>
      </x:c>
      <x:c r="D1462" s="16" t="str">
        <x:f>IF(ISNUMBER(C1462),ABS(C1462),"")</x:f>
      </x:c>
      <x:c r="E1462" s="16" t="str">
        <x:f>IF(ISNUMBER(C1462),C1462^2,"")</x:f>
      </x:c>
      <x:c r="F1462" s="16" t="str">
        <x:f>IF(AND(ISNUMBER(C1462),ISNUMBER($J$6),$J$6&gt;0),(C1462-$J$5)/$J$6,"")</x:f>
      </x:c>
      <x:c r="G1462" s="1" t="str">
        <x:f>IF(ISNUMBER(F1462),IF(ABS(F1462)&gt;3,1,0),"")</x:f>
      </x:c>
      <x:c r="H1462" s="1" t="str">
        <x:f>IF(ISNUMBER(F1462),F1462^4,"")</x:f>
      </x:c>
      <x:c r="I1462" s="1"/>
      <x:c r="J1462" s="1"/>
      <x:c r="K1462" s="1"/>
      <x:c r="L1462" s="1"/>
      <x:c r="M1462" s="1"/>
      <x:c r="N1462" s="1"/>
    </x:row>
    <x:row r="1463" ht="22" customHeight="1">
      <x:c r="A1463" s="14"/>
      <x:c r="B1463" s="15"/>
      <x:c r="C1463" s="16" t="str">
        <x:f>IF(AND(ISNUMBER(B1463),ISNUMBER(B1462),B1463&gt;0,B1462&gt;0),LN(B1463/B1462),"")</x:f>
      </x:c>
      <x:c r="D1463" s="16" t="str">
        <x:f>IF(ISNUMBER(C1463),ABS(C1463),"")</x:f>
      </x:c>
      <x:c r="E1463" s="16" t="str">
        <x:f>IF(ISNUMBER(C1463),C1463^2,"")</x:f>
      </x:c>
      <x:c r="F1463" s="16" t="str">
        <x:f>IF(AND(ISNUMBER(C1463),ISNUMBER($J$6),$J$6&gt;0),(C1463-$J$5)/$J$6,"")</x:f>
      </x:c>
      <x:c r="G1463" s="1" t="str">
        <x:f>IF(ISNUMBER(F1463),IF(ABS(F1463)&gt;3,1,0),"")</x:f>
      </x:c>
      <x:c r="H1463" s="1" t="str">
        <x:f>IF(ISNUMBER(F1463),F1463^4,"")</x:f>
      </x:c>
      <x:c r="I1463" s="1"/>
      <x:c r="J1463" s="1"/>
      <x:c r="K1463" s="1"/>
      <x:c r="L1463" s="1"/>
      <x:c r="M1463" s="1"/>
      <x:c r="N1463" s="1"/>
    </x:row>
    <x:row r="1464" ht="22" customHeight="1">
      <x:c r="A1464" s="14"/>
      <x:c r="B1464" s="15"/>
      <x:c r="C1464" s="16" t="str">
        <x:f>IF(AND(ISNUMBER(B1464),ISNUMBER(B1463),B1464&gt;0,B1463&gt;0),LN(B1464/B1463),"")</x:f>
      </x:c>
      <x:c r="D1464" s="16" t="str">
        <x:f>IF(ISNUMBER(C1464),ABS(C1464),"")</x:f>
      </x:c>
      <x:c r="E1464" s="16" t="str">
        <x:f>IF(ISNUMBER(C1464),C1464^2,"")</x:f>
      </x:c>
      <x:c r="F1464" s="16" t="str">
        <x:f>IF(AND(ISNUMBER(C1464),ISNUMBER($J$6),$J$6&gt;0),(C1464-$J$5)/$J$6,"")</x:f>
      </x:c>
      <x:c r="G1464" s="1" t="str">
        <x:f>IF(ISNUMBER(F1464),IF(ABS(F1464)&gt;3,1,0),"")</x:f>
      </x:c>
      <x:c r="H1464" s="1" t="str">
        <x:f>IF(ISNUMBER(F1464),F1464^4,"")</x:f>
      </x:c>
      <x:c r="I1464" s="1"/>
      <x:c r="J1464" s="1"/>
      <x:c r="K1464" s="1"/>
      <x:c r="L1464" s="1"/>
      <x:c r="M1464" s="1"/>
      <x:c r="N1464" s="1"/>
    </x:row>
    <x:row r="1465" ht="22" customHeight="1">
      <x:c r="A1465" s="14"/>
      <x:c r="B1465" s="15"/>
      <x:c r="C1465" s="16" t="str">
        <x:f>IF(AND(ISNUMBER(B1465),ISNUMBER(B1464),B1465&gt;0,B1464&gt;0),LN(B1465/B1464),"")</x:f>
      </x:c>
      <x:c r="D1465" s="16" t="str">
        <x:f>IF(ISNUMBER(C1465),ABS(C1465),"")</x:f>
      </x:c>
      <x:c r="E1465" s="16" t="str">
        <x:f>IF(ISNUMBER(C1465),C1465^2,"")</x:f>
      </x:c>
      <x:c r="F1465" s="16" t="str">
        <x:f>IF(AND(ISNUMBER(C1465),ISNUMBER($J$6),$J$6&gt;0),(C1465-$J$5)/$J$6,"")</x:f>
      </x:c>
      <x:c r="G1465" s="1" t="str">
        <x:f>IF(ISNUMBER(F1465),IF(ABS(F1465)&gt;3,1,0),"")</x:f>
      </x:c>
      <x:c r="H1465" s="1" t="str">
        <x:f>IF(ISNUMBER(F1465),F1465^4,"")</x:f>
      </x:c>
      <x:c r="I1465" s="1"/>
      <x:c r="J1465" s="1"/>
      <x:c r="K1465" s="1"/>
      <x:c r="L1465" s="1"/>
      <x:c r="M1465" s="1"/>
      <x:c r="N1465" s="1"/>
    </x:row>
    <x:row r="1466" ht="22" customHeight="1">
      <x:c r="A1466" s="14"/>
      <x:c r="B1466" s="15"/>
      <x:c r="C1466" s="16" t="str">
        <x:f>IF(AND(ISNUMBER(B1466),ISNUMBER(B1465),B1466&gt;0,B1465&gt;0),LN(B1466/B1465),"")</x:f>
      </x:c>
      <x:c r="D1466" s="16" t="str">
        <x:f>IF(ISNUMBER(C1466),ABS(C1466),"")</x:f>
      </x:c>
      <x:c r="E1466" s="16" t="str">
        <x:f>IF(ISNUMBER(C1466),C1466^2,"")</x:f>
      </x:c>
      <x:c r="F1466" s="16" t="str">
        <x:f>IF(AND(ISNUMBER(C1466),ISNUMBER($J$6),$J$6&gt;0),(C1466-$J$5)/$J$6,"")</x:f>
      </x:c>
      <x:c r="G1466" s="1" t="str">
        <x:f>IF(ISNUMBER(F1466),IF(ABS(F1466)&gt;3,1,0),"")</x:f>
      </x:c>
      <x:c r="H1466" s="1" t="str">
        <x:f>IF(ISNUMBER(F1466),F1466^4,"")</x:f>
      </x:c>
      <x:c r="I1466" s="1"/>
      <x:c r="J1466" s="1"/>
      <x:c r="K1466" s="1"/>
      <x:c r="L1466" s="1"/>
      <x:c r="M1466" s="1"/>
      <x:c r="N1466" s="1"/>
    </x:row>
    <x:row r="1467" ht="22" customHeight="1">
      <x:c r="A1467" s="14"/>
      <x:c r="B1467" s="15"/>
      <x:c r="C1467" s="16" t="str">
        <x:f>IF(AND(ISNUMBER(B1467),ISNUMBER(B1466),B1467&gt;0,B1466&gt;0),LN(B1467/B1466),"")</x:f>
      </x:c>
      <x:c r="D1467" s="16" t="str">
        <x:f>IF(ISNUMBER(C1467),ABS(C1467),"")</x:f>
      </x:c>
      <x:c r="E1467" s="16" t="str">
        <x:f>IF(ISNUMBER(C1467),C1467^2,"")</x:f>
      </x:c>
      <x:c r="F1467" s="16" t="str">
        <x:f>IF(AND(ISNUMBER(C1467),ISNUMBER($J$6),$J$6&gt;0),(C1467-$J$5)/$J$6,"")</x:f>
      </x:c>
      <x:c r="G1467" s="1" t="str">
        <x:f>IF(ISNUMBER(F1467),IF(ABS(F1467)&gt;3,1,0),"")</x:f>
      </x:c>
      <x:c r="H1467" s="1" t="str">
        <x:f>IF(ISNUMBER(F1467),F1467^4,"")</x:f>
      </x:c>
      <x:c r="I1467" s="1"/>
      <x:c r="J1467" s="1"/>
      <x:c r="K1467" s="1"/>
      <x:c r="L1467" s="1"/>
      <x:c r="M1467" s="1"/>
      <x:c r="N1467" s="1"/>
    </x:row>
    <x:row r="1468" ht="22" customHeight="1">
      <x:c r="A1468" s="14"/>
      <x:c r="B1468" s="15"/>
      <x:c r="C1468" s="16" t="str">
        <x:f>IF(AND(ISNUMBER(B1468),ISNUMBER(B1467),B1468&gt;0,B1467&gt;0),LN(B1468/B1467),"")</x:f>
      </x:c>
      <x:c r="D1468" s="16" t="str">
        <x:f>IF(ISNUMBER(C1468),ABS(C1468),"")</x:f>
      </x:c>
      <x:c r="E1468" s="16" t="str">
        <x:f>IF(ISNUMBER(C1468),C1468^2,"")</x:f>
      </x:c>
      <x:c r="F1468" s="16" t="str">
        <x:f>IF(AND(ISNUMBER(C1468),ISNUMBER($J$6),$J$6&gt;0),(C1468-$J$5)/$J$6,"")</x:f>
      </x:c>
      <x:c r="G1468" s="1" t="str">
        <x:f>IF(ISNUMBER(F1468),IF(ABS(F1468)&gt;3,1,0),"")</x:f>
      </x:c>
      <x:c r="H1468" s="1" t="str">
        <x:f>IF(ISNUMBER(F1468),F1468^4,"")</x:f>
      </x:c>
      <x:c r="I1468" s="1"/>
      <x:c r="J1468" s="1"/>
      <x:c r="K1468" s="1"/>
      <x:c r="L1468" s="1"/>
      <x:c r="M1468" s="1"/>
      <x:c r="N1468" s="1"/>
    </x:row>
    <x:row r="1469" ht="22" customHeight="1">
      <x:c r="A1469" s="14"/>
      <x:c r="B1469" s="15"/>
      <x:c r="C1469" s="16" t="str">
        <x:f>IF(AND(ISNUMBER(B1469),ISNUMBER(B1468),B1469&gt;0,B1468&gt;0),LN(B1469/B1468),"")</x:f>
      </x:c>
      <x:c r="D1469" s="16" t="str">
        <x:f>IF(ISNUMBER(C1469),ABS(C1469),"")</x:f>
      </x:c>
      <x:c r="E1469" s="16" t="str">
        <x:f>IF(ISNUMBER(C1469),C1469^2,"")</x:f>
      </x:c>
      <x:c r="F1469" s="16" t="str">
        <x:f>IF(AND(ISNUMBER(C1469),ISNUMBER($J$6),$J$6&gt;0),(C1469-$J$5)/$J$6,"")</x:f>
      </x:c>
      <x:c r="G1469" s="1" t="str">
        <x:f>IF(ISNUMBER(F1469),IF(ABS(F1469)&gt;3,1,0),"")</x:f>
      </x:c>
      <x:c r="H1469" s="1" t="str">
        <x:f>IF(ISNUMBER(F1469),F1469^4,"")</x:f>
      </x:c>
      <x:c r="I1469" s="1"/>
      <x:c r="J1469" s="1"/>
      <x:c r="K1469" s="1"/>
      <x:c r="L1469" s="1"/>
      <x:c r="M1469" s="1"/>
      <x:c r="N1469" s="1"/>
    </x:row>
    <x:row r="1470" ht="22" customHeight="1">
      <x:c r="A1470" s="14"/>
      <x:c r="B1470" s="15"/>
      <x:c r="C1470" s="16" t="str">
        <x:f>IF(AND(ISNUMBER(B1470),ISNUMBER(B1469),B1470&gt;0,B1469&gt;0),LN(B1470/B1469),"")</x:f>
      </x:c>
      <x:c r="D1470" s="16" t="str">
        <x:f>IF(ISNUMBER(C1470),ABS(C1470),"")</x:f>
      </x:c>
      <x:c r="E1470" s="16" t="str">
        <x:f>IF(ISNUMBER(C1470),C1470^2,"")</x:f>
      </x:c>
      <x:c r="F1470" s="16" t="str">
        <x:f>IF(AND(ISNUMBER(C1470),ISNUMBER($J$6),$J$6&gt;0),(C1470-$J$5)/$J$6,"")</x:f>
      </x:c>
      <x:c r="G1470" s="1" t="str">
        <x:f>IF(ISNUMBER(F1470),IF(ABS(F1470)&gt;3,1,0),"")</x:f>
      </x:c>
      <x:c r="H1470" s="1" t="str">
        <x:f>IF(ISNUMBER(F1470),F1470^4,"")</x:f>
      </x:c>
      <x:c r="I1470" s="1"/>
      <x:c r="J1470" s="1"/>
      <x:c r="K1470" s="1"/>
      <x:c r="L1470" s="1"/>
      <x:c r="M1470" s="1"/>
      <x:c r="N1470" s="1"/>
    </x:row>
    <x:row r="1471" ht="22" customHeight="1">
      <x:c r="A1471" s="14"/>
      <x:c r="B1471" s="15"/>
      <x:c r="C1471" s="16" t="str">
        <x:f>IF(AND(ISNUMBER(B1471),ISNUMBER(B1470),B1471&gt;0,B1470&gt;0),LN(B1471/B1470),"")</x:f>
      </x:c>
      <x:c r="D1471" s="16" t="str">
        <x:f>IF(ISNUMBER(C1471),ABS(C1471),"")</x:f>
      </x:c>
      <x:c r="E1471" s="16" t="str">
        <x:f>IF(ISNUMBER(C1471),C1471^2,"")</x:f>
      </x:c>
      <x:c r="F1471" s="16" t="str">
        <x:f>IF(AND(ISNUMBER(C1471),ISNUMBER($J$6),$J$6&gt;0),(C1471-$J$5)/$J$6,"")</x:f>
      </x:c>
      <x:c r="G1471" s="1" t="str">
        <x:f>IF(ISNUMBER(F1471),IF(ABS(F1471)&gt;3,1,0),"")</x:f>
      </x:c>
      <x:c r="H1471" s="1" t="str">
        <x:f>IF(ISNUMBER(F1471),F1471^4,"")</x:f>
      </x:c>
      <x:c r="I1471" s="1"/>
      <x:c r="J1471" s="1"/>
      <x:c r="K1471" s="1"/>
      <x:c r="L1471" s="1"/>
      <x:c r="M1471" s="1"/>
      <x:c r="N1471" s="1"/>
    </x:row>
    <x:row r="1472" ht="22" customHeight="1">
      <x:c r="A1472" s="14"/>
      <x:c r="B1472" s="15"/>
      <x:c r="C1472" s="16" t="str">
        <x:f>IF(AND(ISNUMBER(B1472),ISNUMBER(B1471),B1472&gt;0,B1471&gt;0),LN(B1472/B1471),"")</x:f>
      </x:c>
      <x:c r="D1472" s="16" t="str">
        <x:f>IF(ISNUMBER(C1472),ABS(C1472),"")</x:f>
      </x:c>
      <x:c r="E1472" s="16" t="str">
        <x:f>IF(ISNUMBER(C1472),C1472^2,"")</x:f>
      </x:c>
      <x:c r="F1472" s="16" t="str">
        <x:f>IF(AND(ISNUMBER(C1472),ISNUMBER($J$6),$J$6&gt;0),(C1472-$J$5)/$J$6,"")</x:f>
      </x:c>
      <x:c r="G1472" s="1" t="str">
        <x:f>IF(ISNUMBER(F1472),IF(ABS(F1472)&gt;3,1,0),"")</x:f>
      </x:c>
      <x:c r="H1472" s="1" t="str">
        <x:f>IF(ISNUMBER(F1472),F1472^4,"")</x:f>
      </x:c>
      <x:c r="I1472" s="1"/>
      <x:c r="J1472" s="1"/>
      <x:c r="K1472" s="1"/>
      <x:c r="L1472" s="1"/>
      <x:c r="M1472" s="1"/>
      <x:c r="N1472" s="1"/>
    </x:row>
    <x:row r="1473" ht="22" customHeight="1">
      <x:c r="A1473" s="14"/>
      <x:c r="B1473" s="15"/>
      <x:c r="C1473" s="16" t="str">
        <x:f>IF(AND(ISNUMBER(B1473),ISNUMBER(B1472),B1473&gt;0,B1472&gt;0),LN(B1473/B1472),"")</x:f>
      </x:c>
      <x:c r="D1473" s="16" t="str">
        <x:f>IF(ISNUMBER(C1473),ABS(C1473),"")</x:f>
      </x:c>
      <x:c r="E1473" s="16" t="str">
        <x:f>IF(ISNUMBER(C1473),C1473^2,"")</x:f>
      </x:c>
      <x:c r="F1473" s="16" t="str">
        <x:f>IF(AND(ISNUMBER(C1473),ISNUMBER($J$6),$J$6&gt;0),(C1473-$J$5)/$J$6,"")</x:f>
      </x:c>
      <x:c r="G1473" s="1" t="str">
        <x:f>IF(ISNUMBER(F1473),IF(ABS(F1473)&gt;3,1,0),"")</x:f>
      </x:c>
      <x:c r="H1473" s="1" t="str">
        <x:f>IF(ISNUMBER(F1473),F1473^4,"")</x:f>
      </x:c>
      <x:c r="I1473" s="1"/>
      <x:c r="J1473" s="1"/>
      <x:c r="K1473" s="1"/>
      <x:c r="L1473" s="1"/>
      <x:c r="M1473" s="1"/>
      <x:c r="N1473" s="1"/>
    </x:row>
    <x:row r="1474" ht="22" customHeight="1">
      <x:c r="A1474" s="14"/>
      <x:c r="B1474" s="15"/>
      <x:c r="C1474" s="16" t="str">
        <x:f>IF(AND(ISNUMBER(B1474),ISNUMBER(B1473),B1474&gt;0,B1473&gt;0),LN(B1474/B1473),"")</x:f>
      </x:c>
      <x:c r="D1474" s="16" t="str">
        <x:f>IF(ISNUMBER(C1474),ABS(C1474),"")</x:f>
      </x:c>
      <x:c r="E1474" s="16" t="str">
        <x:f>IF(ISNUMBER(C1474),C1474^2,"")</x:f>
      </x:c>
      <x:c r="F1474" s="16" t="str">
        <x:f>IF(AND(ISNUMBER(C1474),ISNUMBER($J$6),$J$6&gt;0),(C1474-$J$5)/$J$6,"")</x:f>
      </x:c>
      <x:c r="G1474" s="1" t="str">
        <x:f>IF(ISNUMBER(F1474),IF(ABS(F1474)&gt;3,1,0),"")</x:f>
      </x:c>
      <x:c r="H1474" s="1" t="str">
        <x:f>IF(ISNUMBER(F1474),F1474^4,"")</x:f>
      </x:c>
      <x:c r="I1474" s="1"/>
      <x:c r="J1474" s="1"/>
      <x:c r="K1474" s="1"/>
      <x:c r="L1474" s="1"/>
      <x:c r="M1474" s="1"/>
      <x:c r="N1474" s="1"/>
    </x:row>
    <x:row r="1475" ht="22" customHeight="1">
      <x:c r="A1475" s="14"/>
      <x:c r="B1475" s="15"/>
      <x:c r="C1475" s="16" t="str">
        <x:f>IF(AND(ISNUMBER(B1475),ISNUMBER(B1474),B1475&gt;0,B1474&gt;0),LN(B1475/B1474),"")</x:f>
      </x:c>
      <x:c r="D1475" s="16" t="str">
        <x:f>IF(ISNUMBER(C1475),ABS(C1475),"")</x:f>
      </x:c>
      <x:c r="E1475" s="16" t="str">
        <x:f>IF(ISNUMBER(C1475),C1475^2,"")</x:f>
      </x:c>
      <x:c r="F1475" s="16" t="str">
        <x:f>IF(AND(ISNUMBER(C1475),ISNUMBER($J$6),$J$6&gt;0),(C1475-$J$5)/$J$6,"")</x:f>
      </x:c>
      <x:c r="G1475" s="1" t="str">
        <x:f>IF(ISNUMBER(F1475),IF(ABS(F1475)&gt;3,1,0),"")</x:f>
      </x:c>
      <x:c r="H1475" s="1" t="str">
        <x:f>IF(ISNUMBER(F1475),F1475^4,"")</x:f>
      </x:c>
      <x:c r="I1475" s="1"/>
      <x:c r="J1475" s="1"/>
      <x:c r="K1475" s="1"/>
      <x:c r="L1475" s="1"/>
      <x:c r="M1475" s="1"/>
      <x:c r="N1475" s="1"/>
    </x:row>
    <x:row r="1476" ht="22" customHeight="1">
      <x:c r="A1476" s="14"/>
      <x:c r="B1476" s="15"/>
      <x:c r="C1476" s="16" t="str">
        <x:f>IF(AND(ISNUMBER(B1476),ISNUMBER(B1475),B1476&gt;0,B1475&gt;0),LN(B1476/B1475),"")</x:f>
      </x:c>
      <x:c r="D1476" s="16" t="str">
        <x:f>IF(ISNUMBER(C1476),ABS(C1476),"")</x:f>
      </x:c>
      <x:c r="E1476" s="16" t="str">
        <x:f>IF(ISNUMBER(C1476),C1476^2,"")</x:f>
      </x:c>
      <x:c r="F1476" s="16" t="str">
        <x:f>IF(AND(ISNUMBER(C1476),ISNUMBER($J$6),$J$6&gt;0),(C1476-$J$5)/$J$6,"")</x:f>
      </x:c>
      <x:c r="G1476" s="1" t="str">
        <x:f>IF(ISNUMBER(F1476),IF(ABS(F1476)&gt;3,1,0),"")</x:f>
      </x:c>
      <x:c r="H1476" s="1" t="str">
        <x:f>IF(ISNUMBER(F1476),F1476^4,"")</x:f>
      </x:c>
      <x:c r="I1476" s="1"/>
      <x:c r="J1476" s="1"/>
      <x:c r="K1476" s="1"/>
      <x:c r="L1476" s="1"/>
      <x:c r="M1476" s="1"/>
      <x:c r="N1476" s="1"/>
    </x:row>
    <x:row r="1477" ht="22" customHeight="1">
      <x:c r="A1477" s="14"/>
      <x:c r="B1477" s="15"/>
      <x:c r="C1477" s="16" t="str">
        <x:f>IF(AND(ISNUMBER(B1477),ISNUMBER(B1476),B1477&gt;0,B1476&gt;0),LN(B1477/B1476),"")</x:f>
      </x:c>
      <x:c r="D1477" s="16" t="str">
        <x:f>IF(ISNUMBER(C1477),ABS(C1477),"")</x:f>
      </x:c>
      <x:c r="E1477" s="16" t="str">
        <x:f>IF(ISNUMBER(C1477),C1477^2,"")</x:f>
      </x:c>
      <x:c r="F1477" s="16" t="str">
        <x:f>IF(AND(ISNUMBER(C1477),ISNUMBER($J$6),$J$6&gt;0),(C1477-$J$5)/$J$6,"")</x:f>
      </x:c>
      <x:c r="G1477" s="1" t="str">
        <x:f>IF(ISNUMBER(F1477),IF(ABS(F1477)&gt;3,1,0),"")</x:f>
      </x:c>
      <x:c r="H1477" s="1" t="str">
        <x:f>IF(ISNUMBER(F1477),F1477^4,"")</x:f>
      </x:c>
      <x:c r="I1477" s="1"/>
      <x:c r="J1477" s="1"/>
      <x:c r="K1477" s="1"/>
      <x:c r="L1477" s="1"/>
      <x:c r="M1477" s="1"/>
      <x:c r="N1477" s="1"/>
    </x:row>
    <x:row r="1478" ht="22" customHeight="1">
      <x:c r="A1478" s="14"/>
      <x:c r="B1478" s="15"/>
      <x:c r="C1478" s="16" t="str">
        <x:f>IF(AND(ISNUMBER(B1478),ISNUMBER(B1477),B1478&gt;0,B1477&gt;0),LN(B1478/B1477),"")</x:f>
      </x:c>
      <x:c r="D1478" s="16" t="str">
        <x:f>IF(ISNUMBER(C1478),ABS(C1478),"")</x:f>
      </x:c>
      <x:c r="E1478" s="16" t="str">
        <x:f>IF(ISNUMBER(C1478),C1478^2,"")</x:f>
      </x:c>
      <x:c r="F1478" s="16" t="str">
        <x:f>IF(AND(ISNUMBER(C1478),ISNUMBER($J$6),$J$6&gt;0),(C1478-$J$5)/$J$6,"")</x:f>
      </x:c>
      <x:c r="G1478" s="1" t="str">
        <x:f>IF(ISNUMBER(F1478),IF(ABS(F1478)&gt;3,1,0),"")</x:f>
      </x:c>
      <x:c r="H1478" s="1" t="str">
        <x:f>IF(ISNUMBER(F1478),F1478^4,"")</x:f>
      </x:c>
      <x:c r="I1478" s="1"/>
      <x:c r="J1478" s="1"/>
      <x:c r="K1478" s="1"/>
      <x:c r="L1478" s="1"/>
      <x:c r="M1478" s="1"/>
      <x:c r="N1478" s="1"/>
    </x:row>
    <x:row r="1479" ht="22" customHeight="1">
      <x:c r="A1479" s="14"/>
      <x:c r="B1479" s="15"/>
      <x:c r="C1479" s="16" t="str">
        <x:f>IF(AND(ISNUMBER(B1479),ISNUMBER(B1478),B1479&gt;0,B1478&gt;0),LN(B1479/B1478),"")</x:f>
      </x:c>
      <x:c r="D1479" s="16" t="str">
        <x:f>IF(ISNUMBER(C1479),ABS(C1479),"")</x:f>
      </x:c>
      <x:c r="E1479" s="16" t="str">
        <x:f>IF(ISNUMBER(C1479),C1479^2,"")</x:f>
      </x:c>
      <x:c r="F1479" s="16" t="str">
        <x:f>IF(AND(ISNUMBER(C1479),ISNUMBER($J$6),$J$6&gt;0),(C1479-$J$5)/$J$6,"")</x:f>
      </x:c>
      <x:c r="G1479" s="1" t="str">
        <x:f>IF(ISNUMBER(F1479),IF(ABS(F1479)&gt;3,1,0),"")</x:f>
      </x:c>
      <x:c r="H1479" s="1" t="str">
        <x:f>IF(ISNUMBER(F1479),F1479^4,"")</x:f>
      </x:c>
      <x:c r="I1479" s="1"/>
      <x:c r="J1479" s="1"/>
      <x:c r="K1479" s="1"/>
      <x:c r="L1479" s="1"/>
      <x:c r="M1479" s="1"/>
      <x:c r="N1479" s="1"/>
    </x:row>
    <x:row r="1480" ht="22" customHeight="1">
      <x:c r="A1480" s="14"/>
      <x:c r="B1480" s="15"/>
      <x:c r="C1480" s="16" t="str">
        <x:f>IF(AND(ISNUMBER(B1480),ISNUMBER(B1479),B1480&gt;0,B1479&gt;0),LN(B1480/B1479),"")</x:f>
      </x:c>
      <x:c r="D1480" s="16" t="str">
        <x:f>IF(ISNUMBER(C1480),ABS(C1480),"")</x:f>
      </x:c>
      <x:c r="E1480" s="16" t="str">
        <x:f>IF(ISNUMBER(C1480),C1480^2,"")</x:f>
      </x:c>
      <x:c r="F1480" s="16" t="str">
        <x:f>IF(AND(ISNUMBER(C1480),ISNUMBER($J$6),$J$6&gt;0),(C1480-$J$5)/$J$6,"")</x:f>
      </x:c>
      <x:c r="G1480" s="1" t="str">
        <x:f>IF(ISNUMBER(F1480),IF(ABS(F1480)&gt;3,1,0),"")</x:f>
      </x:c>
      <x:c r="H1480" s="1" t="str">
        <x:f>IF(ISNUMBER(F1480),F1480^4,"")</x:f>
      </x:c>
      <x:c r="I1480" s="1"/>
      <x:c r="J1480" s="1"/>
      <x:c r="K1480" s="1"/>
      <x:c r="L1480" s="1"/>
      <x:c r="M1480" s="1"/>
      <x:c r="N1480" s="1"/>
    </x:row>
    <x:row r="1481" ht="22" customHeight="1">
      <x:c r="A1481" s="14"/>
      <x:c r="B1481" s="15"/>
      <x:c r="C1481" s="16" t="str">
        <x:f>IF(AND(ISNUMBER(B1481),ISNUMBER(B1480),B1481&gt;0,B1480&gt;0),LN(B1481/B1480),"")</x:f>
      </x:c>
      <x:c r="D1481" s="16" t="str">
        <x:f>IF(ISNUMBER(C1481),ABS(C1481),"")</x:f>
      </x:c>
      <x:c r="E1481" s="16" t="str">
        <x:f>IF(ISNUMBER(C1481),C1481^2,"")</x:f>
      </x:c>
      <x:c r="F1481" s="16" t="str">
        <x:f>IF(AND(ISNUMBER(C1481),ISNUMBER($J$6),$J$6&gt;0),(C1481-$J$5)/$J$6,"")</x:f>
      </x:c>
      <x:c r="G1481" s="1" t="str">
        <x:f>IF(ISNUMBER(F1481),IF(ABS(F1481)&gt;3,1,0),"")</x:f>
      </x:c>
      <x:c r="H1481" s="1" t="str">
        <x:f>IF(ISNUMBER(F1481),F1481^4,"")</x:f>
      </x:c>
      <x:c r="I1481" s="1"/>
      <x:c r="J1481" s="1"/>
      <x:c r="K1481" s="1"/>
      <x:c r="L1481" s="1"/>
      <x:c r="M1481" s="1"/>
      <x:c r="N1481" s="1"/>
    </x:row>
    <x:row r="1482" ht="22" customHeight="1">
      <x:c r="A1482" s="14"/>
      <x:c r="B1482" s="15"/>
      <x:c r="C1482" s="16" t="str">
        <x:f>IF(AND(ISNUMBER(B1482),ISNUMBER(B1481),B1482&gt;0,B1481&gt;0),LN(B1482/B1481),"")</x:f>
      </x:c>
      <x:c r="D1482" s="16" t="str">
        <x:f>IF(ISNUMBER(C1482),ABS(C1482),"")</x:f>
      </x:c>
      <x:c r="E1482" s="16" t="str">
        <x:f>IF(ISNUMBER(C1482),C1482^2,"")</x:f>
      </x:c>
      <x:c r="F1482" s="16" t="str">
        <x:f>IF(AND(ISNUMBER(C1482),ISNUMBER($J$6),$J$6&gt;0),(C1482-$J$5)/$J$6,"")</x:f>
      </x:c>
      <x:c r="G1482" s="1" t="str">
        <x:f>IF(ISNUMBER(F1482),IF(ABS(F1482)&gt;3,1,0),"")</x:f>
      </x:c>
      <x:c r="H1482" s="1" t="str">
        <x:f>IF(ISNUMBER(F1482),F1482^4,"")</x:f>
      </x:c>
      <x:c r="I1482" s="1"/>
      <x:c r="J1482" s="1"/>
      <x:c r="K1482" s="1"/>
      <x:c r="L1482" s="1"/>
      <x:c r="M1482" s="1"/>
      <x:c r="N1482" s="1"/>
    </x:row>
    <x:row r="1483" ht="22" customHeight="1">
      <x:c r="A1483" s="14"/>
      <x:c r="B1483" s="15"/>
      <x:c r="C1483" s="16" t="str">
        <x:f>IF(AND(ISNUMBER(B1483),ISNUMBER(B1482),B1483&gt;0,B1482&gt;0),LN(B1483/B1482),"")</x:f>
      </x:c>
      <x:c r="D1483" s="16" t="str">
        <x:f>IF(ISNUMBER(C1483),ABS(C1483),"")</x:f>
      </x:c>
      <x:c r="E1483" s="16" t="str">
        <x:f>IF(ISNUMBER(C1483),C1483^2,"")</x:f>
      </x:c>
      <x:c r="F1483" s="16" t="str">
        <x:f>IF(AND(ISNUMBER(C1483),ISNUMBER($J$6),$J$6&gt;0),(C1483-$J$5)/$J$6,"")</x:f>
      </x:c>
      <x:c r="G1483" s="1" t="str">
        <x:f>IF(ISNUMBER(F1483),IF(ABS(F1483)&gt;3,1,0),"")</x:f>
      </x:c>
      <x:c r="H1483" s="1" t="str">
        <x:f>IF(ISNUMBER(F1483),F1483^4,"")</x:f>
      </x:c>
      <x:c r="I1483" s="1"/>
      <x:c r="J1483" s="1"/>
      <x:c r="K1483" s="1"/>
      <x:c r="L1483" s="1"/>
      <x:c r="M1483" s="1"/>
      <x:c r="N1483" s="1"/>
    </x:row>
    <x:row r="1484" ht="22" customHeight="1">
      <x:c r="A1484" s="14"/>
      <x:c r="B1484" s="15"/>
      <x:c r="C1484" s="16" t="str">
        <x:f>IF(AND(ISNUMBER(B1484),ISNUMBER(B1483),B1484&gt;0,B1483&gt;0),LN(B1484/B1483),"")</x:f>
      </x:c>
      <x:c r="D1484" s="16" t="str">
        <x:f>IF(ISNUMBER(C1484),ABS(C1484),"")</x:f>
      </x:c>
      <x:c r="E1484" s="16" t="str">
        <x:f>IF(ISNUMBER(C1484),C1484^2,"")</x:f>
      </x:c>
      <x:c r="F1484" s="16" t="str">
        <x:f>IF(AND(ISNUMBER(C1484),ISNUMBER($J$6),$J$6&gt;0),(C1484-$J$5)/$J$6,"")</x:f>
      </x:c>
      <x:c r="G1484" s="1" t="str">
        <x:f>IF(ISNUMBER(F1484),IF(ABS(F1484)&gt;3,1,0),"")</x:f>
      </x:c>
      <x:c r="H1484" s="1" t="str">
        <x:f>IF(ISNUMBER(F1484),F1484^4,"")</x:f>
      </x:c>
      <x:c r="I1484" s="1"/>
      <x:c r="J1484" s="1"/>
      <x:c r="K1484" s="1"/>
      <x:c r="L1484" s="1"/>
      <x:c r="M1484" s="1"/>
      <x:c r="N1484" s="1"/>
    </x:row>
    <x:row r="1485" ht="22" customHeight="1">
      <x:c r="A1485" s="14"/>
      <x:c r="B1485" s="15"/>
      <x:c r="C1485" s="16" t="str">
        <x:f>IF(AND(ISNUMBER(B1485),ISNUMBER(B1484),B1485&gt;0,B1484&gt;0),LN(B1485/B1484),"")</x:f>
      </x:c>
      <x:c r="D1485" s="16" t="str">
        <x:f>IF(ISNUMBER(C1485),ABS(C1485),"")</x:f>
      </x:c>
      <x:c r="E1485" s="16" t="str">
        <x:f>IF(ISNUMBER(C1485),C1485^2,"")</x:f>
      </x:c>
      <x:c r="F1485" s="16" t="str">
        <x:f>IF(AND(ISNUMBER(C1485),ISNUMBER($J$6),$J$6&gt;0),(C1485-$J$5)/$J$6,"")</x:f>
      </x:c>
      <x:c r="G1485" s="1" t="str">
        <x:f>IF(ISNUMBER(F1485),IF(ABS(F1485)&gt;3,1,0),"")</x:f>
      </x:c>
      <x:c r="H1485" s="1" t="str">
        <x:f>IF(ISNUMBER(F1485),F1485^4,"")</x:f>
      </x:c>
      <x:c r="I1485" s="1"/>
      <x:c r="J1485" s="1"/>
      <x:c r="K1485" s="1"/>
      <x:c r="L1485" s="1"/>
      <x:c r="M1485" s="1"/>
      <x:c r="N1485" s="1"/>
    </x:row>
    <x:row r="1486" ht="22" customHeight="1">
      <x:c r="A1486" s="14"/>
      <x:c r="B1486" s="15"/>
      <x:c r="C1486" s="16" t="str">
        <x:f>IF(AND(ISNUMBER(B1486),ISNUMBER(B1485),B1486&gt;0,B1485&gt;0),LN(B1486/B1485),"")</x:f>
      </x:c>
      <x:c r="D1486" s="16" t="str">
        <x:f>IF(ISNUMBER(C1486),ABS(C1486),"")</x:f>
      </x:c>
      <x:c r="E1486" s="16" t="str">
        <x:f>IF(ISNUMBER(C1486),C1486^2,"")</x:f>
      </x:c>
      <x:c r="F1486" s="16" t="str">
        <x:f>IF(AND(ISNUMBER(C1486),ISNUMBER($J$6),$J$6&gt;0),(C1486-$J$5)/$J$6,"")</x:f>
      </x:c>
      <x:c r="G1486" s="1" t="str">
        <x:f>IF(ISNUMBER(F1486),IF(ABS(F1486)&gt;3,1,0),"")</x:f>
      </x:c>
      <x:c r="H1486" s="1" t="str">
        <x:f>IF(ISNUMBER(F1486),F1486^4,"")</x:f>
      </x:c>
      <x:c r="I1486" s="1"/>
      <x:c r="J1486" s="1"/>
      <x:c r="K1486" s="1"/>
      <x:c r="L1486" s="1"/>
      <x:c r="M1486" s="1"/>
      <x:c r="N1486" s="1"/>
    </x:row>
    <x:row r="1487" ht="22" customHeight="1">
      <x:c r="A1487" s="14"/>
      <x:c r="B1487" s="15"/>
      <x:c r="C1487" s="16" t="str">
        <x:f>IF(AND(ISNUMBER(B1487),ISNUMBER(B1486),B1487&gt;0,B1486&gt;0),LN(B1487/B1486),"")</x:f>
      </x:c>
      <x:c r="D1487" s="16" t="str">
        <x:f>IF(ISNUMBER(C1487),ABS(C1487),"")</x:f>
      </x:c>
      <x:c r="E1487" s="16" t="str">
        <x:f>IF(ISNUMBER(C1487),C1487^2,"")</x:f>
      </x:c>
      <x:c r="F1487" s="16" t="str">
        <x:f>IF(AND(ISNUMBER(C1487),ISNUMBER($J$6),$J$6&gt;0),(C1487-$J$5)/$J$6,"")</x:f>
      </x:c>
      <x:c r="G1487" s="1" t="str">
        <x:f>IF(ISNUMBER(F1487),IF(ABS(F1487)&gt;3,1,0),"")</x:f>
      </x:c>
      <x:c r="H1487" s="1" t="str">
        <x:f>IF(ISNUMBER(F1487),F1487^4,"")</x:f>
      </x:c>
      <x:c r="I1487" s="1"/>
      <x:c r="J1487" s="1"/>
      <x:c r="K1487" s="1"/>
      <x:c r="L1487" s="1"/>
      <x:c r="M1487" s="1"/>
      <x:c r="N1487" s="1"/>
    </x:row>
    <x:row r="1488" ht="22" customHeight="1">
      <x:c r="A1488" s="14"/>
      <x:c r="B1488" s="15"/>
      <x:c r="C1488" s="16" t="str">
        <x:f>IF(AND(ISNUMBER(B1488),ISNUMBER(B1487),B1488&gt;0,B1487&gt;0),LN(B1488/B1487),"")</x:f>
      </x:c>
      <x:c r="D1488" s="16" t="str">
        <x:f>IF(ISNUMBER(C1488),ABS(C1488),"")</x:f>
      </x:c>
      <x:c r="E1488" s="16" t="str">
        <x:f>IF(ISNUMBER(C1488),C1488^2,"")</x:f>
      </x:c>
      <x:c r="F1488" s="16" t="str">
        <x:f>IF(AND(ISNUMBER(C1488),ISNUMBER($J$6),$J$6&gt;0),(C1488-$J$5)/$J$6,"")</x:f>
      </x:c>
      <x:c r="G1488" s="1" t="str">
        <x:f>IF(ISNUMBER(F1488),IF(ABS(F1488)&gt;3,1,0),"")</x:f>
      </x:c>
      <x:c r="H1488" s="1" t="str">
        <x:f>IF(ISNUMBER(F1488),F1488^4,"")</x:f>
      </x:c>
      <x:c r="I1488" s="1"/>
      <x:c r="J1488" s="1"/>
      <x:c r="K1488" s="1"/>
      <x:c r="L1488" s="1"/>
      <x:c r="M1488" s="1"/>
      <x:c r="N1488" s="1"/>
    </x:row>
    <x:row r="1489" ht="22" customHeight="1">
      <x:c r="A1489" s="14"/>
      <x:c r="B1489" s="15"/>
      <x:c r="C1489" s="16" t="str">
        <x:f>IF(AND(ISNUMBER(B1489),ISNUMBER(B1488),B1489&gt;0,B1488&gt;0),LN(B1489/B1488),"")</x:f>
      </x:c>
      <x:c r="D1489" s="16" t="str">
        <x:f>IF(ISNUMBER(C1489),ABS(C1489),"")</x:f>
      </x:c>
      <x:c r="E1489" s="16" t="str">
        <x:f>IF(ISNUMBER(C1489),C1489^2,"")</x:f>
      </x:c>
      <x:c r="F1489" s="16" t="str">
        <x:f>IF(AND(ISNUMBER(C1489),ISNUMBER($J$6),$J$6&gt;0),(C1489-$J$5)/$J$6,"")</x:f>
      </x:c>
      <x:c r="G1489" s="1" t="str">
        <x:f>IF(ISNUMBER(F1489),IF(ABS(F1489)&gt;3,1,0),"")</x:f>
      </x:c>
      <x:c r="H1489" s="1" t="str">
        <x:f>IF(ISNUMBER(F1489),F1489^4,"")</x:f>
      </x:c>
      <x:c r="I1489" s="1"/>
      <x:c r="J1489" s="1"/>
      <x:c r="K1489" s="1"/>
      <x:c r="L1489" s="1"/>
      <x:c r="M1489" s="1"/>
      <x:c r="N1489" s="1"/>
    </x:row>
    <x:row r="1490" ht="22" customHeight="1">
      <x:c r="A1490" s="14"/>
      <x:c r="B1490" s="15"/>
      <x:c r="C1490" s="16" t="str">
        <x:f>IF(AND(ISNUMBER(B1490),ISNUMBER(B1489),B1490&gt;0,B1489&gt;0),LN(B1490/B1489),"")</x:f>
      </x:c>
      <x:c r="D1490" s="16" t="str">
        <x:f>IF(ISNUMBER(C1490),ABS(C1490),"")</x:f>
      </x:c>
      <x:c r="E1490" s="16" t="str">
        <x:f>IF(ISNUMBER(C1490),C1490^2,"")</x:f>
      </x:c>
      <x:c r="F1490" s="16" t="str">
        <x:f>IF(AND(ISNUMBER(C1490),ISNUMBER($J$6),$J$6&gt;0),(C1490-$J$5)/$J$6,"")</x:f>
      </x:c>
      <x:c r="G1490" s="1" t="str">
        <x:f>IF(ISNUMBER(F1490),IF(ABS(F1490)&gt;3,1,0),"")</x:f>
      </x:c>
      <x:c r="H1490" s="1" t="str">
        <x:f>IF(ISNUMBER(F1490),F1490^4,"")</x:f>
      </x:c>
      <x:c r="I1490" s="1"/>
      <x:c r="J1490" s="1"/>
      <x:c r="K1490" s="1"/>
      <x:c r="L1490" s="1"/>
      <x:c r="M1490" s="1"/>
      <x:c r="N1490" s="1"/>
    </x:row>
    <x:row r="1491" ht="22" customHeight="1">
      <x:c r="A1491" s="14"/>
      <x:c r="B1491" s="15"/>
      <x:c r="C1491" s="16" t="str">
        <x:f>IF(AND(ISNUMBER(B1491),ISNUMBER(B1490),B1491&gt;0,B1490&gt;0),LN(B1491/B1490),"")</x:f>
      </x:c>
      <x:c r="D1491" s="16" t="str">
        <x:f>IF(ISNUMBER(C1491),ABS(C1491),"")</x:f>
      </x:c>
      <x:c r="E1491" s="16" t="str">
        <x:f>IF(ISNUMBER(C1491),C1491^2,"")</x:f>
      </x:c>
      <x:c r="F1491" s="16" t="str">
        <x:f>IF(AND(ISNUMBER(C1491),ISNUMBER($J$6),$J$6&gt;0),(C1491-$J$5)/$J$6,"")</x:f>
      </x:c>
      <x:c r="G1491" s="1" t="str">
        <x:f>IF(ISNUMBER(F1491),IF(ABS(F1491)&gt;3,1,0),"")</x:f>
      </x:c>
      <x:c r="H1491" s="1" t="str">
        <x:f>IF(ISNUMBER(F1491),F1491^4,"")</x:f>
      </x:c>
      <x:c r="I1491" s="1"/>
      <x:c r="J1491" s="1"/>
      <x:c r="K1491" s="1"/>
      <x:c r="L1491" s="1"/>
      <x:c r="M1491" s="1"/>
      <x:c r="N1491" s="1"/>
    </x:row>
    <x:row r="1492" ht="22" customHeight="1">
      <x:c r="A1492" s="14"/>
      <x:c r="B1492" s="15"/>
      <x:c r="C1492" s="16" t="str">
        <x:f>IF(AND(ISNUMBER(B1492),ISNUMBER(B1491),B1492&gt;0,B1491&gt;0),LN(B1492/B1491),"")</x:f>
      </x:c>
      <x:c r="D1492" s="16" t="str">
        <x:f>IF(ISNUMBER(C1492),ABS(C1492),"")</x:f>
      </x:c>
      <x:c r="E1492" s="16" t="str">
        <x:f>IF(ISNUMBER(C1492),C1492^2,"")</x:f>
      </x:c>
      <x:c r="F1492" s="16" t="str">
        <x:f>IF(AND(ISNUMBER(C1492),ISNUMBER($J$6),$J$6&gt;0),(C1492-$J$5)/$J$6,"")</x:f>
      </x:c>
      <x:c r="G1492" s="1" t="str">
        <x:f>IF(ISNUMBER(F1492),IF(ABS(F1492)&gt;3,1,0),"")</x:f>
      </x:c>
      <x:c r="H1492" s="1" t="str">
        <x:f>IF(ISNUMBER(F1492),F1492^4,"")</x:f>
      </x:c>
      <x:c r="I1492" s="1"/>
      <x:c r="J1492" s="1"/>
      <x:c r="K1492" s="1"/>
      <x:c r="L1492" s="1"/>
      <x:c r="M1492" s="1"/>
      <x:c r="N1492" s="1"/>
    </x:row>
    <x:row r="1493" ht="22" customHeight="1">
      <x:c r="A1493" s="14"/>
      <x:c r="B1493" s="15"/>
      <x:c r="C1493" s="16" t="str">
        <x:f>IF(AND(ISNUMBER(B1493),ISNUMBER(B1492),B1493&gt;0,B1492&gt;0),LN(B1493/B1492),"")</x:f>
      </x:c>
      <x:c r="D1493" s="16" t="str">
        <x:f>IF(ISNUMBER(C1493),ABS(C1493),"")</x:f>
      </x:c>
      <x:c r="E1493" s="16" t="str">
        <x:f>IF(ISNUMBER(C1493),C1493^2,"")</x:f>
      </x:c>
      <x:c r="F1493" s="16" t="str">
        <x:f>IF(AND(ISNUMBER(C1493),ISNUMBER($J$6),$J$6&gt;0),(C1493-$J$5)/$J$6,"")</x:f>
      </x:c>
      <x:c r="G1493" s="1" t="str">
        <x:f>IF(ISNUMBER(F1493),IF(ABS(F1493)&gt;3,1,0),"")</x:f>
      </x:c>
      <x:c r="H1493" s="1" t="str">
        <x:f>IF(ISNUMBER(F1493),F1493^4,"")</x:f>
      </x:c>
      <x:c r="I1493" s="1"/>
      <x:c r="J1493" s="1"/>
      <x:c r="K1493" s="1"/>
      <x:c r="L1493" s="1"/>
      <x:c r="M1493" s="1"/>
      <x:c r="N1493" s="1"/>
    </x:row>
    <x:row r="1494" ht="22" customHeight="1">
      <x:c r="A1494" s="14"/>
      <x:c r="B1494" s="15"/>
      <x:c r="C1494" s="16" t="str">
        <x:f>IF(AND(ISNUMBER(B1494),ISNUMBER(B1493),B1494&gt;0,B1493&gt;0),LN(B1494/B1493),"")</x:f>
      </x:c>
      <x:c r="D1494" s="16" t="str">
        <x:f>IF(ISNUMBER(C1494),ABS(C1494),"")</x:f>
      </x:c>
      <x:c r="E1494" s="16" t="str">
        <x:f>IF(ISNUMBER(C1494),C1494^2,"")</x:f>
      </x:c>
      <x:c r="F1494" s="16" t="str">
        <x:f>IF(AND(ISNUMBER(C1494),ISNUMBER($J$6),$J$6&gt;0),(C1494-$J$5)/$J$6,"")</x:f>
      </x:c>
      <x:c r="G1494" s="1" t="str">
        <x:f>IF(ISNUMBER(F1494),IF(ABS(F1494)&gt;3,1,0),"")</x:f>
      </x:c>
      <x:c r="H1494" s="1" t="str">
        <x:f>IF(ISNUMBER(F1494),F1494^4,"")</x:f>
      </x:c>
      <x:c r="I1494" s="1"/>
      <x:c r="J1494" s="1"/>
      <x:c r="K1494" s="1"/>
      <x:c r="L1494" s="1"/>
      <x:c r="M1494" s="1"/>
      <x:c r="N1494" s="1"/>
    </x:row>
    <x:row r="1495" ht="22" customHeight="1">
      <x:c r="A1495" s="14"/>
      <x:c r="B1495" s="15"/>
      <x:c r="C1495" s="16" t="str">
        <x:f>IF(AND(ISNUMBER(B1495),ISNUMBER(B1494),B1495&gt;0,B1494&gt;0),LN(B1495/B1494),"")</x:f>
      </x:c>
      <x:c r="D1495" s="16" t="str">
        <x:f>IF(ISNUMBER(C1495),ABS(C1495),"")</x:f>
      </x:c>
      <x:c r="E1495" s="16" t="str">
        <x:f>IF(ISNUMBER(C1495),C1495^2,"")</x:f>
      </x:c>
      <x:c r="F1495" s="16" t="str">
        <x:f>IF(AND(ISNUMBER(C1495),ISNUMBER($J$6),$J$6&gt;0),(C1495-$J$5)/$J$6,"")</x:f>
      </x:c>
      <x:c r="G1495" s="1" t="str">
        <x:f>IF(ISNUMBER(F1495),IF(ABS(F1495)&gt;3,1,0),"")</x:f>
      </x:c>
      <x:c r="H1495" s="1" t="str">
        <x:f>IF(ISNUMBER(F1495),F1495^4,"")</x:f>
      </x:c>
      <x:c r="I1495" s="1"/>
      <x:c r="J1495" s="1"/>
      <x:c r="K1495" s="1"/>
      <x:c r="L1495" s="1"/>
      <x:c r="M1495" s="1"/>
      <x:c r="N1495" s="1"/>
    </x:row>
    <x:row r="1496" ht="22" customHeight="1">
      <x:c r="A1496" s="14"/>
      <x:c r="B1496" s="15"/>
      <x:c r="C1496" s="16" t="str">
        <x:f>IF(AND(ISNUMBER(B1496),ISNUMBER(B1495),B1496&gt;0,B1495&gt;0),LN(B1496/B1495),"")</x:f>
      </x:c>
      <x:c r="D1496" s="16" t="str">
        <x:f>IF(ISNUMBER(C1496),ABS(C1496),"")</x:f>
      </x:c>
      <x:c r="E1496" s="16" t="str">
        <x:f>IF(ISNUMBER(C1496),C1496^2,"")</x:f>
      </x:c>
      <x:c r="F1496" s="16" t="str">
        <x:f>IF(AND(ISNUMBER(C1496),ISNUMBER($J$6),$J$6&gt;0),(C1496-$J$5)/$J$6,"")</x:f>
      </x:c>
      <x:c r="G1496" s="1" t="str">
        <x:f>IF(ISNUMBER(F1496),IF(ABS(F1496)&gt;3,1,0),"")</x:f>
      </x:c>
      <x:c r="H1496" s="1" t="str">
        <x:f>IF(ISNUMBER(F1496),F1496^4,"")</x:f>
      </x:c>
      <x:c r="I1496" s="1"/>
      <x:c r="J1496" s="1"/>
      <x:c r="K1496" s="1"/>
      <x:c r="L1496" s="1"/>
      <x:c r="M1496" s="1"/>
      <x:c r="N1496" s="1"/>
    </x:row>
    <x:row r="1497" ht="22" customHeight="1">
      <x:c r="A1497" s="14"/>
      <x:c r="B1497" s="15"/>
      <x:c r="C1497" s="16" t="str">
        <x:f>IF(AND(ISNUMBER(B1497),ISNUMBER(B1496),B1497&gt;0,B1496&gt;0),LN(B1497/B1496),"")</x:f>
      </x:c>
      <x:c r="D1497" s="16" t="str">
        <x:f>IF(ISNUMBER(C1497),ABS(C1497),"")</x:f>
      </x:c>
      <x:c r="E1497" s="16" t="str">
        <x:f>IF(ISNUMBER(C1497),C1497^2,"")</x:f>
      </x:c>
      <x:c r="F1497" s="16" t="str">
        <x:f>IF(AND(ISNUMBER(C1497),ISNUMBER($J$6),$J$6&gt;0),(C1497-$J$5)/$J$6,"")</x:f>
      </x:c>
      <x:c r="G1497" s="1" t="str">
        <x:f>IF(ISNUMBER(F1497),IF(ABS(F1497)&gt;3,1,0),"")</x:f>
      </x:c>
      <x:c r="H1497" s="1" t="str">
        <x:f>IF(ISNUMBER(F1497),F1497^4,"")</x:f>
      </x:c>
      <x:c r="I1497" s="1"/>
      <x:c r="J1497" s="1"/>
      <x:c r="K1497" s="1"/>
      <x:c r="L1497" s="1"/>
      <x:c r="M1497" s="1"/>
      <x:c r="N1497" s="1"/>
    </x:row>
    <x:row r="1498" ht="22" customHeight="1">
      <x:c r="A1498" s="14"/>
      <x:c r="B1498" s="15"/>
      <x:c r="C1498" s="16" t="str">
        <x:f>IF(AND(ISNUMBER(B1498),ISNUMBER(B1497),B1498&gt;0,B1497&gt;0),LN(B1498/B1497),"")</x:f>
      </x:c>
      <x:c r="D1498" s="16" t="str">
        <x:f>IF(ISNUMBER(C1498),ABS(C1498),"")</x:f>
      </x:c>
      <x:c r="E1498" s="16" t="str">
        <x:f>IF(ISNUMBER(C1498),C1498^2,"")</x:f>
      </x:c>
      <x:c r="F1498" s="16" t="str">
        <x:f>IF(AND(ISNUMBER(C1498),ISNUMBER($J$6),$J$6&gt;0),(C1498-$J$5)/$J$6,"")</x:f>
      </x:c>
      <x:c r="G1498" s="1" t="str">
        <x:f>IF(ISNUMBER(F1498),IF(ABS(F1498)&gt;3,1,0),"")</x:f>
      </x:c>
      <x:c r="H1498" s="1" t="str">
        <x:f>IF(ISNUMBER(F1498),F1498^4,"")</x:f>
      </x:c>
      <x:c r="I1498" s="1"/>
      <x:c r="J1498" s="1"/>
      <x:c r="K1498" s="1"/>
      <x:c r="L1498" s="1"/>
      <x:c r="M1498" s="1"/>
      <x:c r="N1498" s="1"/>
    </x:row>
    <x:row r="1499" ht="22" customHeight="1">
      <x:c r="A1499" s="14"/>
      <x:c r="B1499" s="15"/>
      <x:c r="C1499" s="16" t="str">
        <x:f>IF(AND(ISNUMBER(B1499),ISNUMBER(B1498),B1499&gt;0,B1498&gt;0),LN(B1499/B1498),"")</x:f>
      </x:c>
      <x:c r="D1499" s="16" t="str">
        <x:f>IF(ISNUMBER(C1499),ABS(C1499),"")</x:f>
      </x:c>
      <x:c r="E1499" s="16" t="str">
        <x:f>IF(ISNUMBER(C1499),C1499^2,"")</x:f>
      </x:c>
      <x:c r="F1499" s="16" t="str">
        <x:f>IF(AND(ISNUMBER(C1499),ISNUMBER($J$6),$J$6&gt;0),(C1499-$J$5)/$J$6,"")</x:f>
      </x:c>
      <x:c r="G1499" s="1" t="str">
        <x:f>IF(ISNUMBER(F1499),IF(ABS(F1499)&gt;3,1,0),"")</x:f>
      </x:c>
      <x:c r="H1499" s="1" t="str">
        <x:f>IF(ISNUMBER(F1499),F1499^4,"")</x:f>
      </x:c>
      <x:c r="I1499" s="1"/>
      <x:c r="J1499" s="1"/>
      <x:c r="K1499" s="1"/>
      <x:c r="L1499" s="1"/>
      <x:c r="M1499" s="1"/>
      <x:c r="N1499" s="1"/>
    </x:row>
    <x:row r="1500" ht="22" customHeight="1">
      <x:c r="A1500" s="14"/>
      <x:c r="B1500" s="15"/>
      <x:c r="C1500" s="16" t="str">
        <x:f>IF(AND(ISNUMBER(B1500),ISNUMBER(B1499),B1500&gt;0,B1499&gt;0),LN(B1500/B1499),"")</x:f>
      </x:c>
      <x:c r="D1500" s="16" t="str">
        <x:f>IF(ISNUMBER(C1500),ABS(C1500),"")</x:f>
      </x:c>
      <x:c r="E1500" s="16" t="str">
        <x:f>IF(ISNUMBER(C1500),C1500^2,"")</x:f>
      </x:c>
      <x:c r="F1500" s="16" t="str">
        <x:f>IF(AND(ISNUMBER(C1500),ISNUMBER($J$6),$J$6&gt;0),(C1500-$J$5)/$J$6,"")</x:f>
      </x:c>
      <x:c r="G1500" s="1" t="str">
        <x:f>IF(ISNUMBER(F1500),IF(ABS(F1500)&gt;3,1,0),"")</x:f>
      </x:c>
      <x:c r="H1500" s="1" t="str">
        <x:f>IF(ISNUMBER(F1500),F1500^4,"")</x:f>
      </x:c>
      <x:c r="I1500" s="1"/>
      <x:c r="J1500" s="1"/>
      <x:c r="K1500" s="1"/>
      <x:c r="L1500" s="1"/>
      <x:c r="M1500" s="1"/>
      <x:c r="N1500" s="1"/>
    </x:row>
    <x:row r="1501" ht="22" customHeight="1">
      <x:c r="A1501" s="14"/>
      <x:c r="B1501" s="15"/>
      <x:c r="C1501" s="16" t="str">
        <x:f>IF(AND(ISNUMBER(B1501),ISNUMBER(B1500),B1501&gt;0,B1500&gt;0),LN(B1501/B1500),"")</x:f>
      </x:c>
      <x:c r="D1501" s="16" t="str">
        <x:f>IF(ISNUMBER(C1501),ABS(C1501),"")</x:f>
      </x:c>
      <x:c r="E1501" s="16" t="str">
        <x:f>IF(ISNUMBER(C1501),C1501^2,"")</x:f>
      </x:c>
      <x:c r="F1501" s="16" t="str">
        <x:f>IF(AND(ISNUMBER(C1501),ISNUMBER($J$6),$J$6&gt;0),(C1501-$J$5)/$J$6,"")</x:f>
      </x:c>
      <x:c r="G1501" s="1" t="str">
        <x:f>IF(ISNUMBER(F1501),IF(ABS(F1501)&gt;3,1,0),"")</x:f>
      </x:c>
      <x:c r="H1501" s="1" t="str">
        <x:f>IF(ISNUMBER(F1501),F1501^4,"")</x:f>
      </x:c>
      <x:c r="I1501" s="1"/>
      <x:c r="J1501" s="1"/>
      <x:c r="K1501" s="1"/>
      <x:c r="L1501" s="1"/>
      <x:c r="M1501" s="1"/>
      <x:c r="N1501" s="1"/>
    </x:row>
    <x:row r="1502" ht="22" customHeight="1">
      <x:c r="A1502" s="14"/>
      <x:c r="B1502" s="15"/>
      <x:c r="C1502" s="16" t="str">
        <x:f>IF(AND(ISNUMBER(B1502),ISNUMBER(B1501),B1502&gt;0,B1501&gt;0),LN(B1502/B1501),"")</x:f>
      </x:c>
      <x:c r="D1502" s="16" t="str">
        <x:f>IF(ISNUMBER(C1502),ABS(C1502),"")</x:f>
      </x:c>
      <x:c r="E1502" s="16" t="str">
        <x:f>IF(ISNUMBER(C1502),C1502^2,"")</x:f>
      </x:c>
      <x:c r="F1502" s="16" t="str">
        <x:f>IF(AND(ISNUMBER(C1502),ISNUMBER($J$6),$J$6&gt;0),(C1502-$J$5)/$J$6,"")</x:f>
      </x:c>
      <x:c r="G1502" s="1" t="str">
        <x:f>IF(ISNUMBER(F1502),IF(ABS(F1502)&gt;3,1,0),"")</x:f>
      </x:c>
      <x:c r="H1502" s="1" t="str">
        <x:f>IF(ISNUMBER(F1502),F1502^4,"")</x:f>
      </x:c>
      <x:c r="I1502" s="1"/>
      <x:c r="J1502" s="1"/>
      <x:c r="K1502" s="1"/>
      <x:c r="L1502" s="1"/>
      <x:c r="M1502" s="1"/>
      <x:c r="N1502" s="1"/>
    </x:row>
    <x:row r="1503" ht="22" customHeight="1">
      <x:c r="A1503" s="14"/>
      <x:c r="B1503" s="15"/>
      <x:c r="C1503" s="16" t="str">
        <x:f>IF(AND(ISNUMBER(B1503),ISNUMBER(B1502),B1503&gt;0,B1502&gt;0),LN(B1503/B1502),"")</x:f>
      </x:c>
      <x:c r="D1503" s="16" t="str">
        <x:f>IF(ISNUMBER(C1503),ABS(C1503),"")</x:f>
      </x:c>
      <x:c r="E1503" s="16" t="str">
        <x:f>IF(ISNUMBER(C1503),C1503^2,"")</x:f>
      </x:c>
      <x:c r="F1503" s="16" t="str">
        <x:f>IF(AND(ISNUMBER(C1503),ISNUMBER($J$6),$J$6&gt;0),(C1503-$J$5)/$J$6,"")</x:f>
      </x:c>
      <x:c r="G1503" s="1" t="str">
        <x:f>IF(ISNUMBER(F1503),IF(ABS(F1503)&gt;3,1,0),"")</x:f>
      </x:c>
      <x:c r="H1503" s="1" t="str">
        <x:f>IF(ISNUMBER(F1503),F1503^4,"")</x:f>
      </x:c>
      <x:c r="I1503" s="1"/>
      <x:c r="J1503" s="1"/>
      <x:c r="K1503" s="1"/>
      <x:c r="L1503" s="1"/>
      <x:c r="M1503" s="1"/>
      <x:c r="N1503" s="1"/>
    </x:row>
    <x:row r="1504" ht="22" customHeight="1">
      <x:c r="A1504" s="14"/>
      <x:c r="B1504" s="15"/>
      <x:c r="C1504" s="16" t="str">
        <x:f>IF(AND(ISNUMBER(B1504),ISNUMBER(B1503),B1504&gt;0,B1503&gt;0),LN(B1504/B1503),"")</x:f>
      </x:c>
      <x:c r="D1504" s="16" t="str">
        <x:f>IF(ISNUMBER(C1504),ABS(C1504),"")</x:f>
      </x:c>
      <x:c r="E1504" s="16" t="str">
        <x:f>IF(ISNUMBER(C1504),C1504^2,"")</x:f>
      </x:c>
      <x:c r="F1504" s="16" t="str">
        <x:f>IF(AND(ISNUMBER(C1504),ISNUMBER($J$6),$J$6&gt;0),(C1504-$J$5)/$J$6,"")</x:f>
      </x:c>
      <x:c r="G1504" s="1" t="str">
        <x:f>IF(ISNUMBER(F1504),IF(ABS(F1504)&gt;3,1,0),"")</x:f>
      </x:c>
      <x:c r="H1504" s="1" t="str">
        <x:f>IF(ISNUMBER(F1504),F1504^4,"")</x:f>
      </x:c>
      <x:c r="I1504" s="1"/>
      <x:c r="J1504" s="1"/>
      <x:c r="K1504" s="1"/>
      <x:c r="L1504" s="1"/>
      <x:c r="M1504" s="1"/>
      <x:c r="N1504" s="1"/>
    </x:row>
    <x:row r="1505" ht="22" customHeight="1">
      <x:c r="A1505" s="14"/>
      <x:c r="B1505" s="15"/>
      <x:c r="C1505" s="16" t="str">
        <x:f>IF(AND(ISNUMBER(B1505),ISNUMBER(B1504),B1505&gt;0,B1504&gt;0),LN(B1505/B1504),"")</x:f>
      </x:c>
      <x:c r="D1505" s="16" t="str">
        <x:f>IF(ISNUMBER(C1505),ABS(C1505),"")</x:f>
      </x:c>
      <x:c r="E1505" s="16" t="str">
        <x:f>IF(ISNUMBER(C1505),C1505^2,"")</x:f>
      </x:c>
      <x:c r="F1505" s="16" t="str">
        <x:f>IF(AND(ISNUMBER(C1505),ISNUMBER($J$6),$J$6&gt;0),(C1505-$J$5)/$J$6,"")</x:f>
      </x:c>
      <x:c r="G1505" s="1" t="str">
        <x:f>IF(ISNUMBER(F1505),IF(ABS(F1505)&gt;3,1,0),"")</x:f>
      </x:c>
      <x:c r="H1505" s="1" t="str">
        <x:f>IF(ISNUMBER(F1505),F1505^4,"")</x:f>
      </x:c>
      <x:c r="I1505" s="1"/>
      <x:c r="J1505" s="1"/>
      <x:c r="K1505" s="1"/>
      <x:c r="L1505" s="1"/>
      <x:c r="M1505" s="1"/>
      <x:c r="N1505" s="1"/>
    </x:row>
    <x:row r="1506" ht="22" customHeight="1">
      <x:c r="A1506" s="14"/>
      <x:c r="B1506" s="15"/>
      <x:c r="C1506" s="16" t="str">
        <x:f>IF(AND(ISNUMBER(B1506),ISNUMBER(B1505),B1506&gt;0,B1505&gt;0),LN(B1506/B1505),"")</x:f>
      </x:c>
      <x:c r="D1506" s="16" t="str">
        <x:f>IF(ISNUMBER(C1506),ABS(C1506),"")</x:f>
      </x:c>
      <x:c r="E1506" s="16" t="str">
        <x:f>IF(ISNUMBER(C1506),C1506^2,"")</x:f>
      </x:c>
      <x:c r="F1506" s="16" t="str">
        <x:f>IF(AND(ISNUMBER(C1506),ISNUMBER($J$6),$J$6&gt;0),(C1506-$J$5)/$J$6,"")</x:f>
      </x:c>
      <x:c r="G1506" s="1" t="str">
        <x:f>IF(ISNUMBER(F1506),IF(ABS(F1506)&gt;3,1,0),"")</x:f>
      </x:c>
      <x:c r="H1506" s="1" t="str">
        <x:f>IF(ISNUMBER(F1506),F1506^4,"")</x:f>
      </x:c>
      <x:c r="I1506" s="1"/>
      <x:c r="J1506" s="1"/>
      <x:c r="K1506" s="1"/>
      <x:c r="L1506" s="1"/>
      <x:c r="M1506" s="1"/>
      <x:c r="N1506" s="1"/>
    </x:row>
    <x:row r="1507" ht="22" customHeight="1">
      <x:c r="A1507" s="14"/>
      <x:c r="B1507" s="15"/>
      <x:c r="C1507" s="16" t="str">
        <x:f>IF(AND(ISNUMBER(B1507),ISNUMBER(B1506),B1507&gt;0,B1506&gt;0),LN(B1507/B1506),"")</x:f>
      </x:c>
      <x:c r="D1507" s="16" t="str">
        <x:f>IF(ISNUMBER(C1507),ABS(C1507),"")</x:f>
      </x:c>
      <x:c r="E1507" s="16" t="str">
        <x:f>IF(ISNUMBER(C1507),C1507^2,"")</x:f>
      </x:c>
      <x:c r="F1507" s="16" t="str">
        <x:f>IF(AND(ISNUMBER(C1507),ISNUMBER($J$6),$J$6&gt;0),(C1507-$J$5)/$J$6,"")</x:f>
      </x:c>
      <x:c r="G1507" s="1" t="str">
        <x:f>IF(ISNUMBER(F1507),IF(ABS(F1507)&gt;3,1,0),"")</x:f>
      </x:c>
      <x:c r="H1507" s="1" t="str">
        <x:f>IF(ISNUMBER(F1507),F1507^4,"")</x:f>
      </x:c>
      <x:c r="I1507" s="1"/>
      <x:c r="J1507" s="1"/>
      <x:c r="K1507" s="1"/>
      <x:c r="L1507" s="1"/>
      <x:c r="M1507" s="1"/>
      <x:c r="N1507" s="1"/>
    </x:row>
    <x:row r="1508" ht="22" customHeight="1">
      <x:c r="A1508" s="14"/>
      <x:c r="B1508" s="15"/>
      <x:c r="C1508" s="16" t="str">
        <x:f>IF(AND(ISNUMBER(B1508),ISNUMBER(B1507),B1508&gt;0,B1507&gt;0),LN(B1508/B1507),"")</x:f>
      </x:c>
      <x:c r="D1508" s="16" t="str">
        <x:f>IF(ISNUMBER(C1508),ABS(C1508),"")</x:f>
      </x:c>
      <x:c r="E1508" s="16" t="str">
        <x:f>IF(ISNUMBER(C1508),C1508^2,"")</x:f>
      </x:c>
      <x:c r="F1508" s="16" t="str">
        <x:f>IF(AND(ISNUMBER(C1508),ISNUMBER($J$6),$J$6&gt;0),(C1508-$J$5)/$J$6,"")</x:f>
      </x:c>
      <x:c r="G1508" s="1" t="str">
        <x:f>IF(ISNUMBER(F1508),IF(ABS(F1508)&gt;3,1,0),"")</x:f>
      </x:c>
      <x:c r="H1508" s="1" t="str">
        <x:f>IF(ISNUMBER(F1508),F1508^4,"")</x:f>
      </x:c>
      <x:c r="I1508" s="1"/>
      <x:c r="J1508" s="1"/>
      <x:c r="K1508" s="1"/>
      <x:c r="L1508" s="1"/>
      <x:c r="M1508" s="1"/>
      <x:c r="N1508" s="1"/>
    </x:row>
    <x:row r="1509" ht="22" customHeight="1">
      <x:c r="A1509" s="14"/>
      <x:c r="B1509" s="15"/>
      <x:c r="C1509" s="16" t="str">
        <x:f>IF(AND(ISNUMBER(B1509),ISNUMBER(B1508),B1509&gt;0,B1508&gt;0),LN(B1509/B1508),"")</x:f>
      </x:c>
      <x:c r="D1509" s="16" t="str">
        <x:f>IF(ISNUMBER(C1509),ABS(C1509),"")</x:f>
      </x:c>
      <x:c r="E1509" s="16" t="str">
        <x:f>IF(ISNUMBER(C1509),C1509^2,"")</x:f>
      </x:c>
      <x:c r="F1509" s="16" t="str">
        <x:f>IF(AND(ISNUMBER(C1509),ISNUMBER($J$6),$J$6&gt;0),(C1509-$J$5)/$J$6,"")</x:f>
      </x:c>
      <x:c r="G1509" s="1" t="str">
        <x:f>IF(ISNUMBER(F1509),IF(ABS(F1509)&gt;3,1,0),"")</x:f>
      </x:c>
      <x:c r="H1509" s="1" t="str">
        <x:f>IF(ISNUMBER(F1509),F1509^4,"")</x:f>
      </x:c>
      <x:c r="I1509" s="1"/>
      <x:c r="J1509" s="1"/>
      <x:c r="K1509" s="1"/>
      <x:c r="L1509" s="1"/>
      <x:c r="M1509" s="1"/>
      <x:c r="N1509" s="1"/>
    </x:row>
    <x:row r="1510" ht="22" customHeight="1">
      <x:c r="A1510" s="14"/>
      <x:c r="B1510" s="15"/>
      <x:c r="C1510" s="16" t="str">
        <x:f>IF(AND(ISNUMBER(B1510),ISNUMBER(B1509),B1510&gt;0,B1509&gt;0),LN(B1510/B1509),"")</x:f>
      </x:c>
      <x:c r="D1510" s="16" t="str">
        <x:f>IF(ISNUMBER(C1510),ABS(C1510),"")</x:f>
      </x:c>
      <x:c r="E1510" s="16" t="str">
        <x:f>IF(ISNUMBER(C1510),C1510^2,"")</x:f>
      </x:c>
      <x:c r="F1510" s="16" t="str">
        <x:f>IF(AND(ISNUMBER(C1510),ISNUMBER($J$6),$J$6&gt;0),(C1510-$J$5)/$J$6,"")</x:f>
      </x:c>
      <x:c r="G1510" s="1" t="str">
        <x:f>IF(ISNUMBER(F1510),IF(ABS(F1510)&gt;3,1,0),"")</x:f>
      </x:c>
      <x:c r="H1510" s="1" t="str">
        <x:f>IF(ISNUMBER(F1510),F1510^4,"")</x:f>
      </x:c>
      <x:c r="I1510" s="1"/>
      <x:c r="J1510" s="1"/>
      <x:c r="K1510" s="1"/>
      <x:c r="L1510" s="1"/>
      <x:c r="M1510" s="1"/>
      <x:c r="N1510" s="1"/>
    </x:row>
    <x:row r="1511" ht="22" customHeight="1">
      <x:c r="A1511" s="14"/>
      <x:c r="B1511" s="15"/>
      <x:c r="C1511" s="16" t="str">
        <x:f>IF(AND(ISNUMBER(B1511),ISNUMBER(B1510),B1511&gt;0,B1510&gt;0),LN(B1511/B1510),"")</x:f>
      </x:c>
      <x:c r="D1511" s="16" t="str">
        <x:f>IF(ISNUMBER(C1511),ABS(C1511),"")</x:f>
      </x:c>
      <x:c r="E1511" s="16" t="str">
        <x:f>IF(ISNUMBER(C1511),C1511^2,"")</x:f>
      </x:c>
      <x:c r="F1511" s="16" t="str">
        <x:f>IF(AND(ISNUMBER(C1511),ISNUMBER($J$6),$J$6&gt;0),(C1511-$J$5)/$J$6,"")</x:f>
      </x:c>
      <x:c r="G1511" s="1" t="str">
        <x:f>IF(ISNUMBER(F1511),IF(ABS(F1511)&gt;3,1,0),"")</x:f>
      </x:c>
      <x:c r="H1511" s="1" t="str">
        <x:f>IF(ISNUMBER(F1511),F1511^4,"")</x:f>
      </x:c>
      <x:c r="I1511" s="1"/>
      <x:c r="J1511" s="1"/>
      <x:c r="K1511" s="1"/>
      <x:c r="L1511" s="1"/>
      <x:c r="M1511" s="1"/>
      <x:c r="N1511" s="1"/>
    </x:row>
    <x:row r="1512" ht="22" customHeight="1">
      <x:c r="A1512" s="14"/>
      <x:c r="B1512" s="15"/>
      <x:c r="C1512" s="16" t="str">
        <x:f>IF(AND(ISNUMBER(B1512),ISNUMBER(B1511),B1512&gt;0,B1511&gt;0),LN(B1512/B1511),"")</x:f>
      </x:c>
      <x:c r="D1512" s="16" t="str">
        <x:f>IF(ISNUMBER(C1512),ABS(C1512),"")</x:f>
      </x:c>
      <x:c r="E1512" s="16" t="str">
        <x:f>IF(ISNUMBER(C1512),C1512^2,"")</x:f>
      </x:c>
      <x:c r="F1512" s="16" t="str">
        <x:f>IF(AND(ISNUMBER(C1512),ISNUMBER($J$6),$J$6&gt;0),(C1512-$J$5)/$J$6,"")</x:f>
      </x:c>
      <x:c r="G1512" s="1" t="str">
        <x:f>IF(ISNUMBER(F1512),IF(ABS(F1512)&gt;3,1,0),"")</x:f>
      </x:c>
      <x:c r="H1512" s="1" t="str">
        <x:f>IF(ISNUMBER(F1512),F1512^4,"")</x:f>
      </x:c>
      <x:c r="I1512" s="1"/>
      <x:c r="J1512" s="1"/>
      <x:c r="K1512" s="1"/>
      <x:c r="L1512" s="1"/>
      <x:c r="M1512" s="1"/>
      <x:c r="N1512" s="1"/>
    </x:row>
    <x:row r="1513" ht="22" customHeight="1">
      <x:c r="A1513" s="14"/>
      <x:c r="B1513" s="15"/>
      <x:c r="C1513" s="16" t="str">
        <x:f>IF(AND(ISNUMBER(B1513),ISNUMBER(B1512),B1513&gt;0,B1512&gt;0),LN(B1513/B1512),"")</x:f>
      </x:c>
      <x:c r="D1513" s="16" t="str">
        <x:f>IF(ISNUMBER(C1513),ABS(C1513),"")</x:f>
      </x:c>
      <x:c r="E1513" s="16" t="str">
        <x:f>IF(ISNUMBER(C1513),C1513^2,"")</x:f>
      </x:c>
      <x:c r="F1513" s="16" t="str">
        <x:f>IF(AND(ISNUMBER(C1513),ISNUMBER($J$6),$J$6&gt;0),(C1513-$J$5)/$J$6,"")</x:f>
      </x:c>
      <x:c r="G1513" s="1" t="str">
        <x:f>IF(ISNUMBER(F1513),IF(ABS(F1513)&gt;3,1,0),"")</x:f>
      </x:c>
      <x:c r="H1513" s="1" t="str">
        <x:f>IF(ISNUMBER(F1513),F1513^4,"")</x:f>
      </x:c>
      <x:c r="I1513" s="1"/>
      <x:c r="J1513" s="1"/>
      <x:c r="K1513" s="1"/>
      <x:c r="L1513" s="1"/>
      <x:c r="M1513" s="1"/>
      <x:c r="N1513" s="1"/>
    </x:row>
    <x:row r="1514" ht="22" customHeight="1">
      <x:c r="A1514" s="14"/>
      <x:c r="B1514" s="15"/>
      <x:c r="C1514" s="16" t="str">
        <x:f>IF(AND(ISNUMBER(B1514),ISNUMBER(B1513),B1514&gt;0,B1513&gt;0),LN(B1514/B1513),"")</x:f>
      </x:c>
      <x:c r="D1514" s="16" t="str">
        <x:f>IF(ISNUMBER(C1514),ABS(C1514),"")</x:f>
      </x:c>
      <x:c r="E1514" s="16" t="str">
        <x:f>IF(ISNUMBER(C1514),C1514^2,"")</x:f>
      </x:c>
      <x:c r="F1514" s="16" t="str">
        <x:f>IF(AND(ISNUMBER(C1514),ISNUMBER($J$6),$J$6&gt;0),(C1514-$J$5)/$J$6,"")</x:f>
      </x:c>
      <x:c r="G1514" s="1" t="str">
        <x:f>IF(ISNUMBER(F1514),IF(ABS(F1514)&gt;3,1,0),"")</x:f>
      </x:c>
      <x:c r="H1514" s="1" t="str">
        <x:f>IF(ISNUMBER(F1514),F1514^4,"")</x:f>
      </x:c>
      <x:c r="I1514" s="1"/>
      <x:c r="J1514" s="1"/>
      <x:c r="K1514" s="1"/>
      <x:c r="L1514" s="1"/>
      <x:c r="M1514" s="1"/>
      <x:c r="N1514" s="1"/>
    </x:row>
    <x:row r="1515" ht="22" customHeight="1">
      <x:c r="A1515" s="14"/>
      <x:c r="B1515" s="15"/>
      <x:c r="C1515" s="16" t="str">
        <x:f>IF(AND(ISNUMBER(B1515),ISNUMBER(B1514),B1515&gt;0,B1514&gt;0),LN(B1515/B1514),"")</x:f>
      </x:c>
      <x:c r="D1515" s="16" t="str">
        <x:f>IF(ISNUMBER(C1515),ABS(C1515),"")</x:f>
      </x:c>
      <x:c r="E1515" s="16" t="str">
        <x:f>IF(ISNUMBER(C1515),C1515^2,"")</x:f>
      </x:c>
      <x:c r="F1515" s="16" t="str">
        <x:f>IF(AND(ISNUMBER(C1515),ISNUMBER($J$6),$J$6&gt;0),(C1515-$J$5)/$J$6,"")</x:f>
      </x:c>
      <x:c r="G1515" s="1" t="str">
        <x:f>IF(ISNUMBER(F1515),IF(ABS(F1515)&gt;3,1,0),"")</x:f>
      </x:c>
      <x:c r="H1515" s="1" t="str">
        <x:f>IF(ISNUMBER(F1515),F1515^4,"")</x:f>
      </x:c>
      <x:c r="I1515" s="1"/>
      <x:c r="J1515" s="1"/>
      <x:c r="K1515" s="1"/>
      <x:c r="L1515" s="1"/>
      <x:c r="M1515" s="1"/>
      <x:c r="N1515" s="1"/>
    </x:row>
    <x:row r="1516" ht="22" customHeight="1">
      <x:c r="A1516" s="14"/>
      <x:c r="B1516" s="15"/>
      <x:c r="C1516" s="16" t="str">
        <x:f>IF(AND(ISNUMBER(B1516),ISNUMBER(B1515),B1516&gt;0,B1515&gt;0),LN(B1516/B1515),"")</x:f>
      </x:c>
      <x:c r="D1516" s="16" t="str">
        <x:f>IF(ISNUMBER(C1516),ABS(C1516),"")</x:f>
      </x:c>
      <x:c r="E1516" s="16" t="str">
        <x:f>IF(ISNUMBER(C1516),C1516^2,"")</x:f>
      </x:c>
      <x:c r="F1516" s="16" t="str">
        <x:f>IF(AND(ISNUMBER(C1516),ISNUMBER($J$6),$J$6&gt;0),(C1516-$J$5)/$J$6,"")</x:f>
      </x:c>
      <x:c r="G1516" s="1" t="str">
        <x:f>IF(ISNUMBER(F1516),IF(ABS(F1516)&gt;3,1,0),"")</x:f>
      </x:c>
      <x:c r="H1516" s="1" t="str">
        <x:f>IF(ISNUMBER(F1516),F1516^4,"")</x:f>
      </x:c>
      <x:c r="I1516" s="1"/>
      <x:c r="J1516" s="1"/>
      <x:c r="K1516" s="1"/>
      <x:c r="L1516" s="1"/>
      <x:c r="M1516" s="1"/>
      <x:c r="N1516" s="1"/>
    </x:row>
    <x:row r="1517" ht="22" customHeight="1">
      <x:c r="A1517" s="14"/>
      <x:c r="B1517" s="15"/>
      <x:c r="C1517" s="16" t="str">
        <x:f>IF(AND(ISNUMBER(B1517),ISNUMBER(B1516),B1517&gt;0,B1516&gt;0),LN(B1517/B1516),"")</x:f>
      </x:c>
      <x:c r="D1517" s="16" t="str">
        <x:f>IF(ISNUMBER(C1517),ABS(C1517),"")</x:f>
      </x:c>
      <x:c r="E1517" s="16" t="str">
        <x:f>IF(ISNUMBER(C1517),C1517^2,"")</x:f>
      </x:c>
      <x:c r="F1517" s="16" t="str">
        <x:f>IF(AND(ISNUMBER(C1517),ISNUMBER($J$6),$J$6&gt;0),(C1517-$J$5)/$J$6,"")</x:f>
      </x:c>
      <x:c r="G1517" s="1" t="str">
        <x:f>IF(ISNUMBER(F1517),IF(ABS(F1517)&gt;3,1,0),"")</x:f>
      </x:c>
      <x:c r="H1517" s="1" t="str">
        <x:f>IF(ISNUMBER(F1517),F1517^4,"")</x:f>
      </x:c>
      <x:c r="I1517" s="1"/>
      <x:c r="J1517" s="1"/>
      <x:c r="K1517" s="1"/>
      <x:c r="L1517" s="1"/>
      <x:c r="M1517" s="1"/>
      <x:c r="N1517" s="1"/>
    </x:row>
    <x:row r="1518" ht="22" customHeight="1">
      <x:c r="A1518" s="14"/>
      <x:c r="B1518" s="15"/>
      <x:c r="C1518" s="16" t="str">
        <x:f>IF(AND(ISNUMBER(B1518),ISNUMBER(B1517),B1518&gt;0,B1517&gt;0),LN(B1518/B1517),"")</x:f>
      </x:c>
      <x:c r="D1518" s="16" t="str">
        <x:f>IF(ISNUMBER(C1518),ABS(C1518),"")</x:f>
      </x:c>
      <x:c r="E1518" s="16" t="str">
        <x:f>IF(ISNUMBER(C1518),C1518^2,"")</x:f>
      </x:c>
      <x:c r="F1518" s="16" t="str">
        <x:f>IF(AND(ISNUMBER(C1518),ISNUMBER($J$6),$J$6&gt;0),(C1518-$J$5)/$J$6,"")</x:f>
      </x:c>
      <x:c r="G1518" s="1" t="str">
        <x:f>IF(ISNUMBER(F1518),IF(ABS(F1518)&gt;3,1,0),"")</x:f>
      </x:c>
      <x:c r="H1518" s="1" t="str">
        <x:f>IF(ISNUMBER(F1518),F1518^4,"")</x:f>
      </x:c>
      <x:c r="I1518" s="1"/>
      <x:c r="J1518" s="1"/>
      <x:c r="K1518" s="1"/>
      <x:c r="L1518" s="1"/>
      <x:c r="M1518" s="1"/>
      <x:c r="N1518" s="1"/>
    </x:row>
    <x:row r="1519" ht="22" customHeight="1">
      <x:c r="A1519" s="14"/>
      <x:c r="B1519" s="15"/>
      <x:c r="C1519" s="16" t="str">
        <x:f>IF(AND(ISNUMBER(B1519),ISNUMBER(B1518),B1519&gt;0,B1518&gt;0),LN(B1519/B1518),"")</x:f>
      </x:c>
      <x:c r="D1519" s="16" t="str">
        <x:f>IF(ISNUMBER(C1519),ABS(C1519),"")</x:f>
      </x:c>
      <x:c r="E1519" s="16" t="str">
        <x:f>IF(ISNUMBER(C1519),C1519^2,"")</x:f>
      </x:c>
      <x:c r="F1519" s="16" t="str">
        <x:f>IF(AND(ISNUMBER(C1519),ISNUMBER($J$6),$J$6&gt;0),(C1519-$J$5)/$J$6,"")</x:f>
      </x:c>
      <x:c r="G1519" s="1" t="str">
        <x:f>IF(ISNUMBER(F1519),IF(ABS(F1519)&gt;3,1,0),"")</x:f>
      </x:c>
      <x:c r="H1519" s="1" t="str">
        <x:f>IF(ISNUMBER(F1519),F1519^4,"")</x:f>
      </x:c>
      <x:c r="I1519" s="1"/>
      <x:c r="J1519" s="1"/>
      <x:c r="K1519" s="1"/>
      <x:c r="L1519" s="1"/>
      <x:c r="M1519" s="1"/>
      <x:c r="N1519" s="1"/>
    </x:row>
    <x:row r="1520" ht="22" customHeight="1">
      <x:c r="A1520" s="14"/>
      <x:c r="B1520" s="15"/>
      <x:c r="C1520" s="16" t="str">
        <x:f>IF(AND(ISNUMBER(B1520),ISNUMBER(B1519),B1520&gt;0,B1519&gt;0),LN(B1520/B1519),"")</x:f>
      </x:c>
      <x:c r="D1520" s="16" t="str">
        <x:f>IF(ISNUMBER(C1520),ABS(C1520),"")</x:f>
      </x:c>
      <x:c r="E1520" s="16" t="str">
        <x:f>IF(ISNUMBER(C1520),C1520^2,"")</x:f>
      </x:c>
      <x:c r="F1520" s="16" t="str">
        <x:f>IF(AND(ISNUMBER(C1520),ISNUMBER($J$6),$J$6&gt;0),(C1520-$J$5)/$J$6,"")</x:f>
      </x:c>
      <x:c r="G1520" s="1" t="str">
        <x:f>IF(ISNUMBER(F1520),IF(ABS(F1520)&gt;3,1,0),"")</x:f>
      </x:c>
      <x:c r="H1520" s="1" t="str">
        <x:f>IF(ISNUMBER(F1520),F1520^4,"")</x:f>
      </x:c>
      <x:c r="I1520" s="1"/>
      <x:c r="J1520" s="1"/>
      <x:c r="K1520" s="1"/>
      <x:c r="L1520" s="1"/>
      <x:c r="M1520" s="1"/>
      <x:c r="N1520" s="1"/>
    </x:row>
    <x:row r="1521" ht="22" customHeight="1">
      <x:c r="A1521" s="14"/>
      <x:c r="B1521" s="15"/>
      <x:c r="C1521" s="16" t="str">
        <x:f>IF(AND(ISNUMBER(B1521),ISNUMBER(B1520),B1521&gt;0,B1520&gt;0),LN(B1521/B1520),"")</x:f>
      </x:c>
      <x:c r="D1521" s="16" t="str">
        <x:f>IF(ISNUMBER(C1521),ABS(C1521),"")</x:f>
      </x:c>
      <x:c r="E1521" s="16" t="str">
        <x:f>IF(ISNUMBER(C1521),C1521^2,"")</x:f>
      </x:c>
      <x:c r="F1521" s="16" t="str">
        <x:f>IF(AND(ISNUMBER(C1521),ISNUMBER($J$6),$J$6&gt;0),(C1521-$J$5)/$J$6,"")</x:f>
      </x:c>
      <x:c r="G1521" s="1" t="str">
        <x:f>IF(ISNUMBER(F1521),IF(ABS(F1521)&gt;3,1,0),"")</x:f>
      </x:c>
      <x:c r="H1521" s="1" t="str">
        <x:f>IF(ISNUMBER(F1521),F1521^4,"")</x:f>
      </x:c>
      <x:c r="I1521" s="1"/>
      <x:c r="J1521" s="1"/>
      <x:c r="K1521" s="1"/>
      <x:c r="L1521" s="1"/>
      <x:c r="M1521" s="1"/>
      <x:c r="N1521" s="1"/>
    </x:row>
    <x:row r="1522" ht="22" customHeight="1">
      <x:c r="A1522" s="14"/>
      <x:c r="B1522" s="15"/>
      <x:c r="C1522" s="16" t="str">
        <x:f>IF(AND(ISNUMBER(B1522),ISNUMBER(B1521),B1522&gt;0,B1521&gt;0),LN(B1522/B1521),"")</x:f>
      </x:c>
      <x:c r="D1522" s="16" t="str">
        <x:f>IF(ISNUMBER(C1522),ABS(C1522),"")</x:f>
      </x:c>
      <x:c r="E1522" s="16" t="str">
        <x:f>IF(ISNUMBER(C1522),C1522^2,"")</x:f>
      </x:c>
      <x:c r="F1522" s="16" t="str">
        <x:f>IF(AND(ISNUMBER(C1522),ISNUMBER($J$6),$J$6&gt;0),(C1522-$J$5)/$J$6,"")</x:f>
      </x:c>
      <x:c r="G1522" s="1" t="str">
        <x:f>IF(ISNUMBER(F1522),IF(ABS(F1522)&gt;3,1,0),"")</x:f>
      </x:c>
      <x:c r="H1522" s="1" t="str">
        <x:f>IF(ISNUMBER(F1522),F1522^4,"")</x:f>
      </x:c>
      <x:c r="I1522" s="1"/>
      <x:c r="J1522" s="1"/>
      <x:c r="K1522" s="1"/>
      <x:c r="L1522" s="1"/>
      <x:c r="M1522" s="1"/>
      <x:c r="N1522" s="1"/>
    </x:row>
    <x:row r="1523" ht="22" customHeight="1">
      <x:c r="A1523" s="14"/>
      <x:c r="B1523" s="15"/>
      <x:c r="C1523" s="16" t="str">
        <x:f>IF(AND(ISNUMBER(B1523),ISNUMBER(B1522),B1523&gt;0,B1522&gt;0),LN(B1523/B1522),"")</x:f>
      </x:c>
      <x:c r="D1523" s="16" t="str">
        <x:f>IF(ISNUMBER(C1523),ABS(C1523),"")</x:f>
      </x:c>
      <x:c r="E1523" s="16" t="str">
        <x:f>IF(ISNUMBER(C1523),C1523^2,"")</x:f>
      </x:c>
      <x:c r="F1523" s="16" t="str">
        <x:f>IF(AND(ISNUMBER(C1523),ISNUMBER($J$6),$J$6&gt;0),(C1523-$J$5)/$J$6,"")</x:f>
      </x:c>
      <x:c r="G1523" s="1" t="str">
        <x:f>IF(ISNUMBER(F1523),IF(ABS(F1523)&gt;3,1,0),"")</x:f>
      </x:c>
      <x:c r="H1523" s="1" t="str">
        <x:f>IF(ISNUMBER(F1523),F1523^4,"")</x:f>
      </x:c>
      <x:c r="I1523" s="1"/>
      <x:c r="J1523" s="1"/>
      <x:c r="K1523" s="1"/>
      <x:c r="L1523" s="1"/>
      <x:c r="M1523" s="1"/>
      <x:c r="N1523" s="1"/>
    </x:row>
    <x:row r="1524" ht="22" customHeight="1">
      <x:c r="A1524" s="14"/>
      <x:c r="B1524" s="15"/>
      <x:c r="C1524" s="16" t="str">
        <x:f>IF(AND(ISNUMBER(B1524),ISNUMBER(B1523),B1524&gt;0,B1523&gt;0),LN(B1524/B1523),"")</x:f>
      </x:c>
      <x:c r="D1524" s="16" t="str">
        <x:f>IF(ISNUMBER(C1524),ABS(C1524),"")</x:f>
      </x:c>
      <x:c r="E1524" s="16" t="str">
        <x:f>IF(ISNUMBER(C1524),C1524^2,"")</x:f>
      </x:c>
      <x:c r="F1524" s="16" t="str">
        <x:f>IF(AND(ISNUMBER(C1524),ISNUMBER($J$6),$J$6&gt;0),(C1524-$J$5)/$J$6,"")</x:f>
      </x:c>
      <x:c r="G1524" s="1" t="str">
        <x:f>IF(ISNUMBER(F1524),IF(ABS(F1524)&gt;3,1,0),"")</x:f>
      </x:c>
      <x:c r="H1524" s="1" t="str">
        <x:f>IF(ISNUMBER(F1524),F1524^4,"")</x:f>
      </x:c>
      <x:c r="I1524" s="1"/>
      <x:c r="J1524" s="1"/>
      <x:c r="K1524" s="1"/>
      <x:c r="L1524" s="1"/>
      <x:c r="M1524" s="1"/>
      <x:c r="N1524" s="1"/>
    </x:row>
    <x:row r="1525" ht="22" customHeight="1">
      <x:c r="A1525" s="14"/>
      <x:c r="B1525" s="15"/>
      <x:c r="C1525" s="16" t="str">
        <x:f>IF(AND(ISNUMBER(B1525),ISNUMBER(B1524),B1525&gt;0,B1524&gt;0),LN(B1525/B1524),"")</x:f>
      </x:c>
      <x:c r="D1525" s="16" t="str">
        <x:f>IF(ISNUMBER(C1525),ABS(C1525),"")</x:f>
      </x:c>
      <x:c r="E1525" s="16" t="str">
        <x:f>IF(ISNUMBER(C1525),C1525^2,"")</x:f>
      </x:c>
      <x:c r="F1525" s="16" t="str">
        <x:f>IF(AND(ISNUMBER(C1525),ISNUMBER($J$6),$J$6&gt;0),(C1525-$J$5)/$J$6,"")</x:f>
      </x:c>
      <x:c r="G1525" s="1" t="str">
        <x:f>IF(ISNUMBER(F1525),IF(ABS(F1525)&gt;3,1,0),"")</x:f>
      </x:c>
      <x:c r="H1525" s="1" t="str">
        <x:f>IF(ISNUMBER(F1525),F1525^4,"")</x:f>
      </x:c>
      <x:c r="I1525" s="1"/>
      <x:c r="J1525" s="1"/>
      <x:c r="K1525" s="1"/>
      <x:c r="L1525" s="1"/>
      <x:c r="M1525" s="1"/>
      <x:c r="N1525" s="1"/>
    </x:row>
    <x:row r="1526" ht="22" customHeight="1">
      <x:c r="A1526" s="14"/>
      <x:c r="B1526" s="15"/>
      <x:c r="C1526" s="16" t="str">
        <x:f>IF(AND(ISNUMBER(B1526),ISNUMBER(B1525),B1526&gt;0,B1525&gt;0),LN(B1526/B1525),"")</x:f>
      </x:c>
      <x:c r="D1526" s="16" t="str">
        <x:f>IF(ISNUMBER(C1526),ABS(C1526),"")</x:f>
      </x:c>
      <x:c r="E1526" s="16" t="str">
        <x:f>IF(ISNUMBER(C1526),C1526^2,"")</x:f>
      </x:c>
      <x:c r="F1526" s="16" t="str">
        <x:f>IF(AND(ISNUMBER(C1526),ISNUMBER($J$6),$J$6&gt;0),(C1526-$J$5)/$J$6,"")</x:f>
      </x:c>
      <x:c r="G1526" s="1" t="str">
        <x:f>IF(ISNUMBER(F1526),IF(ABS(F1526)&gt;3,1,0),"")</x:f>
      </x:c>
      <x:c r="H1526" s="1" t="str">
        <x:f>IF(ISNUMBER(F1526),F1526^4,"")</x:f>
      </x:c>
      <x:c r="I1526" s="1"/>
      <x:c r="J1526" s="1"/>
      <x:c r="K1526" s="1"/>
      <x:c r="L1526" s="1"/>
      <x:c r="M1526" s="1"/>
      <x:c r="N1526" s="1"/>
    </x:row>
    <x:row r="1527" ht="22" customHeight="1">
      <x:c r="A1527" s="14"/>
      <x:c r="B1527" s="15"/>
      <x:c r="C1527" s="16" t="str">
        <x:f>IF(AND(ISNUMBER(B1527),ISNUMBER(B1526),B1527&gt;0,B1526&gt;0),LN(B1527/B1526),"")</x:f>
      </x:c>
      <x:c r="D1527" s="16" t="str">
        <x:f>IF(ISNUMBER(C1527),ABS(C1527),"")</x:f>
      </x:c>
      <x:c r="E1527" s="16" t="str">
        <x:f>IF(ISNUMBER(C1527),C1527^2,"")</x:f>
      </x:c>
      <x:c r="F1527" s="16" t="str">
        <x:f>IF(AND(ISNUMBER(C1527),ISNUMBER($J$6),$J$6&gt;0),(C1527-$J$5)/$J$6,"")</x:f>
      </x:c>
      <x:c r="G1527" s="1" t="str">
        <x:f>IF(ISNUMBER(F1527),IF(ABS(F1527)&gt;3,1,0),"")</x:f>
      </x:c>
      <x:c r="H1527" s="1" t="str">
        <x:f>IF(ISNUMBER(F1527),F1527^4,"")</x:f>
      </x:c>
      <x:c r="I1527" s="1"/>
      <x:c r="J1527" s="1"/>
      <x:c r="K1527" s="1"/>
      <x:c r="L1527" s="1"/>
      <x:c r="M1527" s="1"/>
      <x:c r="N1527" s="1"/>
    </x:row>
    <x:row r="1528" ht="22" customHeight="1">
      <x:c r="A1528" s="14"/>
      <x:c r="B1528" s="15"/>
      <x:c r="C1528" s="16" t="str">
        <x:f>IF(AND(ISNUMBER(B1528),ISNUMBER(B1527),B1528&gt;0,B1527&gt;0),LN(B1528/B1527),"")</x:f>
      </x:c>
      <x:c r="D1528" s="16" t="str">
        <x:f>IF(ISNUMBER(C1528),ABS(C1528),"")</x:f>
      </x:c>
      <x:c r="E1528" s="16" t="str">
        <x:f>IF(ISNUMBER(C1528),C1528^2,"")</x:f>
      </x:c>
      <x:c r="F1528" s="16" t="str">
        <x:f>IF(AND(ISNUMBER(C1528),ISNUMBER($J$6),$J$6&gt;0),(C1528-$J$5)/$J$6,"")</x:f>
      </x:c>
      <x:c r="G1528" s="1" t="str">
        <x:f>IF(ISNUMBER(F1528),IF(ABS(F1528)&gt;3,1,0),"")</x:f>
      </x:c>
      <x:c r="H1528" s="1" t="str">
        <x:f>IF(ISNUMBER(F1528),F1528^4,"")</x:f>
      </x:c>
      <x:c r="I1528" s="1"/>
      <x:c r="J1528" s="1"/>
      <x:c r="K1528" s="1"/>
      <x:c r="L1528" s="1"/>
      <x:c r="M1528" s="1"/>
      <x:c r="N1528" s="1"/>
    </x:row>
    <x:row r="1529" ht="22" customHeight="1">
      <x:c r="A1529" s="14"/>
      <x:c r="B1529" s="15"/>
      <x:c r="C1529" s="16" t="str">
        <x:f>IF(AND(ISNUMBER(B1529),ISNUMBER(B1528),B1529&gt;0,B1528&gt;0),LN(B1529/B1528),"")</x:f>
      </x:c>
      <x:c r="D1529" s="16" t="str">
        <x:f>IF(ISNUMBER(C1529),ABS(C1529),"")</x:f>
      </x:c>
      <x:c r="E1529" s="16" t="str">
        <x:f>IF(ISNUMBER(C1529),C1529^2,"")</x:f>
      </x:c>
      <x:c r="F1529" s="16" t="str">
        <x:f>IF(AND(ISNUMBER(C1529),ISNUMBER($J$6),$J$6&gt;0),(C1529-$J$5)/$J$6,"")</x:f>
      </x:c>
      <x:c r="G1529" s="1" t="str">
        <x:f>IF(ISNUMBER(F1529),IF(ABS(F1529)&gt;3,1,0),"")</x:f>
      </x:c>
      <x:c r="H1529" s="1" t="str">
        <x:f>IF(ISNUMBER(F1529),F1529^4,"")</x:f>
      </x:c>
      <x:c r="I1529" s="1"/>
      <x:c r="J1529" s="1"/>
      <x:c r="K1529" s="1"/>
      <x:c r="L1529" s="1"/>
      <x:c r="M1529" s="1"/>
      <x:c r="N1529" s="1"/>
    </x:row>
    <x:row r="1530" ht="22" customHeight="1">
      <x:c r="A1530" s="14"/>
      <x:c r="B1530" s="15"/>
      <x:c r="C1530" s="16" t="str">
        <x:f>IF(AND(ISNUMBER(B1530),ISNUMBER(B1529),B1530&gt;0,B1529&gt;0),LN(B1530/B1529),"")</x:f>
      </x:c>
      <x:c r="D1530" s="16" t="str">
        <x:f>IF(ISNUMBER(C1530),ABS(C1530),"")</x:f>
      </x:c>
      <x:c r="E1530" s="16" t="str">
        <x:f>IF(ISNUMBER(C1530),C1530^2,"")</x:f>
      </x:c>
      <x:c r="F1530" s="16" t="str">
        <x:f>IF(AND(ISNUMBER(C1530),ISNUMBER($J$6),$J$6&gt;0),(C1530-$J$5)/$J$6,"")</x:f>
      </x:c>
      <x:c r="G1530" s="1" t="str">
        <x:f>IF(ISNUMBER(F1530),IF(ABS(F1530)&gt;3,1,0),"")</x:f>
      </x:c>
      <x:c r="H1530" s="1" t="str">
        <x:f>IF(ISNUMBER(F1530),F1530^4,"")</x:f>
      </x:c>
      <x:c r="I1530" s="1"/>
      <x:c r="J1530" s="1"/>
      <x:c r="K1530" s="1"/>
      <x:c r="L1530" s="1"/>
      <x:c r="M1530" s="1"/>
      <x:c r="N1530" s="1"/>
    </x:row>
    <x:row r="1531" ht="22" customHeight="1">
      <x:c r="A1531" s="14"/>
      <x:c r="B1531" s="15"/>
      <x:c r="C1531" s="16" t="str">
        <x:f>IF(AND(ISNUMBER(B1531),ISNUMBER(B1530),B1531&gt;0,B1530&gt;0),LN(B1531/B1530),"")</x:f>
      </x:c>
      <x:c r="D1531" s="16" t="str">
        <x:f>IF(ISNUMBER(C1531),ABS(C1531),"")</x:f>
      </x:c>
      <x:c r="E1531" s="16" t="str">
        <x:f>IF(ISNUMBER(C1531),C1531^2,"")</x:f>
      </x:c>
      <x:c r="F1531" s="16" t="str">
        <x:f>IF(AND(ISNUMBER(C1531),ISNUMBER($J$6),$J$6&gt;0),(C1531-$J$5)/$J$6,"")</x:f>
      </x:c>
      <x:c r="G1531" s="1" t="str">
        <x:f>IF(ISNUMBER(F1531),IF(ABS(F1531)&gt;3,1,0),"")</x:f>
      </x:c>
      <x:c r="H1531" s="1" t="str">
        <x:f>IF(ISNUMBER(F1531),F1531^4,"")</x:f>
      </x:c>
      <x:c r="I1531" s="1"/>
      <x:c r="J1531" s="1"/>
      <x:c r="K1531" s="1"/>
      <x:c r="L1531" s="1"/>
      <x:c r="M1531" s="1"/>
      <x:c r="N1531" s="1"/>
    </x:row>
    <x:row r="1532" ht="22" customHeight="1">
      <x:c r="A1532" s="14"/>
      <x:c r="B1532" s="15"/>
      <x:c r="C1532" s="16" t="str">
        <x:f>IF(AND(ISNUMBER(B1532),ISNUMBER(B1531),B1532&gt;0,B1531&gt;0),LN(B1532/B1531),"")</x:f>
      </x:c>
      <x:c r="D1532" s="16" t="str">
        <x:f>IF(ISNUMBER(C1532),ABS(C1532),"")</x:f>
      </x:c>
      <x:c r="E1532" s="16" t="str">
        <x:f>IF(ISNUMBER(C1532),C1532^2,"")</x:f>
      </x:c>
      <x:c r="F1532" s="16" t="str">
        <x:f>IF(AND(ISNUMBER(C1532),ISNUMBER($J$6),$J$6&gt;0),(C1532-$J$5)/$J$6,"")</x:f>
      </x:c>
      <x:c r="G1532" s="1" t="str">
        <x:f>IF(ISNUMBER(F1532),IF(ABS(F1532)&gt;3,1,0),"")</x:f>
      </x:c>
      <x:c r="H1532" s="1" t="str">
        <x:f>IF(ISNUMBER(F1532),F1532^4,"")</x:f>
      </x:c>
      <x:c r="I1532" s="1"/>
      <x:c r="J1532" s="1"/>
      <x:c r="K1532" s="1"/>
      <x:c r="L1532" s="1"/>
      <x:c r="M1532" s="1"/>
      <x:c r="N1532" s="1"/>
    </x:row>
    <x:row r="1533" ht="22" customHeight="1">
      <x:c r="A1533" s="14"/>
      <x:c r="B1533" s="15"/>
      <x:c r="C1533" s="16" t="str">
        <x:f>IF(AND(ISNUMBER(B1533),ISNUMBER(B1532),B1533&gt;0,B1532&gt;0),LN(B1533/B1532),"")</x:f>
      </x:c>
      <x:c r="D1533" s="16" t="str">
        <x:f>IF(ISNUMBER(C1533),ABS(C1533),"")</x:f>
      </x:c>
      <x:c r="E1533" s="16" t="str">
        <x:f>IF(ISNUMBER(C1533),C1533^2,"")</x:f>
      </x:c>
      <x:c r="F1533" s="16" t="str">
        <x:f>IF(AND(ISNUMBER(C1533),ISNUMBER($J$6),$J$6&gt;0),(C1533-$J$5)/$J$6,"")</x:f>
      </x:c>
      <x:c r="G1533" s="1" t="str">
        <x:f>IF(ISNUMBER(F1533),IF(ABS(F1533)&gt;3,1,0),"")</x:f>
      </x:c>
      <x:c r="H1533" s="1" t="str">
        <x:f>IF(ISNUMBER(F1533),F1533^4,"")</x:f>
      </x:c>
      <x:c r="I1533" s="1"/>
      <x:c r="J1533" s="1"/>
      <x:c r="K1533" s="1"/>
      <x:c r="L1533" s="1"/>
      <x:c r="M1533" s="1"/>
      <x:c r="N1533" s="1"/>
    </x:row>
    <x:row r="1534" ht="22" customHeight="1">
      <x:c r="A1534" s="14"/>
      <x:c r="B1534" s="15"/>
      <x:c r="C1534" s="16" t="str">
        <x:f>IF(AND(ISNUMBER(B1534),ISNUMBER(B1533),B1534&gt;0,B1533&gt;0),LN(B1534/B1533),"")</x:f>
      </x:c>
      <x:c r="D1534" s="16" t="str">
        <x:f>IF(ISNUMBER(C1534),ABS(C1534),"")</x:f>
      </x:c>
      <x:c r="E1534" s="16" t="str">
        <x:f>IF(ISNUMBER(C1534),C1534^2,"")</x:f>
      </x:c>
      <x:c r="F1534" s="16" t="str">
        <x:f>IF(AND(ISNUMBER(C1534),ISNUMBER($J$6),$J$6&gt;0),(C1534-$J$5)/$J$6,"")</x:f>
      </x:c>
      <x:c r="G1534" s="1" t="str">
        <x:f>IF(ISNUMBER(F1534),IF(ABS(F1534)&gt;3,1,0),"")</x:f>
      </x:c>
      <x:c r="H1534" s="1" t="str">
        <x:f>IF(ISNUMBER(F1534),F1534^4,"")</x:f>
      </x:c>
      <x:c r="I1534" s="1"/>
      <x:c r="J1534" s="1"/>
      <x:c r="K1534" s="1"/>
      <x:c r="L1534" s="1"/>
      <x:c r="M1534" s="1"/>
      <x:c r="N1534" s="1"/>
    </x:row>
    <x:row r="1535" ht="22" customHeight="1">
      <x:c r="A1535" s="14"/>
      <x:c r="B1535" s="15"/>
      <x:c r="C1535" s="16" t="str">
        <x:f>IF(AND(ISNUMBER(B1535),ISNUMBER(B1534),B1535&gt;0,B1534&gt;0),LN(B1535/B1534),"")</x:f>
      </x:c>
      <x:c r="D1535" s="16" t="str">
        <x:f>IF(ISNUMBER(C1535),ABS(C1535),"")</x:f>
      </x:c>
      <x:c r="E1535" s="16" t="str">
        <x:f>IF(ISNUMBER(C1535),C1535^2,"")</x:f>
      </x:c>
      <x:c r="F1535" s="16" t="str">
        <x:f>IF(AND(ISNUMBER(C1535),ISNUMBER($J$6),$J$6&gt;0),(C1535-$J$5)/$J$6,"")</x:f>
      </x:c>
      <x:c r="G1535" s="1" t="str">
        <x:f>IF(ISNUMBER(F1535),IF(ABS(F1535)&gt;3,1,0),"")</x:f>
      </x:c>
      <x:c r="H1535" s="1" t="str">
        <x:f>IF(ISNUMBER(F1535),F1535^4,"")</x:f>
      </x:c>
      <x:c r="I1535" s="1"/>
      <x:c r="J1535" s="1"/>
      <x:c r="K1535" s="1"/>
      <x:c r="L1535" s="1"/>
      <x:c r="M1535" s="1"/>
      <x:c r="N1535" s="1"/>
    </x:row>
    <x:row r="1536" ht="22" customHeight="1">
      <x:c r="A1536" s="14"/>
      <x:c r="B1536" s="15"/>
      <x:c r="C1536" s="16" t="str">
        <x:f>IF(AND(ISNUMBER(B1536),ISNUMBER(B1535),B1536&gt;0,B1535&gt;0),LN(B1536/B1535),"")</x:f>
      </x:c>
      <x:c r="D1536" s="16" t="str">
        <x:f>IF(ISNUMBER(C1536),ABS(C1536),"")</x:f>
      </x:c>
      <x:c r="E1536" s="16" t="str">
        <x:f>IF(ISNUMBER(C1536),C1536^2,"")</x:f>
      </x:c>
      <x:c r="F1536" s="16" t="str">
        <x:f>IF(AND(ISNUMBER(C1536),ISNUMBER($J$6),$J$6&gt;0),(C1536-$J$5)/$J$6,"")</x:f>
      </x:c>
      <x:c r="G1536" s="1" t="str">
        <x:f>IF(ISNUMBER(F1536),IF(ABS(F1536)&gt;3,1,0),"")</x:f>
      </x:c>
      <x:c r="H1536" s="1" t="str">
        <x:f>IF(ISNUMBER(F1536),F1536^4,"")</x:f>
      </x:c>
      <x:c r="I1536" s="1"/>
      <x:c r="J1536" s="1"/>
      <x:c r="K1536" s="1"/>
      <x:c r="L1536" s="1"/>
      <x:c r="M1536" s="1"/>
      <x:c r="N1536" s="1"/>
    </x:row>
    <x:row r="1537" ht="22" customHeight="1">
      <x:c r="A1537" s="14"/>
      <x:c r="B1537" s="15"/>
      <x:c r="C1537" s="16" t="str">
        <x:f>IF(AND(ISNUMBER(B1537),ISNUMBER(B1536),B1537&gt;0,B1536&gt;0),LN(B1537/B1536),"")</x:f>
      </x:c>
      <x:c r="D1537" s="16" t="str">
        <x:f>IF(ISNUMBER(C1537),ABS(C1537),"")</x:f>
      </x:c>
      <x:c r="E1537" s="16" t="str">
        <x:f>IF(ISNUMBER(C1537),C1537^2,"")</x:f>
      </x:c>
      <x:c r="F1537" s="16" t="str">
        <x:f>IF(AND(ISNUMBER(C1537),ISNUMBER($J$6),$J$6&gt;0),(C1537-$J$5)/$J$6,"")</x:f>
      </x:c>
      <x:c r="G1537" s="1" t="str">
        <x:f>IF(ISNUMBER(F1537),IF(ABS(F1537)&gt;3,1,0),"")</x:f>
      </x:c>
      <x:c r="H1537" s="1" t="str">
        <x:f>IF(ISNUMBER(F1537),F1537^4,"")</x:f>
      </x:c>
      <x:c r="I1537" s="1"/>
      <x:c r="J1537" s="1"/>
      <x:c r="K1537" s="1"/>
      <x:c r="L1537" s="1"/>
      <x:c r="M1537" s="1"/>
      <x:c r="N1537" s="1"/>
    </x:row>
    <x:row r="1538" ht="22" customHeight="1">
      <x:c r="A1538" s="14"/>
      <x:c r="B1538" s="15"/>
      <x:c r="C1538" s="16" t="str">
        <x:f>IF(AND(ISNUMBER(B1538),ISNUMBER(B1537),B1538&gt;0,B1537&gt;0),LN(B1538/B1537),"")</x:f>
      </x:c>
      <x:c r="D1538" s="16" t="str">
        <x:f>IF(ISNUMBER(C1538),ABS(C1538),"")</x:f>
      </x:c>
      <x:c r="E1538" s="16" t="str">
        <x:f>IF(ISNUMBER(C1538),C1538^2,"")</x:f>
      </x:c>
      <x:c r="F1538" s="16" t="str">
        <x:f>IF(AND(ISNUMBER(C1538),ISNUMBER($J$6),$J$6&gt;0),(C1538-$J$5)/$J$6,"")</x:f>
      </x:c>
      <x:c r="G1538" s="1" t="str">
        <x:f>IF(ISNUMBER(F1538),IF(ABS(F1538)&gt;3,1,0),"")</x:f>
      </x:c>
      <x:c r="H1538" s="1" t="str">
        <x:f>IF(ISNUMBER(F1538),F1538^4,"")</x:f>
      </x:c>
      <x:c r="I1538" s="1"/>
      <x:c r="J1538" s="1"/>
      <x:c r="K1538" s="1"/>
      <x:c r="L1538" s="1"/>
      <x:c r="M1538" s="1"/>
      <x:c r="N1538" s="1"/>
    </x:row>
    <x:row r="1539" ht="22" customHeight="1">
      <x:c r="A1539" s="14"/>
      <x:c r="B1539" s="15"/>
      <x:c r="C1539" s="16" t="str">
        <x:f>IF(AND(ISNUMBER(B1539),ISNUMBER(B1538),B1539&gt;0,B1538&gt;0),LN(B1539/B1538),"")</x:f>
      </x:c>
      <x:c r="D1539" s="16" t="str">
        <x:f>IF(ISNUMBER(C1539),ABS(C1539),"")</x:f>
      </x:c>
      <x:c r="E1539" s="16" t="str">
        <x:f>IF(ISNUMBER(C1539),C1539^2,"")</x:f>
      </x:c>
      <x:c r="F1539" s="16" t="str">
        <x:f>IF(AND(ISNUMBER(C1539),ISNUMBER($J$6),$J$6&gt;0),(C1539-$J$5)/$J$6,"")</x:f>
      </x:c>
      <x:c r="G1539" s="1" t="str">
        <x:f>IF(ISNUMBER(F1539),IF(ABS(F1539)&gt;3,1,0),"")</x:f>
      </x:c>
      <x:c r="H1539" s="1" t="str">
        <x:f>IF(ISNUMBER(F1539),F1539^4,"")</x:f>
      </x:c>
      <x:c r="I1539" s="1"/>
      <x:c r="J1539" s="1"/>
      <x:c r="K1539" s="1"/>
      <x:c r="L1539" s="1"/>
      <x:c r="M1539" s="1"/>
      <x:c r="N1539" s="1"/>
    </x:row>
    <x:row r="1540" ht="22" customHeight="1">
      <x:c r="A1540" s="14"/>
      <x:c r="B1540" s="15"/>
      <x:c r="C1540" s="16" t="str">
        <x:f>IF(AND(ISNUMBER(B1540),ISNUMBER(B1539),B1540&gt;0,B1539&gt;0),LN(B1540/B1539),"")</x:f>
      </x:c>
      <x:c r="D1540" s="16" t="str">
        <x:f>IF(ISNUMBER(C1540),ABS(C1540),"")</x:f>
      </x:c>
      <x:c r="E1540" s="16" t="str">
        <x:f>IF(ISNUMBER(C1540),C1540^2,"")</x:f>
      </x:c>
      <x:c r="F1540" s="16" t="str">
        <x:f>IF(AND(ISNUMBER(C1540),ISNUMBER($J$6),$J$6&gt;0),(C1540-$J$5)/$J$6,"")</x:f>
      </x:c>
      <x:c r="G1540" s="1" t="str">
        <x:f>IF(ISNUMBER(F1540),IF(ABS(F1540)&gt;3,1,0),"")</x:f>
      </x:c>
      <x:c r="H1540" s="1" t="str">
        <x:f>IF(ISNUMBER(F1540),F1540^4,"")</x:f>
      </x:c>
      <x:c r="I1540" s="1"/>
      <x:c r="J1540" s="1"/>
      <x:c r="K1540" s="1"/>
      <x:c r="L1540" s="1"/>
      <x:c r="M1540" s="1"/>
      <x:c r="N1540" s="1"/>
    </x:row>
    <x:row r="1541" ht="22" customHeight="1">
      <x:c r="A1541" s="14"/>
      <x:c r="B1541" s="15"/>
      <x:c r="C1541" s="16" t="str">
        <x:f>IF(AND(ISNUMBER(B1541),ISNUMBER(B1540),B1541&gt;0,B1540&gt;0),LN(B1541/B1540),"")</x:f>
      </x:c>
      <x:c r="D1541" s="16" t="str">
        <x:f>IF(ISNUMBER(C1541),ABS(C1541),"")</x:f>
      </x:c>
      <x:c r="E1541" s="16" t="str">
        <x:f>IF(ISNUMBER(C1541),C1541^2,"")</x:f>
      </x:c>
      <x:c r="F1541" s="16" t="str">
        <x:f>IF(AND(ISNUMBER(C1541),ISNUMBER($J$6),$J$6&gt;0),(C1541-$J$5)/$J$6,"")</x:f>
      </x:c>
      <x:c r="G1541" s="1" t="str">
        <x:f>IF(ISNUMBER(F1541),IF(ABS(F1541)&gt;3,1,0),"")</x:f>
      </x:c>
      <x:c r="H1541" s="1" t="str">
        <x:f>IF(ISNUMBER(F1541),F1541^4,"")</x:f>
      </x:c>
      <x:c r="I1541" s="1"/>
      <x:c r="J1541" s="1"/>
      <x:c r="K1541" s="1"/>
      <x:c r="L1541" s="1"/>
      <x:c r="M1541" s="1"/>
      <x:c r="N1541" s="1"/>
    </x:row>
    <x:row r="1542" ht="22" customHeight="1">
      <x:c r="A1542" s="14"/>
      <x:c r="B1542" s="15"/>
      <x:c r="C1542" s="16" t="str">
        <x:f>IF(AND(ISNUMBER(B1542),ISNUMBER(B1541),B1542&gt;0,B1541&gt;0),LN(B1542/B1541),"")</x:f>
      </x:c>
      <x:c r="D1542" s="16" t="str">
        <x:f>IF(ISNUMBER(C1542),ABS(C1542),"")</x:f>
      </x:c>
      <x:c r="E1542" s="16" t="str">
        <x:f>IF(ISNUMBER(C1542),C1542^2,"")</x:f>
      </x:c>
      <x:c r="F1542" s="16" t="str">
        <x:f>IF(AND(ISNUMBER(C1542),ISNUMBER($J$6),$J$6&gt;0),(C1542-$J$5)/$J$6,"")</x:f>
      </x:c>
      <x:c r="G1542" s="1" t="str">
        <x:f>IF(ISNUMBER(F1542),IF(ABS(F1542)&gt;3,1,0),"")</x:f>
      </x:c>
      <x:c r="H1542" s="1" t="str">
        <x:f>IF(ISNUMBER(F1542),F1542^4,"")</x:f>
      </x:c>
      <x:c r="I1542" s="1"/>
      <x:c r="J1542" s="1"/>
      <x:c r="K1542" s="1"/>
      <x:c r="L1542" s="1"/>
      <x:c r="M1542" s="1"/>
      <x:c r="N1542" s="1"/>
    </x:row>
    <x:row r="1543" ht="22" customHeight="1">
      <x:c r="A1543" s="14"/>
      <x:c r="B1543" s="15"/>
      <x:c r="C1543" s="16" t="str">
        <x:f>IF(AND(ISNUMBER(B1543),ISNUMBER(B1542),B1543&gt;0,B1542&gt;0),LN(B1543/B1542),"")</x:f>
      </x:c>
      <x:c r="D1543" s="16" t="str">
        <x:f>IF(ISNUMBER(C1543),ABS(C1543),"")</x:f>
      </x:c>
      <x:c r="E1543" s="16" t="str">
        <x:f>IF(ISNUMBER(C1543),C1543^2,"")</x:f>
      </x:c>
      <x:c r="F1543" s="16" t="str">
        <x:f>IF(AND(ISNUMBER(C1543),ISNUMBER($J$6),$J$6&gt;0),(C1543-$J$5)/$J$6,"")</x:f>
      </x:c>
      <x:c r="G1543" s="1" t="str">
        <x:f>IF(ISNUMBER(F1543),IF(ABS(F1543)&gt;3,1,0),"")</x:f>
      </x:c>
      <x:c r="H1543" s="1" t="str">
        <x:f>IF(ISNUMBER(F1543),F1543^4,"")</x:f>
      </x:c>
      <x:c r="I1543" s="1"/>
      <x:c r="J1543" s="1"/>
      <x:c r="K1543" s="1"/>
      <x:c r="L1543" s="1"/>
      <x:c r="M1543" s="1"/>
      <x:c r="N1543" s="1"/>
    </x:row>
    <x:row r="1544" ht="22" customHeight="1">
      <x:c r="A1544" s="14"/>
      <x:c r="B1544" s="15"/>
      <x:c r="C1544" s="16" t="str">
        <x:f>IF(AND(ISNUMBER(B1544),ISNUMBER(B1543),B1544&gt;0,B1543&gt;0),LN(B1544/B1543),"")</x:f>
      </x:c>
      <x:c r="D1544" s="16" t="str">
        <x:f>IF(ISNUMBER(C1544),ABS(C1544),"")</x:f>
      </x:c>
      <x:c r="E1544" s="16" t="str">
        <x:f>IF(ISNUMBER(C1544),C1544^2,"")</x:f>
      </x:c>
      <x:c r="F1544" s="16" t="str">
        <x:f>IF(AND(ISNUMBER(C1544),ISNUMBER($J$6),$J$6&gt;0),(C1544-$J$5)/$J$6,"")</x:f>
      </x:c>
      <x:c r="G1544" s="1" t="str">
        <x:f>IF(ISNUMBER(F1544),IF(ABS(F1544)&gt;3,1,0),"")</x:f>
      </x:c>
      <x:c r="H1544" s="1" t="str">
        <x:f>IF(ISNUMBER(F1544),F1544^4,"")</x:f>
      </x:c>
      <x:c r="I1544" s="1"/>
      <x:c r="J1544" s="1"/>
      <x:c r="K1544" s="1"/>
      <x:c r="L1544" s="1"/>
      <x:c r="M1544" s="1"/>
      <x:c r="N1544" s="1"/>
    </x:row>
    <x:row r="1545" ht="22" customHeight="1">
      <x:c r="A1545" s="14"/>
      <x:c r="B1545" s="15"/>
      <x:c r="C1545" s="16" t="str">
        <x:f>IF(AND(ISNUMBER(B1545),ISNUMBER(B1544),B1545&gt;0,B1544&gt;0),LN(B1545/B1544),"")</x:f>
      </x:c>
      <x:c r="D1545" s="16" t="str">
        <x:f>IF(ISNUMBER(C1545),ABS(C1545),"")</x:f>
      </x:c>
      <x:c r="E1545" s="16" t="str">
        <x:f>IF(ISNUMBER(C1545),C1545^2,"")</x:f>
      </x:c>
      <x:c r="F1545" s="16" t="str">
        <x:f>IF(AND(ISNUMBER(C1545),ISNUMBER($J$6),$J$6&gt;0),(C1545-$J$5)/$J$6,"")</x:f>
      </x:c>
      <x:c r="G1545" s="1" t="str">
        <x:f>IF(ISNUMBER(F1545),IF(ABS(F1545)&gt;3,1,0),"")</x:f>
      </x:c>
      <x:c r="H1545" s="1" t="str">
        <x:f>IF(ISNUMBER(F1545),F1545^4,"")</x:f>
      </x:c>
      <x:c r="I1545" s="1"/>
      <x:c r="J1545" s="1"/>
      <x:c r="K1545" s="1"/>
      <x:c r="L1545" s="1"/>
      <x:c r="M1545" s="1"/>
      <x:c r="N1545" s="1"/>
    </x:row>
    <x:row r="1546" ht="22" customHeight="1">
      <x:c r="A1546" s="14"/>
      <x:c r="B1546" s="15"/>
      <x:c r="C1546" s="16" t="str">
        <x:f>IF(AND(ISNUMBER(B1546),ISNUMBER(B1545),B1546&gt;0,B1545&gt;0),LN(B1546/B1545),"")</x:f>
      </x:c>
      <x:c r="D1546" s="16" t="str">
        <x:f>IF(ISNUMBER(C1546),ABS(C1546),"")</x:f>
      </x:c>
      <x:c r="E1546" s="16" t="str">
        <x:f>IF(ISNUMBER(C1546),C1546^2,"")</x:f>
      </x:c>
      <x:c r="F1546" s="16" t="str">
        <x:f>IF(AND(ISNUMBER(C1546),ISNUMBER($J$6),$J$6&gt;0),(C1546-$J$5)/$J$6,"")</x:f>
      </x:c>
      <x:c r="G1546" s="1" t="str">
        <x:f>IF(ISNUMBER(F1546),IF(ABS(F1546)&gt;3,1,0),"")</x:f>
      </x:c>
      <x:c r="H1546" s="1" t="str">
        <x:f>IF(ISNUMBER(F1546),F1546^4,"")</x:f>
      </x:c>
      <x:c r="I1546" s="1"/>
      <x:c r="J1546" s="1"/>
      <x:c r="K1546" s="1"/>
      <x:c r="L1546" s="1"/>
      <x:c r="M1546" s="1"/>
      <x:c r="N1546" s="1"/>
    </x:row>
    <x:row r="1547" ht="22" customHeight="1">
      <x:c r="A1547" s="14"/>
      <x:c r="B1547" s="15"/>
      <x:c r="C1547" s="16" t="str">
        <x:f>IF(AND(ISNUMBER(B1547),ISNUMBER(B1546),B1547&gt;0,B1546&gt;0),LN(B1547/B1546),"")</x:f>
      </x:c>
      <x:c r="D1547" s="16" t="str">
        <x:f>IF(ISNUMBER(C1547),ABS(C1547),"")</x:f>
      </x:c>
      <x:c r="E1547" s="16" t="str">
        <x:f>IF(ISNUMBER(C1547),C1547^2,"")</x:f>
      </x:c>
      <x:c r="F1547" s="16" t="str">
        <x:f>IF(AND(ISNUMBER(C1547),ISNUMBER($J$6),$J$6&gt;0),(C1547-$J$5)/$J$6,"")</x:f>
      </x:c>
      <x:c r="G1547" s="1" t="str">
        <x:f>IF(ISNUMBER(F1547),IF(ABS(F1547)&gt;3,1,0),"")</x:f>
      </x:c>
      <x:c r="H1547" s="1" t="str">
        <x:f>IF(ISNUMBER(F1547),F1547^4,"")</x:f>
      </x:c>
      <x:c r="I1547" s="1"/>
      <x:c r="J1547" s="1"/>
      <x:c r="K1547" s="1"/>
      <x:c r="L1547" s="1"/>
      <x:c r="M1547" s="1"/>
      <x:c r="N1547" s="1"/>
    </x:row>
    <x:row r="1548" ht="22" customHeight="1">
      <x:c r="A1548" s="14"/>
      <x:c r="B1548" s="15"/>
      <x:c r="C1548" s="16" t="str">
        <x:f>IF(AND(ISNUMBER(B1548),ISNUMBER(B1547),B1548&gt;0,B1547&gt;0),LN(B1548/B1547),"")</x:f>
      </x:c>
      <x:c r="D1548" s="16" t="str">
        <x:f>IF(ISNUMBER(C1548),ABS(C1548),"")</x:f>
      </x:c>
      <x:c r="E1548" s="16" t="str">
        <x:f>IF(ISNUMBER(C1548),C1548^2,"")</x:f>
      </x:c>
      <x:c r="F1548" s="16" t="str">
        <x:f>IF(AND(ISNUMBER(C1548),ISNUMBER($J$6),$J$6&gt;0),(C1548-$J$5)/$J$6,"")</x:f>
      </x:c>
      <x:c r="G1548" s="1" t="str">
        <x:f>IF(ISNUMBER(F1548),IF(ABS(F1548)&gt;3,1,0),"")</x:f>
      </x:c>
      <x:c r="H1548" s="1" t="str">
        <x:f>IF(ISNUMBER(F1548),F1548^4,"")</x:f>
      </x:c>
      <x:c r="I1548" s="1"/>
      <x:c r="J1548" s="1"/>
      <x:c r="K1548" s="1"/>
      <x:c r="L1548" s="1"/>
      <x:c r="M1548" s="1"/>
      <x:c r="N1548" s="1"/>
    </x:row>
    <x:row r="1549" ht="22" customHeight="1">
      <x:c r="A1549" s="14"/>
      <x:c r="B1549" s="15"/>
      <x:c r="C1549" s="16" t="str">
        <x:f>IF(AND(ISNUMBER(B1549),ISNUMBER(B1548),B1549&gt;0,B1548&gt;0),LN(B1549/B1548),"")</x:f>
      </x:c>
      <x:c r="D1549" s="16" t="str">
        <x:f>IF(ISNUMBER(C1549),ABS(C1549),"")</x:f>
      </x:c>
      <x:c r="E1549" s="16" t="str">
        <x:f>IF(ISNUMBER(C1549),C1549^2,"")</x:f>
      </x:c>
      <x:c r="F1549" s="16" t="str">
        <x:f>IF(AND(ISNUMBER(C1549),ISNUMBER($J$6),$J$6&gt;0),(C1549-$J$5)/$J$6,"")</x:f>
      </x:c>
      <x:c r="G1549" s="1" t="str">
        <x:f>IF(ISNUMBER(F1549),IF(ABS(F1549)&gt;3,1,0),"")</x:f>
      </x:c>
      <x:c r="H1549" s="1" t="str">
        <x:f>IF(ISNUMBER(F1549),F1549^4,"")</x:f>
      </x:c>
      <x:c r="I1549" s="1"/>
      <x:c r="J1549" s="1"/>
      <x:c r="K1549" s="1"/>
      <x:c r="L1549" s="1"/>
      <x:c r="M1549" s="1"/>
      <x:c r="N1549" s="1"/>
    </x:row>
    <x:row r="1550" ht="22" customHeight="1">
      <x:c r="A1550" s="14"/>
      <x:c r="B1550" s="15"/>
      <x:c r="C1550" s="16" t="str">
        <x:f>IF(AND(ISNUMBER(B1550),ISNUMBER(B1549),B1550&gt;0,B1549&gt;0),LN(B1550/B1549),"")</x:f>
      </x:c>
      <x:c r="D1550" s="16" t="str">
        <x:f>IF(ISNUMBER(C1550),ABS(C1550),"")</x:f>
      </x:c>
      <x:c r="E1550" s="16" t="str">
        <x:f>IF(ISNUMBER(C1550),C1550^2,"")</x:f>
      </x:c>
      <x:c r="F1550" s="16" t="str">
        <x:f>IF(AND(ISNUMBER(C1550),ISNUMBER($J$6),$J$6&gt;0),(C1550-$J$5)/$J$6,"")</x:f>
      </x:c>
      <x:c r="G1550" s="1" t="str">
        <x:f>IF(ISNUMBER(F1550),IF(ABS(F1550)&gt;3,1,0),"")</x:f>
      </x:c>
      <x:c r="H1550" s="1" t="str">
        <x:f>IF(ISNUMBER(F1550),F1550^4,"")</x:f>
      </x:c>
      <x:c r="I1550" s="1"/>
      <x:c r="J1550" s="1"/>
      <x:c r="K1550" s="1"/>
      <x:c r="L1550" s="1"/>
      <x:c r="M1550" s="1"/>
      <x:c r="N1550" s="1"/>
    </x:row>
    <x:row r="1551" ht="22" customHeight="1">
      <x:c r="A1551" s="14"/>
      <x:c r="B1551" s="15"/>
      <x:c r="C1551" s="16" t="str">
        <x:f>IF(AND(ISNUMBER(B1551),ISNUMBER(B1550),B1551&gt;0,B1550&gt;0),LN(B1551/B1550),"")</x:f>
      </x:c>
      <x:c r="D1551" s="16" t="str">
        <x:f>IF(ISNUMBER(C1551),ABS(C1551),"")</x:f>
      </x:c>
      <x:c r="E1551" s="16" t="str">
        <x:f>IF(ISNUMBER(C1551),C1551^2,"")</x:f>
      </x:c>
      <x:c r="F1551" s="16" t="str">
        <x:f>IF(AND(ISNUMBER(C1551),ISNUMBER($J$6),$J$6&gt;0),(C1551-$J$5)/$J$6,"")</x:f>
      </x:c>
      <x:c r="G1551" s="1" t="str">
        <x:f>IF(ISNUMBER(F1551),IF(ABS(F1551)&gt;3,1,0),"")</x:f>
      </x:c>
      <x:c r="H1551" s="1" t="str">
        <x:f>IF(ISNUMBER(F1551),F1551^4,"")</x:f>
      </x:c>
      <x:c r="I1551" s="1"/>
      <x:c r="J1551" s="1"/>
      <x:c r="K1551" s="1"/>
      <x:c r="L1551" s="1"/>
      <x:c r="M1551" s="1"/>
      <x:c r="N1551" s="1"/>
    </x:row>
    <x:row r="1552" ht="22" customHeight="1">
      <x:c r="A1552" s="14"/>
      <x:c r="B1552" s="15"/>
      <x:c r="C1552" s="16" t="str">
        <x:f>IF(AND(ISNUMBER(B1552),ISNUMBER(B1551),B1552&gt;0,B1551&gt;0),LN(B1552/B1551),"")</x:f>
      </x:c>
      <x:c r="D1552" s="16" t="str">
        <x:f>IF(ISNUMBER(C1552),ABS(C1552),"")</x:f>
      </x:c>
      <x:c r="E1552" s="16" t="str">
        <x:f>IF(ISNUMBER(C1552),C1552^2,"")</x:f>
      </x:c>
      <x:c r="F1552" s="16" t="str">
        <x:f>IF(AND(ISNUMBER(C1552),ISNUMBER($J$6),$J$6&gt;0),(C1552-$J$5)/$J$6,"")</x:f>
      </x:c>
      <x:c r="G1552" s="1" t="str">
        <x:f>IF(ISNUMBER(F1552),IF(ABS(F1552)&gt;3,1,0),"")</x:f>
      </x:c>
      <x:c r="H1552" s="1" t="str">
        <x:f>IF(ISNUMBER(F1552),F1552^4,"")</x:f>
      </x:c>
      <x:c r="I1552" s="1"/>
      <x:c r="J1552" s="1"/>
      <x:c r="K1552" s="1"/>
      <x:c r="L1552" s="1"/>
      <x:c r="M1552" s="1"/>
      <x:c r="N1552" s="1"/>
    </x:row>
    <x:row r="1553" ht="22" customHeight="1">
      <x:c r="A1553" s="14"/>
      <x:c r="B1553" s="15"/>
      <x:c r="C1553" s="16" t="str">
        <x:f>IF(AND(ISNUMBER(B1553),ISNUMBER(B1552),B1553&gt;0,B1552&gt;0),LN(B1553/B1552),"")</x:f>
      </x:c>
      <x:c r="D1553" s="16" t="str">
        <x:f>IF(ISNUMBER(C1553),ABS(C1553),"")</x:f>
      </x:c>
      <x:c r="E1553" s="16" t="str">
        <x:f>IF(ISNUMBER(C1553),C1553^2,"")</x:f>
      </x:c>
      <x:c r="F1553" s="16" t="str">
        <x:f>IF(AND(ISNUMBER(C1553),ISNUMBER($J$6),$J$6&gt;0),(C1553-$J$5)/$J$6,"")</x:f>
      </x:c>
      <x:c r="G1553" s="1" t="str">
        <x:f>IF(ISNUMBER(F1553),IF(ABS(F1553)&gt;3,1,0),"")</x:f>
      </x:c>
      <x:c r="H1553" s="1" t="str">
        <x:f>IF(ISNUMBER(F1553),F1553^4,"")</x:f>
      </x:c>
      <x:c r="I1553" s="1"/>
      <x:c r="J1553" s="1"/>
      <x:c r="K1553" s="1"/>
      <x:c r="L1553" s="1"/>
      <x:c r="M1553" s="1"/>
      <x:c r="N1553" s="1"/>
    </x:row>
    <x:row r="1554" ht="22" customHeight="1">
      <x:c r="A1554" s="14"/>
      <x:c r="B1554" s="15"/>
      <x:c r="C1554" s="16" t="str">
        <x:f>IF(AND(ISNUMBER(B1554),ISNUMBER(B1553),B1554&gt;0,B1553&gt;0),LN(B1554/B1553),"")</x:f>
      </x:c>
      <x:c r="D1554" s="16" t="str">
        <x:f>IF(ISNUMBER(C1554),ABS(C1554),"")</x:f>
      </x:c>
      <x:c r="E1554" s="16" t="str">
        <x:f>IF(ISNUMBER(C1554),C1554^2,"")</x:f>
      </x:c>
      <x:c r="F1554" s="16" t="str">
        <x:f>IF(AND(ISNUMBER(C1554),ISNUMBER($J$6),$J$6&gt;0),(C1554-$J$5)/$J$6,"")</x:f>
      </x:c>
      <x:c r="G1554" s="1" t="str">
        <x:f>IF(ISNUMBER(F1554),IF(ABS(F1554)&gt;3,1,0),"")</x:f>
      </x:c>
      <x:c r="H1554" s="1" t="str">
        <x:f>IF(ISNUMBER(F1554),F1554^4,"")</x:f>
      </x:c>
      <x:c r="I1554" s="1"/>
      <x:c r="J1554" s="1"/>
      <x:c r="K1554" s="1"/>
      <x:c r="L1554" s="1"/>
      <x:c r="M1554" s="1"/>
      <x:c r="N1554" s="1"/>
    </x:row>
    <x:row r="1555" ht="22" customHeight="1">
      <x:c r="A1555" s="14"/>
      <x:c r="B1555" s="15"/>
      <x:c r="C1555" s="16" t="str">
        <x:f>IF(AND(ISNUMBER(B1555),ISNUMBER(B1554),B1555&gt;0,B1554&gt;0),LN(B1555/B1554),"")</x:f>
      </x:c>
      <x:c r="D1555" s="16" t="str">
        <x:f>IF(ISNUMBER(C1555),ABS(C1555),"")</x:f>
      </x:c>
      <x:c r="E1555" s="16" t="str">
        <x:f>IF(ISNUMBER(C1555),C1555^2,"")</x:f>
      </x:c>
      <x:c r="F1555" s="16" t="str">
        <x:f>IF(AND(ISNUMBER(C1555),ISNUMBER($J$6),$J$6&gt;0),(C1555-$J$5)/$J$6,"")</x:f>
      </x:c>
      <x:c r="G1555" s="1" t="str">
        <x:f>IF(ISNUMBER(F1555),IF(ABS(F1555)&gt;3,1,0),"")</x:f>
      </x:c>
      <x:c r="H1555" s="1" t="str">
        <x:f>IF(ISNUMBER(F1555),F1555^4,"")</x:f>
      </x:c>
      <x:c r="I1555" s="1"/>
      <x:c r="J1555" s="1"/>
      <x:c r="K1555" s="1"/>
      <x:c r="L1555" s="1"/>
      <x:c r="M1555" s="1"/>
      <x:c r="N1555" s="1"/>
    </x:row>
    <x:row r="1556" ht="22" customHeight="1">
      <x:c r="A1556" s="14"/>
      <x:c r="B1556" s="15"/>
      <x:c r="C1556" s="16" t="str">
        <x:f>IF(AND(ISNUMBER(B1556),ISNUMBER(B1555),B1556&gt;0,B1555&gt;0),LN(B1556/B1555),"")</x:f>
      </x:c>
      <x:c r="D1556" s="16" t="str">
        <x:f>IF(ISNUMBER(C1556),ABS(C1556),"")</x:f>
      </x:c>
      <x:c r="E1556" s="16" t="str">
        <x:f>IF(ISNUMBER(C1556),C1556^2,"")</x:f>
      </x:c>
      <x:c r="F1556" s="16" t="str">
        <x:f>IF(AND(ISNUMBER(C1556),ISNUMBER($J$6),$J$6&gt;0),(C1556-$J$5)/$J$6,"")</x:f>
      </x:c>
      <x:c r="G1556" s="1" t="str">
        <x:f>IF(ISNUMBER(F1556),IF(ABS(F1556)&gt;3,1,0),"")</x:f>
      </x:c>
      <x:c r="H1556" s="1" t="str">
        <x:f>IF(ISNUMBER(F1556),F1556^4,"")</x:f>
      </x:c>
      <x:c r="I1556" s="1"/>
      <x:c r="J1556" s="1"/>
      <x:c r="K1556" s="1"/>
      <x:c r="L1556" s="1"/>
      <x:c r="M1556" s="1"/>
      <x:c r="N1556" s="1"/>
    </x:row>
    <x:row r="1557" ht="22" customHeight="1">
      <x:c r="A1557" s="14"/>
      <x:c r="B1557" s="15"/>
      <x:c r="C1557" s="16" t="str">
        <x:f>IF(AND(ISNUMBER(B1557),ISNUMBER(B1556),B1557&gt;0,B1556&gt;0),LN(B1557/B1556),"")</x:f>
      </x:c>
      <x:c r="D1557" s="16" t="str">
        <x:f>IF(ISNUMBER(C1557),ABS(C1557),"")</x:f>
      </x:c>
      <x:c r="E1557" s="16" t="str">
        <x:f>IF(ISNUMBER(C1557),C1557^2,"")</x:f>
      </x:c>
      <x:c r="F1557" s="16" t="str">
        <x:f>IF(AND(ISNUMBER(C1557),ISNUMBER($J$6),$J$6&gt;0),(C1557-$J$5)/$J$6,"")</x:f>
      </x:c>
      <x:c r="G1557" s="1" t="str">
        <x:f>IF(ISNUMBER(F1557),IF(ABS(F1557)&gt;3,1,0),"")</x:f>
      </x:c>
      <x:c r="H1557" s="1" t="str">
        <x:f>IF(ISNUMBER(F1557),F1557^4,"")</x:f>
      </x:c>
      <x:c r="I1557" s="1"/>
      <x:c r="J1557" s="1"/>
      <x:c r="K1557" s="1"/>
      <x:c r="L1557" s="1"/>
      <x:c r="M1557" s="1"/>
      <x:c r="N1557" s="1"/>
    </x:row>
    <x:row r="1558" ht="22" customHeight="1">
      <x:c r="A1558" s="14"/>
      <x:c r="B1558" s="15"/>
      <x:c r="C1558" s="16" t="str">
        <x:f>IF(AND(ISNUMBER(B1558),ISNUMBER(B1557),B1558&gt;0,B1557&gt;0),LN(B1558/B1557),"")</x:f>
      </x:c>
      <x:c r="D1558" s="16" t="str">
        <x:f>IF(ISNUMBER(C1558),ABS(C1558),"")</x:f>
      </x:c>
      <x:c r="E1558" s="16" t="str">
        <x:f>IF(ISNUMBER(C1558),C1558^2,"")</x:f>
      </x:c>
      <x:c r="F1558" s="16" t="str">
        <x:f>IF(AND(ISNUMBER(C1558),ISNUMBER($J$6),$J$6&gt;0),(C1558-$J$5)/$J$6,"")</x:f>
      </x:c>
      <x:c r="G1558" s="1" t="str">
        <x:f>IF(ISNUMBER(F1558),IF(ABS(F1558)&gt;3,1,0),"")</x:f>
      </x:c>
      <x:c r="H1558" s="1" t="str">
        <x:f>IF(ISNUMBER(F1558),F1558^4,"")</x:f>
      </x:c>
      <x:c r="I1558" s="1"/>
      <x:c r="J1558" s="1"/>
      <x:c r="K1558" s="1"/>
      <x:c r="L1558" s="1"/>
      <x:c r="M1558" s="1"/>
      <x:c r="N1558" s="1"/>
    </x:row>
    <x:row r="1559" ht="22" customHeight="1">
      <x:c r="A1559" s="14"/>
      <x:c r="B1559" s="15"/>
      <x:c r="C1559" s="16" t="str">
        <x:f>IF(AND(ISNUMBER(B1559),ISNUMBER(B1558),B1559&gt;0,B1558&gt;0),LN(B1559/B1558),"")</x:f>
      </x:c>
      <x:c r="D1559" s="16" t="str">
        <x:f>IF(ISNUMBER(C1559),ABS(C1559),"")</x:f>
      </x:c>
      <x:c r="E1559" s="16" t="str">
        <x:f>IF(ISNUMBER(C1559),C1559^2,"")</x:f>
      </x:c>
      <x:c r="F1559" s="16" t="str">
        <x:f>IF(AND(ISNUMBER(C1559),ISNUMBER($J$6),$J$6&gt;0),(C1559-$J$5)/$J$6,"")</x:f>
      </x:c>
      <x:c r="G1559" s="1" t="str">
        <x:f>IF(ISNUMBER(F1559),IF(ABS(F1559)&gt;3,1,0),"")</x:f>
      </x:c>
      <x:c r="H1559" s="1" t="str">
        <x:f>IF(ISNUMBER(F1559),F1559^4,"")</x:f>
      </x:c>
      <x:c r="I1559" s="1"/>
      <x:c r="J1559" s="1"/>
      <x:c r="K1559" s="1"/>
      <x:c r="L1559" s="1"/>
      <x:c r="M1559" s="1"/>
      <x:c r="N1559" s="1"/>
    </x:row>
    <x:row r="1560" ht="22" customHeight="1">
      <x:c r="A1560" s="14"/>
      <x:c r="B1560" s="15"/>
      <x:c r="C1560" s="16" t="str">
        <x:f>IF(AND(ISNUMBER(B1560),ISNUMBER(B1559),B1560&gt;0,B1559&gt;0),LN(B1560/B1559),"")</x:f>
      </x:c>
      <x:c r="D1560" s="16" t="str">
        <x:f>IF(ISNUMBER(C1560),ABS(C1560),"")</x:f>
      </x:c>
      <x:c r="E1560" s="16" t="str">
        <x:f>IF(ISNUMBER(C1560),C1560^2,"")</x:f>
      </x:c>
      <x:c r="F1560" s="16" t="str">
        <x:f>IF(AND(ISNUMBER(C1560),ISNUMBER($J$6),$J$6&gt;0),(C1560-$J$5)/$J$6,"")</x:f>
      </x:c>
      <x:c r="G1560" s="1" t="str">
        <x:f>IF(ISNUMBER(F1560),IF(ABS(F1560)&gt;3,1,0),"")</x:f>
      </x:c>
      <x:c r="H1560" s="1" t="str">
        <x:f>IF(ISNUMBER(F1560),F1560^4,"")</x:f>
      </x:c>
      <x:c r="I1560" s="1"/>
      <x:c r="J1560" s="1"/>
      <x:c r="K1560" s="1"/>
      <x:c r="L1560" s="1"/>
      <x:c r="M1560" s="1"/>
      <x:c r="N1560" s="1"/>
    </x:row>
    <x:row r="1561" ht="22" customHeight="1">
      <x:c r="A1561" s="14"/>
      <x:c r="B1561" s="15"/>
      <x:c r="C1561" s="16" t="str">
        <x:f>IF(AND(ISNUMBER(B1561),ISNUMBER(B1560),B1561&gt;0,B1560&gt;0),LN(B1561/B1560),"")</x:f>
      </x:c>
      <x:c r="D1561" s="16" t="str">
        <x:f>IF(ISNUMBER(C1561),ABS(C1561),"")</x:f>
      </x:c>
      <x:c r="E1561" s="16" t="str">
        <x:f>IF(ISNUMBER(C1561),C1561^2,"")</x:f>
      </x:c>
      <x:c r="F1561" s="16" t="str">
        <x:f>IF(AND(ISNUMBER(C1561),ISNUMBER($J$6),$J$6&gt;0),(C1561-$J$5)/$J$6,"")</x:f>
      </x:c>
      <x:c r="G1561" s="1" t="str">
        <x:f>IF(ISNUMBER(F1561),IF(ABS(F1561)&gt;3,1,0),"")</x:f>
      </x:c>
      <x:c r="H1561" s="1" t="str">
        <x:f>IF(ISNUMBER(F1561),F1561^4,"")</x:f>
      </x:c>
      <x:c r="I1561" s="1"/>
      <x:c r="J1561" s="1"/>
      <x:c r="K1561" s="1"/>
      <x:c r="L1561" s="1"/>
      <x:c r="M1561" s="1"/>
      <x:c r="N1561" s="1"/>
    </x:row>
    <x:row r="1562" ht="22" customHeight="1">
      <x:c r="A1562" s="14"/>
      <x:c r="B1562" s="15"/>
      <x:c r="C1562" s="16" t="str">
        <x:f>IF(AND(ISNUMBER(B1562),ISNUMBER(B1561),B1562&gt;0,B1561&gt;0),LN(B1562/B1561),"")</x:f>
      </x:c>
      <x:c r="D1562" s="16" t="str">
        <x:f>IF(ISNUMBER(C1562),ABS(C1562),"")</x:f>
      </x:c>
      <x:c r="E1562" s="16" t="str">
        <x:f>IF(ISNUMBER(C1562),C1562^2,"")</x:f>
      </x:c>
      <x:c r="F1562" s="16" t="str">
        <x:f>IF(AND(ISNUMBER(C1562),ISNUMBER($J$6),$J$6&gt;0),(C1562-$J$5)/$J$6,"")</x:f>
      </x:c>
      <x:c r="G1562" s="1" t="str">
        <x:f>IF(ISNUMBER(F1562),IF(ABS(F1562)&gt;3,1,0),"")</x:f>
      </x:c>
      <x:c r="H1562" s="1" t="str">
        <x:f>IF(ISNUMBER(F1562),F1562^4,"")</x:f>
      </x:c>
      <x:c r="I1562" s="1"/>
      <x:c r="J1562" s="1"/>
      <x:c r="K1562" s="1"/>
      <x:c r="L1562" s="1"/>
      <x:c r="M1562" s="1"/>
      <x:c r="N1562" s="1"/>
    </x:row>
    <x:row r="1563" ht="22" customHeight="1">
      <x:c r="A1563" s="14"/>
      <x:c r="B1563" s="15"/>
      <x:c r="C1563" s="16" t="str">
        <x:f>IF(AND(ISNUMBER(B1563),ISNUMBER(B1562),B1563&gt;0,B1562&gt;0),LN(B1563/B1562),"")</x:f>
      </x:c>
      <x:c r="D1563" s="16" t="str">
        <x:f>IF(ISNUMBER(C1563),ABS(C1563),"")</x:f>
      </x:c>
      <x:c r="E1563" s="16" t="str">
        <x:f>IF(ISNUMBER(C1563),C1563^2,"")</x:f>
      </x:c>
      <x:c r="F1563" s="16" t="str">
        <x:f>IF(AND(ISNUMBER(C1563),ISNUMBER($J$6),$J$6&gt;0),(C1563-$J$5)/$J$6,"")</x:f>
      </x:c>
      <x:c r="G1563" s="1" t="str">
        <x:f>IF(ISNUMBER(F1563),IF(ABS(F1563)&gt;3,1,0),"")</x:f>
      </x:c>
      <x:c r="H1563" s="1" t="str">
        <x:f>IF(ISNUMBER(F1563),F1563^4,"")</x:f>
      </x:c>
      <x:c r="I1563" s="1"/>
      <x:c r="J1563" s="1"/>
      <x:c r="K1563" s="1"/>
      <x:c r="L1563" s="1"/>
      <x:c r="M1563" s="1"/>
      <x:c r="N1563" s="1"/>
    </x:row>
    <x:row r="1564" ht="22" customHeight="1">
      <x:c r="A1564" s="14"/>
      <x:c r="B1564" s="15"/>
      <x:c r="C1564" s="16" t="str">
        <x:f>IF(AND(ISNUMBER(B1564),ISNUMBER(B1563),B1564&gt;0,B1563&gt;0),LN(B1564/B1563),"")</x:f>
      </x:c>
      <x:c r="D1564" s="16" t="str">
        <x:f>IF(ISNUMBER(C1564),ABS(C1564),"")</x:f>
      </x:c>
      <x:c r="E1564" s="16" t="str">
        <x:f>IF(ISNUMBER(C1564),C1564^2,"")</x:f>
      </x:c>
      <x:c r="F1564" s="16" t="str">
        <x:f>IF(AND(ISNUMBER(C1564),ISNUMBER($J$6),$J$6&gt;0),(C1564-$J$5)/$J$6,"")</x:f>
      </x:c>
      <x:c r="G1564" s="1" t="str">
        <x:f>IF(ISNUMBER(F1564),IF(ABS(F1564)&gt;3,1,0),"")</x:f>
      </x:c>
      <x:c r="H1564" s="1" t="str">
        <x:f>IF(ISNUMBER(F1564),F1564^4,"")</x:f>
      </x:c>
      <x:c r="I1564" s="1"/>
      <x:c r="J1564" s="1"/>
      <x:c r="K1564" s="1"/>
      <x:c r="L1564" s="1"/>
      <x:c r="M1564" s="1"/>
      <x:c r="N1564" s="1"/>
    </x:row>
    <x:row r="1565" ht="22" customHeight="1">
      <x:c r="A1565" s="14"/>
      <x:c r="B1565" s="15"/>
      <x:c r="C1565" s="16" t="str">
        <x:f>IF(AND(ISNUMBER(B1565),ISNUMBER(B1564),B1565&gt;0,B1564&gt;0),LN(B1565/B1564),"")</x:f>
      </x:c>
      <x:c r="D1565" s="16" t="str">
        <x:f>IF(ISNUMBER(C1565),ABS(C1565),"")</x:f>
      </x:c>
      <x:c r="E1565" s="16" t="str">
        <x:f>IF(ISNUMBER(C1565),C1565^2,"")</x:f>
      </x:c>
      <x:c r="F1565" s="16" t="str">
        <x:f>IF(AND(ISNUMBER(C1565),ISNUMBER($J$6),$J$6&gt;0),(C1565-$J$5)/$J$6,"")</x:f>
      </x:c>
      <x:c r="G1565" s="1" t="str">
        <x:f>IF(ISNUMBER(F1565),IF(ABS(F1565)&gt;3,1,0),"")</x:f>
      </x:c>
      <x:c r="H1565" s="1" t="str">
        <x:f>IF(ISNUMBER(F1565),F1565^4,"")</x:f>
      </x:c>
      <x:c r="I1565" s="1"/>
      <x:c r="J1565" s="1"/>
      <x:c r="K1565" s="1"/>
      <x:c r="L1565" s="1"/>
      <x:c r="M1565" s="1"/>
      <x:c r="N1565" s="1"/>
    </x:row>
    <x:row r="1566" ht="22" customHeight="1">
      <x:c r="A1566" s="14"/>
      <x:c r="B1566" s="15"/>
      <x:c r="C1566" s="16" t="str">
        <x:f>IF(AND(ISNUMBER(B1566),ISNUMBER(B1565),B1566&gt;0,B1565&gt;0),LN(B1566/B1565),"")</x:f>
      </x:c>
      <x:c r="D1566" s="16" t="str">
        <x:f>IF(ISNUMBER(C1566),ABS(C1566),"")</x:f>
      </x:c>
      <x:c r="E1566" s="16" t="str">
        <x:f>IF(ISNUMBER(C1566),C1566^2,"")</x:f>
      </x:c>
      <x:c r="F1566" s="16" t="str">
        <x:f>IF(AND(ISNUMBER(C1566),ISNUMBER($J$6),$J$6&gt;0),(C1566-$J$5)/$J$6,"")</x:f>
      </x:c>
      <x:c r="G1566" s="1" t="str">
        <x:f>IF(ISNUMBER(F1566),IF(ABS(F1566)&gt;3,1,0),"")</x:f>
      </x:c>
      <x:c r="H1566" s="1" t="str">
        <x:f>IF(ISNUMBER(F1566),F1566^4,"")</x:f>
      </x:c>
      <x:c r="I1566" s="1"/>
      <x:c r="J1566" s="1"/>
      <x:c r="K1566" s="1"/>
      <x:c r="L1566" s="1"/>
      <x:c r="M1566" s="1"/>
      <x:c r="N1566" s="1"/>
    </x:row>
    <x:row r="1567" ht="22" customHeight="1">
      <x:c r="A1567" s="14"/>
      <x:c r="B1567" s="15"/>
      <x:c r="C1567" s="16" t="str">
        <x:f>IF(AND(ISNUMBER(B1567),ISNUMBER(B1566),B1567&gt;0,B1566&gt;0),LN(B1567/B1566),"")</x:f>
      </x:c>
      <x:c r="D1567" s="16" t="str">
        <x:f>IF(ISNUMBER(C1567),ABS(C1567),"")</x:f>
      </x:c>
      <x:c r="E1567" s="16" t="str">
        <x:f>IF(ISNUMBER(C1567),C1567^2,"")</x:f>
      </x:c>
      <x:c r="F1567" s="16" t="str">
        <x:f>IF(AND(ISNUMBER(C1567),ISNUMBER($J$6),$J$6&gt;0),(C1567-$J$5)/$J$6,"")</x:f>
      </x:c>
      <x:c r="G1567" s="1" t="str">
        <x:f>IF(ISNUMBER(F1567),IF(ABS(F1567)&gt;3,1,0),"")</x:f>
      </x:c>
      <x:c r="H1567" s="1" t="str">
        <x:f>IF(ISNUMBER(F1567),F1567^4,"")</x:f>
      </x:c>
      <x:c r="I1567" s="1"/>
      <x:c r="J1567" s="1"/>
      <x:c r="K1567" s="1"/>
      <x:c r="L1567" s="1"/>
      <x:c r="M1567" s="1"/>
      <x:c r="N1567" s="1"/>
    </x:row>
    <x:row r="1568" ht="22" customHeight="1">
      <x:c r="A1568" s="14"/>
      <x:c r="B1568" s="15"/>
      <x:c r="C1568" s="16" t="str">
        <x:f>IF(AND(ISNUMBER(B1568),ISNUMBER(B1567),B1568&gt;0,B1567&gt;0),LN(B1568/B1567),"")</x:f>
      </x:c>
      <x:c r="D1568" s="16" t="str">
        <x:f>IF(ISNUMBER(C1568),ABS(C1568),"")</x:f>
      </x:c>
      <x:c r="E1568" s="16" t="str">
        <x:f>IF(ISNUMBER(C1568),C1568^2,"")</x:f>
      </x:c>
      <x:c r="F1568" s="16" t="str">
        <x:f>IF(AND(ISNUMBER(C1568),ISNUMBER($J$6),$J$6&gt;0),(C1568-$J$5)/$J$6,"")</x:f>
      </x:c>
      <x:c r="G1568" s="1" t="str">
        <x:f>IF(ISNUMBER(F1568),IF(ABS(F1568)&gt;3,1,0),"")</x:f>
      </x:c>
      <x:c r="H1568" s="1" t="str">
        <x:f>IF(ISNUMBER(F1568),F1568^4,"")</x:f>
      </x:c>
      <x:c r="I1568" s="1"/>
      <x:c r="J1568" s="1"/>
      <x:c r="K1568" s="1"/>
      <x:c r="L1568" s="1"/>
      <x:c r="M1568" s="1"/>
      <x:c r="N1568" s="1"/>
    </x:row>
    <x:row r="1569" ht="22" customHeight="1">
      <x:c r="A1569" s="14"/>
      <x:c r="B1569" s="15"/>
      <x:c r="C1569" s="16" t="str">
        <x:f>IF(AND(ISNUMBER(B1569),ISNUMBER(B1568),B1569&gt;0,B1568&gt;0),LN(B1569/B1568),"")</x:f>
      </x:c>
      <x:c r="D1569" s="16" t="str">
        <x:f>IF(ISNUMBER(C1569),ABS(C1569),"")</x:f>
      </x:c>
      <x:c r="E1569" s="16" t="str">
        <x:f>IF(ISNUMBER(C1569),C1569^2,"")</x:f>
      </x:c>
      <x:c r="F1569" s="16" t="str">
        <x:f>IF(AND(ISNUMBER(C1569),ISNUMBER($J$6),$J$6&gt;0),(C1569-$J$5)/$J$6,"")</x:f>
      </x:c>
      <x:c r="G1569" s="1" t="str">
        <x:f>IF(ISNUMBER(F1569),IF(ABS(F1569)&gt;3,1,0),"")</x:f>
      </x:c>
      <x:c r="H1569" s="1" t="str">
        <x:f>IF(ISNUMBER(F1569),F1569^4,"")</x:f>
      </x:c>
      <x:c r="I1569" s="1"/>
      <x:c r="J1569" s="1"/>
      <x:c r="K1569" s="1"/>
      <x:c r="L1569" s="1"/>
      <x:c r="M1569" s="1"/>
      <x:c r="N1569" s="1"/>
    </x:row>
    <x:row r="1570" ht="22" customHeight="1">
      <x:c r="A1570" s="14"/>
      <x:c r="B1570" s="15"/>
      <x:c r="C1570" s="16" t="str">
        <x:f>IF(AND(ISNUMBER(B1570),ISNUMBER(B1569),B1570&gt;0,B1569&gt;0),LN(B1570/B1569),"")</x:f>
      </x:c>
      <x:c r="D1570" s="16" t="str">
        <x:f>IF(ISNUMBER(C1570),ABS(C1570),"")</x:f>
      </x:c>
      <x:c r="E1570" s="16" t="str">
        <x:f>IF(ISNUMBER(C1570),C1570^2,"")</x:f>
      </x:c>
      <x:c r="F1570" s="16" t="str">
        <x:f>IF(AND(ISNUMBER(C1570),ISNUMBER($J$6),$J$6&gt;0),(C1570-$J$5)/$J$6,"")</x:f>
      </x:c>
      <x:c r="G1570" s="1" t="str">
        <x:f>IF(ISNUMBER(F1570),IF(ABS(F1570)&gt;3,1,0),"")</x:f>
      </x:c>
      <x:c r="H1570" s="1" t="str">
        <x:f>IF(ISNUMBER(F1570),F1570^4,"")</x:f>
      </x:c>
      <x:c r="I1570" s="1"/>
      <x:c r="J1570" s="1"/>
      <x:c r="K1570" s="1"/>
      <x:c r="L1570" s="1"/>
      <x:c r="M1570" s="1"/>
      <x:c r="N1570" s="1"/>
    </x:row>
    <x:row r="1571" ht="22" customHeight="1">
      <x:c r="A1571" s="14"/>
      <x:c r="B1571" s="15"/>
      <x:c r="C1571" s="16" t="str">
        <x:f>IF(AND(ISNUMBER(B1571),ISNUMBER(B1570),B1571&gt;0,B1570&gt;0),LN(B1571/B1570),"")</x:f>
      </x:c>
      <x:c r="D1571" s="16" t="str">
        <x:f>IF(ISNUMBER(C1571),ABS(C1571),"")</x:f>
      </x:c>
      <x:c r="E1571" s="16" t="str">
        <x:f>IF(ISNUMBER(C1571),C1571^2,"")</x:f>
      </x:c>
      <x:c r="F1571" s="16" t="str">
        <x:f>IF(AND(ISNUMBER(C1571),ISNUMBER($J$6),$J$6&gt;0),(C1571-$J$5)/$J$6,"")</x:f>
      </x:c>
      <x:c r="G1571" s="1" t="str">
        <x:f>IF(ISNUMBER(F1571),IF(ABS(F1571)&gt;3,1,0),"")</x:f>
      </x:c>
      <x:c r="H1571" s="1" t="str">
        <x:f>IF(ISNUMBER(F1571),F1571^4,"")</x:f>
      </x:c>
      <x:c r="I1571" s="1"/>
      <x:c r="J1571" s="1"/>
      <x:c r="K1571" s="1"/>
      <x:c r="L1571" s="1"/>
      <x:c r="M1571" s="1"/>
      <x:c r="N1571" s="1"/>
    </x:row>
    <x:row r="1572" ht="22" customHeight="1">
      <x:c r="A1572" s="14"/>
      <x:c r="B1572" s="15"/>
      <x:c r="C1572" s="16" t="str">
        <x:f>IF(AND(ISNUMBER(B1572),ISNUMBER(B1571),B1572&gt;0,B1571&gt;0),LN(B1572/B1571),"")</x:f>
      </x:c>
      <x:c r="D1572" s="16" t="str">
        <x:f>IF(ISNUMBER(C1572),ABS(C1572),"")</x:f>
      </x:c>
      <x:c r="E1572" s="16" t="str">
        <x:f>IF(ISNUMBER(C1572),C1572^2,"")</x:f>
      </x:c>
      <x:c r="F1572" s="16" t="str">
        <x:f>IF(AND(ISNUMBER(C1572),ISNUMBER($J$6),$J$6&gt;0),(C1572-$J$5)/$J$6,"")</x:f>
      </x:c>
      <x:c r="G1572" s="1" t="str">
        <x:f>IF(ISNUMBER(F1572),IF(ABS(F1572)&gt;3,1,0),"")</x:f>
      </x:c>
      <x:c r="H1572" s="1" t="str">
        <x:f>IF(ISNUMBER(F1572),F1572^4,"")</x:f>
      </x:c>
      <x:c r="I1572" s="1"/>
      <x:c r="J1572" s="1"/>
      <x:c r="K1572" s="1"/>
      <x:c r="L1572" s="1"/>
      <x:c r="M1572" s="1"/>
      <x:c r="N1572" s="1"/>
    </x:row>
    <x:row r="1573" ht="22" customHeight="1">
      <x:c r="A1573" s="14"/>
      <x:c r="B1573" s="15"/>
      <x:c r="C1573" s="16" t="str">
        <x:f>IF(AND(ISNUMBER(B1573),ISNUMBER(B1572),B1573&gt;0,B1572&gt;0),LN(B1573/B1572),"")</x:f>
      </x:c>
      <x:c r="D1573" s="16" t="str">
        <x:f>IF(ISNUMBER(C1573),ABS(C1573),"")</x:f>
      </x:c>
      <x:c r="E1573" s="16" t="str">
        <x:f>IF(ISNUMBER(C1573),C1573^2,"")</x:f>
      </x:c>
      <x:c r="F1573" s="16" t="str">
        <x:f>IF(AND(ISNUMBER(C1573),ISNUMBER($J$6),$J$6&gt;0),(C1573-$J$5)/$J$6,"")</x:f>
      </x:c>
      <x:c r="G1573" s="1" t="str">
        <x:f>IF(ISNUMBER(F1573),IF(ABS(F1573)&gt;3,1,0),"")</x:f>
      </x:c>
      <x:c r="H1573" s="1" t="str">
        <x:f>IF(ISNUMBER(F1573),F1573^4,"")</x:f>
      </x:c>
      <x:c r="I1573" s="1"/>
      <x:c r="J1573" s="1"/>
      <x:c r="K1573" s="1"/>
      <x:c r="L1573" s="1"/>
      <x:c r="M1573" s="1"/>
      <x:c r="N1573" s="1"/>
    </x:row>
    <x:row r="1574" ht="22" customHeight="1">
      <x:c r="A1574" s="14"/>
      <x:c r="B1574" s="15"/>
      <x:c r="C1574" s="16" t="str">
        <x:f>IF(AND(ISNUMBER(B1574),ISNUMBER(B1573),B1574&gt;0,B1573&gt;0),LN(B1574/B1573),"")</x:f>
      </x:c>
      <x:c r="D1574" s="16" t="str">
        <x:f>IF(ISNUMBER(C1574),ABS(C1574),"")</x:f>
      </x:c>
      <x:c r="E1574" s="16" t="str">
        <x:f>IF(ISNUMBER(C1574),C1574^2,"")</x:f>
      </x:c>
      <x:c r="F1574" s="16" t="str">
        <x:f>IF(AND(ISNUMBER(C1574),ISNUMBER($J$6),$J$6&gt;0),(C1574-$J$5)/$J$6,"")</x:f>
      </x:c>
      <x:c r="G1574" s="1" t="str">
        <x:f>IF(ISNUMBER(F1574),IF(ABS(F1574)&gt;3,1,0),"")</x:f>
      </x:c>
      <x:c r="H1574" s="1" t="str">
        <x:f>IF(ISNUMBER(F1574),F1574^4,"")</x:f>
      </x:c>
      <x:c r="I1574" s="1"/>
      <x:c r="J1574" s="1"/>
      <x:c r="K1574" s="1"/>
      <x:c r="L1574" s="1"/>
      <x:c r="M1574" s="1"/>
      <x:c r="N1574" s="1"/>
    </x:row>
    <x:row r="1575" ht="22" customHeight="1">
      <x:c r="A1575" s="14"/>
      <x:c r="B1575" s="15"/>
      <x:c r="C1575" s="16" t="str">
        <x:f>IF(AND(ISNUMBER(B1575),ISNUMBER(B1574),B1575&gt;0,B1574&gt;0),LN(B1575/B1574),"")</x:f>
      </x:c>
      <x:c r="D1575" s="16" t="str">
        <x:f>IF(ISNUMBER(C1575),ABS(C1575),"")</x:f>
      </x:c>
      <x:c r="E1575" s="16" t="str">
        <x:f>IF(ISNUMBER(C1575),C1575^2,"")</x:f>
      </x:c>
      <x:c r="F1575" s="16" t="str">
        <x:f>IF(AND(ISNUMBER(C1575),ISNUMBER($J$6),$J$6&gt;0),(C1575-$J$5)/$J$6,"")</x:f>
      </x:c>
      <x:c r="G1575" s="1" t="str">
        <x:f>IF(ISNUMBER(F1575),IF(ABS(F1575)&gt;3,1,0),"")</x:f>
      </x:c>
      <x:c r="H1575" s="1" t="str">
        <x:f>IF(ISNUMBER(F1575),F1575^4,"")</x:f>
      </x:c>
      <x:c r="I1575" s="1"/>
      <x:c r="J1575" s="1"/>
      <x:c r="K1575" s="1"/>
      <x:c r="L1575" s="1"/>
      <x:c r="M1575" s="1"/>
      <x:c r="N1575" s="1"/>
    </x:row>
    <x:row r="1576" ht="22" customHeight="1">
      <x:c r="A1576" s="14"/>
      <x:c r="B1576" s="15"/>
      <x:c r="C1576" s="16" t="str">
        <x:f>IF(AND(ISNUMBER(B1576),ISNUMBER(B1575),B1576&gt;0,B1575&gt;0),LN(B1576/B1575),"")</x:f>
      </x:c>
      <x:c r="D1576" s="16" t="str">
        <x:f>IF(ISNUMBER(C1576),ABS(C1576),"")</x:f>
      </x:c>
      <x:c r="E1576" s="16" t="str">
        <x:f>IF(ISNUMBER(C1576),C1576^2,"")</x:f>
      </x:c>
      <x:c r="F1576" s="16" t="str">
        <x:f>IF(AND(ISNUMBER(C1576),ISNUMBER($J$6),$J$6&gt;0),(C1576-$J$5)/$J$6,"")</x:f>
      </x:c>
      <x:c r="G1576" s="1" t="str">
        <x:f>IF(ISNUMBER(F1576),IF(ABS(F1576)&gt;3,1,0),"")</x:f>
      </x:c>
      <x:c r="H1576" s="1" t="str">
        <x:f>IF(ISNUMBER(F1576),F1576^4,"")</x:f>
      </x:c>
      <x:c r="I1576" s="1"/>
      <x:c r="J1576" s="1"/>
      <x:c r="K1576" s="1"/>
      <x:c r="L1576" s="1"/>
      <x:c r="M1576" s="1"/>
      <x:c r="N1576" s="1"/>
    </x:row>
    <x:row r="1577" ht="22" customHeight="1">
      <x:c r="A1577" s="14"/>
      <x:c r="B1577" s="15"/>
      <x:c r="C1577" s="16" t="str">
        <x:f>IF(AND(ISNUMBER(B1577),ISNUMBER(B1576),B1577&gt;0,B1576&gt;0),LN(B1577/B1576),"")</x:f>
      </x:c>
      <x:c r="D1577" s="16" t="str">
        <x:f>IF(ISNUMBER(C1577),ABS(C1577),"")</x:f>
      </x:c>
      <x:c r="E1577" s="16" t="str">
        <x:f>IF(ISNUMBER(C1577),C1577^2,"")</x:f>
      </x:c>
      <x:c r="F1577" s="16" t="str">
        <x:f>IF(AND(ISNUMBER(C1577),ISNUMBER($J$6),$J$6&gt;0),(C1577-$J$5)/$J$6,"")</x:f>
      </x:c>
      <x:c r="G1577" s="1" t="str">
        <x:f>IF(ISNUMBER(F1577),IF(ABS(F1577)&gt;3,1,0),"")</x:f>
      </x:c>
      <x:c r="H1577" s="1" t="str">
        <x:f>IF(ISNUMBER(F1577),F1577^4,"")</x:f>
      </x:c>
      <x:c r="I1577" s="1"/>
      <x:c r="J1577" s="1"/>
      <x:c r="K1577" s="1"/>
      <x:c r="L1577" s="1"/>
      <x:c r="M1577" s="1"/>
      <x:c r="N1577" s="1"/>
    </x:row>
    <x:row r="1578" ht="22" customHeight="1">
      <x:c r="A1578" s="14"/>
      <x:c r="B1578" s="15"/>
      <x:c r="C1578" s="16" t="str">
        <x:f>IF(AND(ISNUMBER(B1578),ISNUMBER(B1577),B1578&gt;0,B1577&gt;0),LN(B1578/B1577),"")</x:f>
      </x:c>
      <x:c r="D1578" s="16" t="str">
        <x:f>IF(ISNUMBER(C1578),ABS(C1578),"")</x:f>
      </x:c>
      <x:c r="E1578" s="16" t="str">
        <x:f>IF(ISNUMBER(C1578),C1578^2,"")</x:f>
      </x:c>
      <x:c r="F1578" s="16" t="str">
        <x:f>IF(AND(ISNUMBER(C1578),ISNUMBER($J$6),$J$6&gt;0),(C1578-$J$5)/$J$6,"")</x:f>
      </x:c>
      <x:c r="G1578" s="1" t="str">
        <x:f>IF(ISNUMBER(F1578),IF(ABS(F1578)&gt;3,1,0),"")</x:f>
      </x:c>
      <x:c r="H1578" s="1" t="str">
        <x:f>IF(ISNUMBER(F1578),F1578^4,"")</x:f>
      </x:c>
      <x:c r="I1578" s="1"/>
      <x:c r="J1578" s="1"/>
      <x:c r="K1578" s="1"/>
      <x:c r="L1578" s="1"/>
      <x:c r="M1578" s="1"/>
      <x:c r="N1578" s="1"/>
    </x:row>
    <x:row r="1579" ht="22" customHeight="1">
      <x:c r="A1579" s="14"/>
      <x:c r="B1579" s="15"/>
      <x:c r="C1579" s="16" t="str">
        <x:f>IF(AND(ISNUMBER(B1579),ISNUMBER(B1578),B1579&gt;0,B1578&gt;0),LN(B1579/B1578),"")</x:f>
      </x:c>
      <x:c r="D1579" s="16" t="str">
        <x:f>IF(ISNUMBER(C1579),ABS(C1579),"")</x:f>
      </x:c>
      <x:c r="E1579" s="16" t="str">
        <x:f>IF(ISNUMBER(C1579),C1579^2,"")</x:f>
      </x:c>
      <x:c r="F1579" s="16" t="str">
        <x:f>IF(AND(ISNUMBER(C1579),ISNUMBER($J$6),$J$6&gt;0),(C1579-$J$5)/$J$6,"")</x:f>
      </x:c>
      <x:c r="G1579" s="1" t="str">
        <x:f>IF(ISNUMBER(F1579),IF(ABS(F1579)&gt;3,1,0),"")</x:f>
      </x:c>
      <x:c r="H1579" s="1" t="str">
        <x:f>IF(ISNUMBER(F1579),F1579^4,"")</x:f>
      </x:c>
      <x:c r="I1579" s="1"/>
      <x:c r="J1579" s="1"/>
      <x:c r="K1579" s="1"/>
      <x:c r="L1579" s="1"/>
      <x:c r="M1579" s="1"/>
      <x:c r="N1579" s="1"/>
    </x:row>
    <x:row r="1580" ht="22" customHeight="1">
      <x:c r="A1580" s="14"/>
      <x:c r="B1580" s="15"/>
      <x:c r="C1580" s="16" t="str">
        <x:f>IF(AND(ISNUMBER(B1580),ISNUMBER(B1579),B1580&gt;0,B1579&gt;0),LN(B1580/B1579),"")</x:f>
      </x:c>
      <x:c r="D1580" s="16" t="str">
        <x:f>IF(ISNUMBER(C1580),ABS(C1580),"")</x:f>
      </x:c>
      <x:c r="E1580" s="16" t="str">
        <x:f>IF(ISNUMBER(C1580),C1580^2,"")</x:f>
      </x:c>
      <x:c r="F1580" s="16" t="str">
        <x:f>IF(AND(ISNUMBER(C1580),ISNUMBER($J$6),$J$6&gt;0),(C1580-$J$5)/$J$6,"")</x:f>
      </x:c>
      <x:c r="G1580" s="1" t="str">
        <x:f>IF(ISNUMBER(F1580),IF(ABS(F1580)&gt;3,1,0),"")</x:f>
      </x:c>
      <x:c r="H1580" s="1" t="str">
        <x:f>IF(ISNUMBER(F1580),F1580^4,"")</x:f>
      </x:c>
      <x:c r="I1580" s="1"/>
      <x:c r="J1580" s="1"/>
      <x:c r="K1580" s="1"/>
      <x:c r="L1580" s="1"/>
      <x:c r="M1580" s="1"/>
      <x:c r="N1580" s="1"/>
    </x:row>
    <x:row r="1581" ht="22" customHeight="1">
      <x:c r="A1581" s="14"/>
      <x:c r="B1581" s="15"/>
      <x:c r="C1581" s="16" t="str">
        <x:f>IF(AND(ISNUMBER(B1581),ISNUMBER(B1580),B1581&gt;0,B1580&gt;0),LN(B1581/B1580),"")</x:f>
      </x:c>
      <x:c r="D1581" s="16" t="str">
        <x:f>IF(ISNUMBER(C1581),ABS(C1581),"")</x:f>
      </x:c>
      <x:c r="E1581" s="16" t="str">
        <x:f>IF(ISNUMBER(C1581),C1581^2,"")</x:f>
      </x:c>
      <x:c r="F1581" s="16" t="str">
        <x:f>IF(AND(ISNUMBER(C1581),ISNUMBER($J$6),$J$6&gt;0),(C1581-$J$5)/$J$6,"")</x:f>
      </x:c>
      <x:c r="G1581" s="1" t="str">
        <x:f>IF(ISNUMBER(F1581),IF(ABS(F1581)&gt;3,1,0),"")</x:f>
      </x:c>
      <x:c r="H1581" s="1" t="str">
        <x:f>IF(ISNUMBER(F1581),F1581^4,"")</x:f>
      </x:c>
      <x:c r="I1581" s="1"/>
      <x:c r="J1581" s="1"/>
      <x:c r="K1581" s="1"/>
      <x:c r="L1581" s="1"/>
      <x:c r="M1581" s="1"/>
      <x:c r="N1581" s="1"/>
    </x:row>
    <x:row r="1582" ht="22" customHeight="1">
      <x:c r="A1582" s="14"/>
      <x:c r="B1582" s="15"/>
      <x:c r="C1582" s="16" t="str">
        <x:f>IF(AND(ISNUMBER(B1582),ISNUMBER(B1581),B1582&gt;0,B1581&gt;0),LN(B1582/B1581),"")</x:f>
      </x:c>
      <x:c r="D1582" s="16" t="str">
        <x:f>IF(ISNUMBER(C1582),ABS(C1582),"")</x:f>
      </x:c>
      <x:c r="E1582" s="16" t="str">
        <x:f>IF(ISNUMBER(C1582),C1582^2,"")</x:f>
      </x:c>
      <x:c r="F1582" s="16" t="str">
        <x:f>IF(AND(ISNUMBER(C1582),ISNUMBER($J$6),$J$6&gt;0),(C1582-$J$5)/$J$6,"")</x:f>
      </x:c>
      <x:c r="G1582" s="1" t="str">
        <x:f>IF(ISNUMBER(F1582),IF(ABS(F1582)&gt;3,1,0),"")</x:f>
      </x:c>
      <x:c r="H1582" s="1" t="str">
        <x:f>IF(ISNUMBER(F1582),F1582^4,"")</x:f>
      </x:c>
      <x:c r="I1582" s="1"/>
      <x:c r="J1582" s="1"/>
      <x:c r="K1582" s="1"/>
      <x:c r="L1582" s="1"/>
      <x:c r="M1582" s="1"/>
      <x:c r="N1582" s="1"/>
    </x:row>
    <x:row r="1583" ht="22" customHeight="1">
      <x:c r="A1583" s="14"/>
      <x:c r="B1583" s="15"/>
      <x:c r="C1583" s="16" t="str">
        <x:f>IF(AND(ISNUMBER(B1583),ISNUMBER(B1582),B1583&gt;0,B1582&gt;0),LN(B1583/B1582),"")</x:f>
      </x:c>
      <x:c r="D1583" s="16" t="str">
        <x:f>IF(ISNUMBER(C1583),ABS(C1583),"")</x:f>
      </x:c>
      <x:c r="E1583" s="16" t="str">
        <x:f>IF(ISNUMBER(C1583),C1583^2,"")</x:f>
      </x:c>
      <x:c r="F1583" s="16" t="str">
        <x:f>IF(AND(ISNUMBER(C1583),ISNUMBER($J$6),$J$6&gt;0),(C1583-$J$5)/$J$6,"")</x:f>
      </x:c>
      <x:c r="G1583" s="1" t="str">
        <x:f>IF(ISNUMBER(F1583),IF(ABS(F1583)&gt;3,1,0),"")</x:f>
      </x:c>
      <x:c r="H1583" s="1" t="str">
        <x:f>IF(ISNUMBER(F1583),F1583^4,"")</x:f>
      </x:c>
      <x:c r="I1583" s="1"/>
      <x:c r="J1583" s="1"/>
      <x:c r="K1583" s="1"/>
      <x:c r="L1583" s="1"/>
      <x:c r="M1583" s="1"/>
      <x:c r="N1583" s="1"/>
    </x:row>
    <x:row r="1584" ht="22" customHeight="1">
      <x:c r="A1584" s="14"/>
      <x:c r="B1584" s="15"/>
      <x:c r="C1584" s="16" t="str">
        <x:f>IF(AND(ISNUMBER(B1584),ISNUMBER(B1583),B1584&gt;0,B1583&gt;0),LN(B1584/B1583),"")</x:f>
      </x:c>
      <x:c r="D1584" s="16" t="str">
        <x:f>IF(ISNUMBER(C1584),ABS(C1584),"")</x:f>
      </x:c>
      <x:c r="E1584" s="16" t="str">
        <x:f>IF(ISNUMBER(C1584),C1584^2,"")</x:f>
      </x:c>
      <x:c r="F1584" s="16" t="str">
        <x:f>IF(AND(ISNUMBER(C1584),ISNUMBER($J$6),$J$6&gt;0),(C1584-$J$5)/$J$6,"")</x:f>
      </x:c>
      <x:c r="G1584" s="1" t="str">
        <x:f>IF(ISNUMBER(F1584),IF(ABS(F1584)&gt;3,1,0),"")</x:f>
      </x:c>
      <x:c r="H1584" s="1" t="str">
        <x:f>IF(ISNUMBER(F1584),F1584^4,"")</x:f>
      </x:c>
      <x:c r="I1584" s="1"/>
      <x:c r="J1584" s="1"/>
      <x:c r="K1584" s="1"/>
      <x:c r="L1584" s="1"/>
      <x:c r="M1584" s="1"/>
      <x:c r="N1584" s="1"/>
    </x:row>
    <x:row r="1585" ht="22" customHeight="1">
      <x:c r="A1585" s="14"/>
      <x:c r="B1585" s="15"/>
      <x:c r="C1585" s="16" t="str">
        <x:f>IF(AND(ISNUMBER(B1585),ISNUMBER(B1584),B1585&gt;0,B1584&gt;0),LN(B1585/B1584),"")</x:f>
      </x:c>
      <x:c r="D1585" s="16" t="str">
        <x:f>IF(ISNUMBER(C1585),ABS(C1585),"")</x:f>
      </x:c>
      <x:c r="E1585" s="16" t="str">
        <x:f>IF(ISNUMBER(C1585),C1585^2,"")</x:f>
      </x:c>
      <x:c r="F1585" s="16" t="str">
        <x:f>IF(AND(ISNUMBER(C1585),ISNUMBER($J$6),$J$6&gt;0),(C1585-$J$5)/$J$6,"")</x:f>
      </x:c>
      <x:c r="G1585" s="1" t="str">
        <x:f>IF(ISNUMBER(F1585),IF(ABS(F1585)&gt;3,1,0),"")</x:f>
      </x:c>
      <x:c r="H1585" s="1" t="str">
        <x:f>IF(ISNUMBER(F1585),F1585^4,"")</x:f>
      </x:c>
      <x:c r="I1585" s="1"/>
      <x:c r="J1585" s="1"/>
      <x:c r="K1585" s="1"/>
      <x:c r="L1585" s="1"/>
      <x:c r="M1585" s="1"/>
      <x:c r="N1585" s="1"/>
    </x:row>
    <x:row r="1586" ht="22" customHeight="1">
      <x:c r="A1586" s="14"/>
      <x:c r="B1586" s="15"/>
      <x:c r="C1586" s="16" t="str">
        <x:f>IF(AND(ISNUMBER(B1586),ISNUMBER(B1585),B1586&gt;0,B1585&gt;0),LN(B1586/B1585),"")</x:f>
      </x:c>
      <x:c r="D1586" s="16" t="str">
        <x:f>IF(ISNUMBER(C1586),ABS(C1586),"")</x:f>
      </x:c>
      <x:c r="E1586" s="16" t="str">
        <x:f>IF(ISNUMBER(C1586),C1586^2,"")</x:f>
      </x:c>
      <x:c r="F1586" s="16" t="str">
        <x:f>IF(AND(ISNUMBER(C1586),ISNUMBER($J$6),$J$6&gt;0),(C1586-$J$5)/$J$6,"")</x:f>
      </x:c>
      <x:c r="G1586" s="1" t="str">
        <x:f>IF(ISNUMBER(F1586),IF(ABS(F1586)&gt;3,1,0),"")</x:f>
      </x:c>
      <x:c r="H1586" s="1" t="str">
        <x:f>IF(ISNUMBER(F1586),F1586^4,"")</x:f>
      </x:c>
      <x:c r="I1586" s="1"/>
      <x:c r="J1586" s="1"/>
      <x:c r="K1586" s="1"/>
      <x:c r="L1586" s="1"/>
      <x:c r="M1586" s="1"/>
      <x:c r="N1586" s="1"/>
    </x:row>
    <x:row r="1587" ht="22" customHeight="1">
      <x:c r="A1587" s="14"/>
      <x:c r="B1587" s="15"/>
      <x:c r="C1587" s="16" t="str">
        <x:f>IF(AND(ISNUMBER(B1587),ISNUMBER(B1586),B1587&gt;0,B1586&gt;0),LN(B1587/B1586),"")</x:f>
      </x:c>
      <x:c r="D1587" s="16" t="str">
        <x:f>IF(ISNUMBER(C1587),ABS(C1587),"")</x:f>
      </x:c>
      <x:c r="E1587" s="16" t="str">
        <x:f>IF(ISNUMBER(C1587),C1587^2,"")</x:f>
      </x:c>
      <x:c r="F1587" s="16" t="str">
        <x:f>IF(AND(ISNUMBER(C1587),ISNUMBER($J$6),$J$6&gt;0),(C1587-$J$5)/$J$6,"")</x:f>
      </x:c>
      <x:c r="G1587" s="1" t="str">
        <x:f>IF(ISNUMBER(F1587),IF(ABS(F1587)&gt;3,1,0),"")</x:f>
      </x:c>
      <x:c r="H1587" s="1" t="str">
        <x:f>IF(ISNUMBER(F1587),F1587^4,"")</x:f>
      </x:c>
      <x:c r="I1587" s="1"/>
      <x:c r="J1587" s="1"/>
      <x:c r="K1587" s="1"/>
      <x:c r="L1587" s="1"/>
      <x:c r="M1587" s="1"/>
      <x:c r="N1587" s="1"/>
    </x:row>
    <x:row r="1588" ht="22" customHeight="1">
      <x:c r="A1588" s="14"/>
      <x:c r="B1588" s="15"/>
      <x:c r="C1588" s="16" t="str">
        <x:f>IF(AND(ISNUMBER(B1588),ISNUMBER(B1587),B1588&gt;0,B1587&gt;0),LN(B1588/B1587),"")</x:f>
      </x:c>
      <x:c r="D1588" s="16" t="str">
        <x:f>IF(ISNUMBER(C1588),ABS(C1588),"")</x:f>
      </x:c>
      <x:c r="E1588" s="16" t="str">
        <x:f>IF(ISNUMBER(C1588),C1588^2,"")</x:f>
      </x:c>
      <x:c r="F1588" s="16" t="str">
        <x:f>IF(AND(ISNUMBER(C1588),ISNUMBER($J$6),$J$6&gt;0),(C1588-$J$5)/$J$6,"")</x:f>
      </x:c>
      <x:c r="G1588" s="1" t="str">
        <x:f>IF(ISNUMBER(F1588),IF(ABS(F1588)&gt;3,1,0),"")</x:f>
      </x:c>
      <x:c r="H1588" s="1" t="str">
        <x:f>IF(ISNUMBER(F1588),F1588^4,"")</x:f>
      </x:c>
      <x:c r="I1588" s="1"/>
      <x:c r="J1588" s="1"/>
      <x:c r="K1588" s="1"/>
      <x:c r="L1588" s="1"/>
      <x:c r="M1588" s="1"/>
      <x:c r="N1588" s="1"/>
    </x:row>
    <x:row r="1589" ht="22" customHeight="1">
      <x:c r="A1589" s="14"/>
      <x:c r="B1589" s="15"/>
      <x:c r="C1589" s="16" t="str">
        <x:f>IF(AND(ISNUMBER(B1589),ISNUMBER(B1588),B1589&gt;0,B1588&gt;0),LN(B1589/B1588),"")</x:f>
      </x:c>
      <x:c r="D1589" s="16" t="str">
        <x:f>IF(ISNUMBER(C1589),ABS(C1589),"")</x:f>
      </x:c>
      <x:c r="E1589" s="16" t="str">
        <x:f>IF(ISNUMBER(C1589),C1589^2,"")</x:f>
      </x:c>
      <x:c r="F1589" s="16" t="str">
        <x:f>IF(AND(ISNUMBER(C1589),ISNUMBER($J$6),$J$6&gt;0),(C1589-$J$5)/$J$6,"")</x:f>
      </x:c>
      <x:c r="G1589" s="1" t="str">
        <x:f>IF(ISNUMBER(F1589),IF(ABS(F1589)&gt;3,1,0),"")</x:f>
      </x:c>
      <x:c r="H1589" s="1" t="str">
        <x:f>IF(ISNUMBER(F1589),F1589^4,"")</x:f>
      </x:c>
      <x:c r="I1589" s="1"/>
      <x:c r="J1589" s="1"/>
      <x:c r="K1589" s="1"/>
      <x:c r="L1589" s="1"/>
      <x:c r="M1589" s="1"/>
      <x:c r="N1589" s="1"/>
    </x:row>
    <x:row r="1590" ht="22" customHeight="1">
      <x:c r="A1590" s="14"/>
      <x:c r="B1590" s="15"/>
      <x:c r="C1590" s="16" t="str">
        <x:f>IF(AND(ISNUMBER(B1590),ISNUMBER(B1589),B1590&gt;0,B1589&gt;0),LN(B1590/B1589),"")</x:f>
      </x:c>
      <x:c r="D1590" s="16" t="str">
        <x:f>IF(ISNUMBER(C1590),ABS(C1590),"")</x:f>
      </x:c>
      <x:c r="E1590" s="16" t="str">
        <x:f>IF(ISNUMBER(C1590),C1590^2,"")</x:f>
      </x:c>
      <x:c r="F1590" s="16" t="str">
        <x:f>IF(AND(ISNUMBER(C1590),ISNUMBER($J$6),$J$6&gt;0),(C1590-$J$5)/$J$6,"")</x:f>
      </x:c>
      <x:c r="G1590" s="1" t="str">
        <x:f>IF(ISNUMBER(F1590),IF(ABS(F1590)&gt;3,1,0),"")</x:f>
      </x:c>
      <x:c r="H1590" s="1" t="str">
        <x:f>IF(ISNUMBER(F1590),F1590^4,"")</x:f>
      </x:c>
      <x:c r="I1590" s="1"/>
      <x:c r="J1590" s="1"/>
      <x:c r="K1590" s="1"/>
      <x:c r="L1590" s="1"/>
      <x:c r="M1590" s="1"/>
      <x:c r="N1590" s="1"/>
    </x:row>
    <x:row r="1591" ht="22" customHeight="1">
      <x:c r="A1591" s="14"/>
      <x:c r="B1591" s="15"/>
      <x:c r="C1591" s="16" t="str">
        <x:f>IF(AND(ISNUMBER(B1591),ISNUMBER(B1590),B1591&gt;0,B1590&gt;0),LN(B1591/B1590),"")</x:f>
      </x:c>
      <x:c r="D1591" s="16" t="str">
        <x:f>IF(ISNUMBER(C1591),ABS(C1591),"")</x:f>
      </x:c>
      <x:c r="E1591" s="16" t="str">
        <x:f>IF(ISNUMBER(C1591),C1591^2,"")</x:f>
      </x:c>
      <x:c r="F1591" s="16" t="str">
        <x:f>IF(AND(ISNUMBER(C1591),ISNUMBER($J$6),$J$6&gt;0),(C1591-$J$5)/$J$6,"")</x:f>
      </x:c>
      <x:c r="G1591" s="1" t="str">
        <x:f>IF(ISNUMBER(F1591),IF(ABS(F1591)&gt;3,1,0),"")</x:f>
      </x:c>
      <x:c r="H1591" s="1" t="str">
        <x:f>IF(ISNUMBER(F1591),F1591^4,"")</x:f>
      </x:c>
      <x:c r="I1591" s="1"/>
      <x:c r="J1591" s="1"/>
      <x:c r="K1591" s="1"/>
      <x:c r="L1591" s="1"/>
      <x:c r="M1591" s="1"/>
      <x:c r="N1591" s="1"/>
    </x:row>
    <x:row r="1592" ht="22" customHeight="1">
      <x:c r="A1592" s="14"/>
      <x:c r="B1592" s="15"/>
      <x:c r="C1592" s="16" t="str">
        <x:f>IF(AND(ISNUMBER(B1592),ISNUMBER(B1591),B1592&gt;0,B1591&gt;0),LN(B1592/B1591),"")</x:f>
      </x:c>
      <x:c r="D1592" s="16" t="str">
        <x:f>IF(ISNUMBER(C1592),ABS(C1592),"")</x:f>
      </x:c>
      <x:c r="E1592" s="16" t="str">
        <x:f>IF(ISNUMBER(C1592),C1592^2,"")</x:f>
      </x:c>
      <x:c r="F1592" s="16" t="str">
        <x:f>IF(AND(ISNUMBER(C1592),ISNUMBER($J$6),$J$6&gt;0),(C1592-$J$5)/$J$6,"")</x:f>
      </x:c>
      <x:c r="G1592" s="1" t="str">
        <x:f>IF(ISNUMBER(F1592),IF(ABS(F1592)&gt;3,1,0),"")</x:f>
      </x:c>
      <x:c r="H1592" s="1" t="str">
        <x:f>IF(ISNUMBER(F1592),F1592^4,"")</x:f>
      </x:c>
      <x:c r="I1592" s="1"/>
      <x:c r="J1592" s="1"/>
      <x:c r="K1592" s="1"/>
      <x:c r="L1592" s="1"/>
      <x:c r="M1592" s="1"/>
      <x:c r="N1592" s="1"/>
    </x:row>
    <x:row r="1593" ht="22" customHeight="1">
      <x:c r="A1593" s="14"/>
      <x:c r="B1593" s="15"/>
      <x:c r="C1593" s="16" t="str">
        <x:f>IF(AND(ISNUMBER(B1593),ISNUMBER(B1592),B1593&gt;0,B1592&gt;0),LN(B1593/B1592),"")</x:f>
      </x:c>
      <x:c r="D1593" s="16" t="str">
        <x:f>IF(ISNUMBER(C1593),ABS(C1593),"")</x:f>
      </x:c>
      <x:c r="E1593" s="16" t="str">
        <x:f>IF(ISNUMBER(C1593),C1593^2,"")</x:f>
      </x:c>
      <x:c r="F1593" s="16" t="str">
        <x:f>IF(AND(ISNUMBER(C1593),ISNUMBER($J$6),$J$6&gt;0),(C1593-$J$5)/$J$6,"")</x:f>
      </x:c>
      <x:c r="G1593" s="1" t="str">
        <x:f>IF(ISNUMBER(F1593),IF(ABS(F1593)&gt;3,1,0),"")</x:f>
      </x:c>
      <x:c r="H1593" s="1" t="str">
        <x:f>IF(ISNUMBER(F1593),F1593^4,"")</x:f>
      </x:c>
      <x:c r="I1593" s="1"/>
      <x:c r="J1593" s="1"/>
      <x:c r="K1593" s="1"/>
      <x:c r="L1593" s="1"/>
      <x:c r="M1593" s="1"/>
      <x:c r="N1593" s="1"/>
    </x:row>
    <x:row r="1594" ht="22" customHeight="1">
      <x:c r="A1594" s="14"/>
      <x:c r="B1594" s="15"/>
      <x:c r="C1594" s="16" t="str">
        <x:f>IF(AND(ISNUMBER(B1594),ISNUMBER(B1593),B1594&gt;0,B1593&gt;0),LN(B1594/B1593),"")</x:f>
      </x:c>
      <x:c r="D1594" s="16" t="str">
        <x:f>IF(ISNUMBER(C1594),ABS(C1594),"")</x:f>
      </x:c>
      <x:c r="E1594" s="16" t="str">
        <x:f>IF(ISNUMBER(C1594),C1594^2,"")</x:f>
      </x:c>
      <x:c r="F1594" s="16" t="str">
        <x:f>IF(AND(ISNUMBER(C1594),ISNUMBER($J$6),$J$6&gt;0),(C1594-$J$5)/$J$6,"")</x:f>
      </x:c>
      <x:c r="G1594" s="1" t="str">
        <x:f>IF(ISNUMBER(F1594),IF(ABS(F1594)&gt;3,1,0),"")</x:f>
      </x:c>
      <x:c r="H1594" s="1" t="str">
        <x:f>IF(ISNUMBER(F1594),F1594^4,"")</x:f>
      </x:c>
      <x:c r="I1594" s="1"/>
      <x:c r="J1594" s="1"/>
      <x:c r="K1594" s="1"/>
      <x:c r="L1594" s="1"/>
      <x:c r="M1594" s="1"/>
      <x:c r="N1594" s="1"/>
    </x:row>
    <x:row r="1595" ht="22" customHeight="1">
      <x:c r="A1595" s="14"/>
      <x:c r="B1595" s="15"/>
      <x:c r="C1595" s="16" t="str">
        <x:f>IF(AND(ISNUMBER(B1595),ISNUMBER(B1594),B1595&gt;0,B1594&gt;0),LN(B1595/B1594),"")</x:f>
      </x:c>
      <x:c r="D1595" s="16" t="str">
        <x:f>IF(ISNUMBER(C1595),ABS(C1595),"")</x:f>
      </x:c>
      <x:c r="E1595" s="16" t="str">
        <x:f>IF(ISNUMBER(C1595),C1595^2,"")</x:f>
      </x:c>
      <x:c r="F1595" s="16" t="str">
        <x:f>IF(AND(ISNUMBER(C1595),ISNUMBER($J$6),$J$6&gt;0),(C1595-$J$5)/$J$6,"")</x:f>
      </x:c>
      <x:c r="G1595" s="1" t="str">
        <x:f>IF(ISNUMBER(F1595),IF(ABS(F1595)&gt;3,1,0),"")</x:f>
      </x:c>
      <x:c r="H1595" s="1" t="str">
        <x:f>IF(ISNUMBER(F1595),F1595^4,"")</x:f>
      </x:c>
      <x:c r="I1595" s="1"/>
      <x:c r="J1595" s="1"/>
      <x:c r="K1595" s="1"/>
      <x:c r="L1595" s="1"/>
      <x:c r="M1595" s="1"/>
      <x:c r="N1595" s="1"/>
    </x:row>
    <x:row r="1596" ht="22" customHeight="1">
      <x:c r="A1596" s="14"/>
      <x:c r="B1596" s="15"/>
      <x:c r="C1596" s="16" t="str">
        <x:f>IF(AND(ISNUMBER(B1596),ISNUMBER(B1595),B1596&gt;0,B1595&gt;0),LN(B1596/B1595),"")</x:f>
      </x:c>
      <x:c r="D1596" s="16" t="str">
        <x:f>IF(ISNUMBER(C1596),ABS(C1596),"")</x:f>
      </x:c>
      <x:c r="E1596" s="16" t="str">
        <x:f>IF(ISNUMBER(C1596),C1596^2,"")</x:f>
      </x:c>
      <x:c r="F1596" s="16" t="str">
        <x:f>IF(AND(ISNUMBER(C1596),ISNUMBER($J$6),$J$6&gt;0),(C1596-$J$5)/$J$6,"")</x:f>
      </x:c>
      <x:c r="G1596" s="1" t="str">
        <x:f>IF(ISNUMBER(F1596),IF(ABS(F1596)&gt;3,1,0),"")</x:f>
      </x:c>
      <x:c r="H1596" s="1" t="str">
        <x:f>IF(ISNUMBER(F1596),F1596^4,"")</x:f>
      </x:c>
      <x:c r="I1596" s="1"/>
      <x:c r="J1596" s="1"/>
      <x:c r="K1596" s="1"/>
      <x:c r="L1596" s="1"/>
      <x:c r="M1596" s="1"/>
      <x:c r="N1596" s="1"/>
    </x:row>
    <x:row r="1597" ht="22" customHeight="1">
      <x:c r="A1597" s="14"/>
      <x:c r="B1597" s="15"/>
      <x:c r="C1597" s="16" t="str">
        <x:f>IF(AND(ISNUMBER(B1597),ISNUMBER(B1596),B1597&gt;0,B1596&gt;0),LN(B1597/B1596),"")</x:f>
      </x:c>
      <x:c r="D1597" s="16" t="str">
        <x:f>IF(ISNUMBER(C1597),ABS(C1597),"")</x:f>
      </x:c>
      <x:c r="E1597" s="16" t="str">
        <x:f>IF(ISNUMBER(C1597),C1597^2,"")</x:f>
      </x:c>
      <x:c r="F1597" s="16" t="str">
        <x:f>IF(AND(ISNUMBER(C1597),ISNUMBER($J$6),$J$6&gt;0),(C1597-$J$5)/$J$6,"")</x:f>
      </x:c>
      <x:c r="G1597" s="1" t="str">
        <x:f>IF(ISNUMBER(F1597),IF(ABS(F1597)&gt;3,1,0),"")</x:f>
      </x:c>
      <x:c r="H1597" s="1" t="str">
        <x:f>IF(ISNUMBER(F1597),F1597^4,"")</x:f>
      </x:c>
      <x:c r="I1597" s="1"/>
      <x:c r="J1597" s="1"/>
      <x:c r="K1597" s="1"/>
      <x:c r="L1597" s="1"/>
      <x:c r="M1597" s="1"/>
      <x:c r="N1597" s="1"/>
    </x:row>
    <x:row r="1598" ht="22" customHeight="1">
      <x:c r="A1598" s="14"/>
      <x:c r="B1598" s="15"/>
      <x:c r="C1598" s="16" t="str">
        <x:f>IF(AND(ISNUMBER(B1598),ISNUMBER(B1597),B1598&gt;0,B1597&gt;0),LN(B1598/B1597),"")</x:f>
      </x:c>
      <x:c r="D1598" s="16" t="str">
        <x:f>IF(ISNUMBER(C1598),ABS(C1598),"")</x:f>
      </x:c>
      <x:c r="E1598" s="16" t="str">
        <x:f>IF(ISNUMBER(C1598),C1598^2,"")</x:f>
      </x:c>
      <x:c r="F1598" s="16" t="str">
        <x:f>IF(AND(ISNUMBER(C1598),ISNUMBER($J$6),$J$6&gt;0),(C1598-$J$5)/$J$6,"")</x:f>
      </x:c>
      <x:c r="G1598" s="1" t="str">
        <x:f>IF(ISNUMBER(F1598),IF(ABS(F1598)&gt;3,1,0),"")</x:f>
      </x:c>
      <x:c r="H1598" s="1" t="str">
        <x:f>IF(ISNUMBER(F1598),F1598^4,"")</x:f>
      </x:c>
      <x:c r="I1598" s="1"/>
      <x:c r="J1598" s="1"/>
      <x:c r="K1598" s="1"/>
      <x:c r="L1598" s="1"/>
      <x:c r="M1598" s="1"/>
      <x:c r="N1598" s="1"/>
    </x:row>
    <x:row r="1599" ht="22" customHeight="1">
      <x:c r="A1599" s="14"/>
      <x:c r="B1599" s="15"/>
      <x:c r="C1599" s="16" t="str">
        <x:f>IF(AND(ISNUMBER(B1599),ISNUMBER(B1598),B1599&gt;0,B1598&gt;0),LN(B1599/B1598),"")</x:f>
      </x:c>
      <x:c r="D1599" s="16" t="str">
        <x:f>IF(ISNUMBER(C1599),ABS(C1599),"")</x:f>
      </x:c>
      <x:c r="E1599" s="16" t="str">
        <x:f>IF(ISNUMBER(C1599),C1599^2,"")</x:f>
      </x:c>
      <x:c r="F1599" s="16" t="str">
        <x:f>IF(AND(ISNUMBER(C1599),ISNUMBER($J$6),$J$6&gt;0),(C1599-$J$5)/$J$6,"")</x:f>
      </x:c>
      <x:c r="G1599" s="1" t="str">
        <x:f>IF(ISNUMBER(F1599),IF(ABS(F1599)&gt;3,1,0),"")</x:f>
      </x:c>
      <x:c r="H1599" s="1" t="str">
        <x:f>IF(ISNUMBER(F1599),F1599^4,"")</x:f>
      </x:c>
      <x:c r="I1599" s="1"/>
      <x:c r="J1599" s="1"/>
      <x:c r="K1599" s="1"/>
      <x:c r="L1599" s="1"/>
      <x:c r="M1599" s="1"/>
      <x:c r="N1599" s="1"/>
    </x:row>
    <x:row r="1600" ht="22" customHeight="1">
      <x:c r="A1600" s="14"/>
      <x:c r="B1600" s="15"/>
      <x:c r="C1600" s="16" t="str">
        <x:f>IF(AND(ISNUMBER(B1600),ISNUMBER(B1599),B1600&gt;0,B1599&gt;0),LN(B1600/B1599),"")</x:f>
      </x:c>
      <x:c r="D1600" s="16" t="str">
        <x:f>IF(ISNUMBER(C1600),ABS(C1600),"")</x:f>
      </x:c>
      <x:c r="E1600" s="16" t="str">
        <x:f>IF(ISNUMBER(C1600),C1600^2,"")</x:f>
      </x:c>
      <x:c r="F1600" s="16" t="str">
        <x:f>IF(AND(ISNUMBER(C1600),ISNUMBER($J$6),$J$6&gt;0),(C1600-$J$5)/$J$6,"")</x:f>
      </x:c>
      <x:c r="G1600" s="1" t="str">
        <x:f>IF(ISNUMBER(F1600),IF(ABS(F1600)&gt;3,1,0),"")</x:f>
      </x:c>
      <x:c r="H1600" s="1" t="str">
        <x:f>IF(ISNUMBER(F1600),F1600^4,"")</x:f>
      </x:c>
      <x:c r="I1600" s="1"/>
      <x:c r="J1600" s="1"/>
      <x:c r="K1600" s="1"/>
      <x:c r="L1600" s="1"/>
      <x:c r="M1600" s="1"/>
      <x:c r="N1600" s="1"/>
    </x:row>
    <x:row r="1601" ht="22" customHeight="1">
      <x:c r="A1601" s="14"/>
      <x:c r="B1601" s="15"/>
      <x:c r="C1601" s="16" t="str">
        <x:f>IF(AND(ISNUMBER(B1601),ISNUMBER(B1600),B1601&gt;0,B1600&gt;0),LN(B1601/B1600),"")</x:f>
      </x:c>
      <x:c r="D1601" s="16" t="str">
        <x:f>IF(ISNUMBER(C1601),ABS(C1601),"")</x:f>
      </x:c>
      <x:c r="E1601" s="16" t="str">
        <x:f>IF(ISNUMBER(C1601),C1601^2,"")</x:f>
      </x:c>
      <x:c r="F1601" s="16" t="str">
        <x:f>IF(AND(ISNUMBER(C1601),ISNUMBER($J$6),$J$6&gt;0),(C1601-$J$5)/$J$6,"")</x:f>
      </x:c>
      <x:c r="G1601" s="1" t="str">
        <x:f>IF(ISNUMBER(F1601),IF(ABS(F1601)&gt;3,1,0),"")</x:f>
      </x:c>
      <x:c r="H1601" s="1" t="str">
        <x:f>IF(ISNUMBER(F1601),F1601^4,"")</x:f>
      </x:c>
      <x:c r="I1601" s="1"/>
      <x:c r="J1601" s="1"/>
      <x:c r="K1601" s="1"/>
      <x:c r="L1601" s="1"/>
      <x:c r="M1601" s="1"/>
      <x:c r="N1601" s="1"/>
    </x:row>
    <x:row r="1602" ht="22" customHeight="1">
      <x:c r="A1602" s="14"/>
      <x:c r="B1602" s="15"/>
      <x:c r="C1602" s="16" t="str">
        <x:f>IF(AND(ISNUMBER(B1602),ISNUMBER(B1601),B1602&gt;0,B1601&gt;0),LN(B1602/B1601),"")</x:f>
      </x:c>
      <x:c r="D1602" s="16" t="str">
        <x:f>IF(ISNUMBER(C1602),ABS(C1602),"")</x:f>
      </x:c>
      <x:c r="E1602" s="16" t="str">
        <x:f>IF(ISNUMBER(C1602),C1602^2,"")</x:f>
      </x:c>
      <x:c r="F1602" s="16" t="str">
        <x:f>IF(AND(ISNUMBER(C1602),ISNUMBER($J$6),$J$6&gt;0),(C1602-$J$5)/$J$6,"")</x:f>
      </x:c>
      <x:c r="G1602" s="1" t="str">
        <x:f>IF(ISNUMBER(F1602),IF(ABS(F1602)&gt;3,1,0),"")</x:f>
      </x:c>
      <x:c r="H1602" s="1" t="str">
        <x:f>IF(ISNUMBER(F1602),F1602^4,"")</x:f>
      </x:c>
      <x:c r="I1602" s="1"/>
      <x:c r="J1602" s="1"/>
      <x:c r="K1602" s="1"/>
      <x:c r="L1602" s="1"/>
      <x:c r="M1602" s="1"/>
      <x:c r="N1602" s="1"/>
    </x:row>
    <x:row r="1603" ht="22" customHeight="1">
      <x:c r="A1603" s="14"/>
      <x:c r="B1603" s="15"/>
      <x:c r="C1603" s="16" t="str">
        <x:f>IF(AND(ISNUMBER(B1603),ISNUMBER(B1602),B1603&gt;0,B1602&gt;0),LN(B1603/B1602),"")</x:f>
      </x:c>
      <x:c r="D1603" s="16" t="str">
        <x:f>IF(ISNUMBER(C1603),ABS(C1603),"")</x:f>
      </x:c>
      <x:c r="E1603" s="16" t="str">
        <x:f>IF(ISNUMBER(C1603),C1603^2,"")</x:f>
      </x:c>
      <x:c r="F1603" s="16" t="str">
        <x:f>IF(AND(ISNUMBER(C1603),ISNUMBER($J$6),$J$6&gt;0),(C1603-$J$5)/$J$6,"")</x:f>
      </x:c>
      <x:c r="G1603" s="1" t="str">
        <x:f>IF(ISNUMBER(F1603),IF(ABS(F1603)&gt;3,1,0),"")</x:f>
      </x:c>
      <x:c r="H1603" s="1" t="str">
        <x:f>IF(ISNUMBER(F1603),F1603^4,"")</x:f>
      </x:c>
      <x:c r="I1603" s="1"/>
      <x:c r="J1603" s="1"/>
      <x:c r="K1603" s="1"/>
      <x:c r="L1603" s="1"/>
      <x:c r="M1603" s="1"/>
      <x:c r="N1603" s="1"/>
    </x:row>
    <x:row r="1604" ht="22" customHeight="1">
      <x:c r="A1604" s="14"/>
      <x:c r="B1604" s="15"/>
      <x:c r="C1604" s="16" t="str">
        <x:f>IF(AND(ISNUMBER(B1604),ISNUMBER(B1603),B1604&gt;0,B1603&gt;0),LN(B1604/B1603),"")</x:f>
      </x:c>
      <x:c r="D1604" s="16" t="str">
        <x:f>IF(ISNUMBER(C1604),ABS(C1604),"")</x:f>
      </x:c>
      <x:c r="E1604" s="16" t="str">
        <x:f>IF(ISNUMBER(C1604),C1604^2,"")</x:f>
      </x:c>
      <x:c r="F1604" s="16" t="str">
        <x:f>IF(AND(ISNUMBER(C1604),ISNUMBER($J$6),$J$6&gt;0),(C1604-$J$5)/$J$6,"")</x:f>
      </x:c>
      <x:c r="G1604" s="1" t="str">
        <x:f>IF(ISNUMBER(F1604),IF(ABS(F1604)&gt;3,1,0),"")</x:f>
      </x:c>
      <x:c r="H1604" s="1" t="str">
        <x:f>IF(ISNUMBER(F1604),F1604^4,"")</x:f>
      </x:c>
      <x:c r="I1604" s="1"/>
      <x:c r="J1604" s="1"/>
      <x:c r="K1604" s="1"/>
      <x:c r="L1604" s="1"/>
      <x:c r="M1604" s="1"/>
      <x:c r="N1604" s="1"/>
    </x:row>
    <x:row r="1605" ht="22" customHeight="1">
      <x:c r="A1605" s="14"/>
      <x:c r="B1605" s="15"/>
      <x:c r="C1605" s="16" t="str">
        <x:f>IF(AND(ISNUMBER(B1605),ISNUMBER(B1604),B1605&gt;0,B1604&gt;0),LN(B1605/B1604),"")</x:f>
      </x:c>
      <x:c r="D1605" s="16" t="str">
        <x:f>IF(ISNUMBER(C1605),ABS(C1605),"")</x:f>
      </x:c>
      <x:c r="E1605" s="16" t="str">
        <x:f>IF(ISNUMBER(C1605),C1605^2,"")</x:f>
      </x:c>
      <x:c r="F1605" s="16" t="str">
        <x:f>IF(AND(ISNUMBER(C1605),ISNUMBER($J$6),$J$6&gt;0),(C1605-$J$5)/$J$6,"")</x:f>
      </x:c>
      <x:c r="G1605" s="1" t="str">
        <x:f>IF(ISNUMBER(F1605),IF(ABS(F1605)&gt;3,1,0),"")</x:f>
      </x:c>
      <x:c r="H1605" s="1" t="str">
        <x:f>IF(ISNUMBER(F1605),F1605^4,"")</x:f>
      </x:c>
      <x:c r="I1605" s="1"/>
      <x:c r="J1605" s="1"/>
      <x:c r="K1605" s="1"/>
      <x:c r="L1605" s="1"/>
      <x:c r="M1605" s="1"/>
      <x:c r="N1605" s="1"/>
    </x:row>
    <x:row r="1606" ht="22" customHeight="1">
      <x:c r="A1606" s="14"/>
      <x:c r="B1606" s="15"/>
      <x:c r="C1606" s="16" t="str">
        <x:f>IF(AND(ISNUMBER(B1606),ISNUMBER(B1605),B1606&gt;0,B1605&gt;0),LN(B1606/B1605),"")</x:f>
      </x:c>
      <x:c r="D1606" s="16" t="str">
        <x:f>IF(ISNUMBER(C1606),ABS(C1606),"")</x:f>
      </x:c>
      <x:c r="E1606" s="16" t="str">
        <x:f>IF(ISNUMBER(C1606),C1606^2,"")</x:f>
      </x:c>
      <x:c r="F1606" s="16" t="str">
        <x:f>IF(AND(ISNUMBER(C1606),ISNUMBER($J$6),$J$6&gt;0),(C1606-$J$5)/$J$6,"")</x:f>
      </x:c>
      <x:c r="G1606" s="1" t="str">
        <x:f>IF(ISNUMBER(F1606),IF(ABS(F1606)&gt;3,1,0),"")</x:f>
      </x:c>
      <x:c r="H1606" s="1" t="str">
        <x:f>IF(ISNUMBER(F1606),F1606^4,"")</x:f>
      </x:c>
      <x:c r="I1606" s="1"/>
      <x:c r="J1606" s="1"/>
      <x:c r="K1606" s="1"/>
      <x:c r="L1606" s="1"/>
      <x:c r="M1606" s="1"/>
      <x:c r="N1606" s="1"/>
    </x:row>
    <x:row r="1607" ht="22" customHeight="1">
      <x:c r="A1607" s="14"/>
      <x:c r="B1607" s="15"/>
      <x:c r="C1607" s="16" t="str">
        <x:f>IF(AND(ISNUMBER(B1607),ISNUMBER(B1606),B1607&gt;0,B1606&gt;0),LN(B1607/B1606),"")</x:f>
      </x:c>
      <x:c r="D1607" s="16" t="str">
        <x:f>IF(ISNUMBER(C1607),ABS(C1607),"")</x:f>
      </x:c>
      <x:c r="E1607" s="16" t="str">
        <x:f>IF(ISNUMBER(C1607),C1607^2,"")</x:f>
      </x:c>
      <x:c r="F1607" s="16" t="str">
        <x:f>IF(AND(ISNUMBER(C1607),ISNUMBER($J$6),$J$6&gt;0),(C1607-$J$5)/$J$6,"")</x:f>
      </x:c>
      <x:c r="G1607" s="1" t="str">
        <x:f>IF(ISNUMBER(F1607),IF(ABS(F1607)&gt;3,1,0),"")</x:f>
      </x:c>
      <x:c r="H1607" s="1" t="str">
        <x:f>IF(ISNUMBER(F1607),F1607^4,"")</x:f>
      </x:c>
      <x:c r="I1607" s="1"/>
      <x:c r="J1607" s="1"/>
      <x:c r="K1607" s="1"/>
      <x:c r="L1607" s="1"/>
      <x:c r="M1607" s="1"/>
      <x:c r="N1607" s="1"/>
    </x:row>
    <x:row r="1608" ht="22" customHeight="1">
      <x:c r="A1608" s="14"/>
      <x:c r="B1608" s="15"/>
      <x:c r="C1608" s="16" t="str">
        <x:f>IF(AND(ISNUMBER(B1608),ISNUMBER(B1607),B1608&gt;0,B1607&gt;0),LN(B1608/B1607),"")</x:f>
      </x:c>
      <x:c r="D1608" s="16" t="str">
        <x:f>IF(ISNUMBER(C1608),ABS(C1608),"")</x:f>
      </x:c>
      <x:c r="E1608" s="16" t="str">
        <x:f>IF(ISNUMBER(C1608),C1608^2,"")</x:f>
      </x:c>
      <x:c r="F1608" s="16" t="str">
        <x:f>IF(AND(ISNUMBER(C1608),ISNUMBER($J$6),$J$6&gt;0),(C1608-$J$5)/$J$6,"")</x:f>
      </x:c>
      <x:c r="G1608" s="1" t="str">
        <x:f>IF(ISNUMBER(F1608),IF(ABS(F1608)&gt;3,1,0),"")</x:f>
      </x:c>
      <x:c r="H1608" s="1" t="str">
        <x:f>IF(ISNUMBER(F1608),F1608^4,"")</x:f>
      </x:c>
      <x:c r="I1608" s="1"/>
      <x:c r="J1608" s="1"/>
      <x:c r="K1608" s="1"/>
      <x:c r="L1608" s="1"/>
      <x:c r="M1608" s="1"/>
      <x:c r="N1608" s="1"/>
    </x:row>
    <x:row r="1609" ht="22" customHeight="1">
      <x:c r="A1609" s="14"/>
      <x:c r="B1609" s="15"/>
      <x:c r="C1609" s="16" t="str">
        <x:f>IF(AND(ISNUMBER(B1609),ISNUMBER(B1608),B1609&gt;0,B1608&gt;0),LN(B1609/B1608),"")</x:f>
      </x:c>
      <x:c r="D1609" s="16" t="str">
        <x:f>IF(ISNUMBER(C1609),ABS(C1609),"")</x:f>
      </x:c>
      <x:c r="E1609" s="16" t="str">
        <x:f>IF(ISNUMBER(C1609),C1609^2,"")</x:f>
      </x:c>
      <x:c r="F1609" s="16" t="str">
        <x:f>IF(AND(ISNUMBER(C1609),ISNUMBER($J$6),$J$6&gt;0),(C1609-$J$5)/$J$6,"")</x:f>
      </x:c>
      <x:c r="G1609" s="1" t="str">
        <x:f>IF(ISNUMBER(F1609),IF(ABS(F1609)&gt;3,1,0),"")</x:f>
      </x:c>
      <x:c r="H1609" s="1" t="str">
        <x:f>IF(ISNUMBER(F1609),F1609^4,"")</x:f>
      </x:c>
      <x:c r="I1609" s="1"/>
      <x:c r="J1609" s="1"/>
      <x:c r="K1609" s="1"/>
      <x:c r="L1609" s="1"/>
      <x:c r="M1609" s="1"/>
      <x:c r="N1609" s="1"/>
    </x:row>
    <x:row r="1610" ht="22" customHeight="1">
      <x:c r="A1610" s="14"/>
      <x:c r="B1610" s="15"/>
      <x:c r="C1610" s="16" t="str">
        <x:f>IF(AND(ISNUMBER(B1610),ISNUMBER(B1609),B1610&gt;0,B1609&gt;0),LN(B1610/B1609),"")</x:f>
      </x:c>
      <x:c r="D1610" s="16" t="str">
        <x:f>IF(ISNUMBER(C1610),ABS(C1610),"")</x:f>
      </x:c>
      <x:c r="E1610" s="16" t="str">
        <x:f>IF(ISNUMBER(C1610),C1610^2,"")</x:f>
      </x:c>
      <x:c r="F1610" s="16" t="str">
        <x:f>IF(AND(ISNUMBER(C1610),ISNUMBER($J$6),$J$6&gt;0),(C1610-$J$5)/$J$6,"")</x:f>
      </x:c>
      <x:c r="G1610" s="1" t="str">
        <x:f>IF(ISNUMBER(F1610),IF(ABS(F1610)&gt;3,1,0),"")</x:f>
      </x:c>
      <x:c r="H1610" s="1" t="str">
        <x:f>IF(ISNUMBER(F1610),F1610^4,"")</x:f>
      </x:c>
      <x:c r="I1610" s="1"/>
      <x:c r="J1610" s="1"/>
      <x:c r="K1610" s="1"/>
      <x:c r="L1610" s="1"/>
      <x:c r="M1610" s="1"/>
      <x:c r="N1610" s="1"/>
    </x:row>
    <x:row r="1611" ht="22" customHeight="1">
      <x:c r="A1611" s="14"/>
      <x:c r="B1611" s="15"/>
      <x:c r="C1611" s="16" t="str">
        <x:f>IF(AND(ISNUMBER(B1611),ISNUMBER(B1610),B1611&gt;0,B1610&gt;0),LN(B1611/B1610),"")</x:f>
      </x:c>
      <x:c r="D1611" s="16" t="str">
        <x:f>IF(ISNUMBER(C1611),ABS(C1611),"")</x:f>
      </x:c>
      <x:c r="E1611" s="16" t="str">
        <x:f>IF(ISNUMBER(C1611),C1611^2,"")</x:f>
      </x:c>
      <x:c r="F1611" s="16" t="str">
        <x:f>IF(AND(ISNUMBER(C1611),ISNUMBER($J$6),$J$6&gt;0),(C1611-$J$5)/$J$6,"")</x:f>
      </x:c>
      <x:c r="G1611" s="1" t="str">
        <x:f>IF(ISNUMBER(F1611),IF(ABS(F1611)&gt;3,1,0),"")</x:f>
      </x:c>
      <x:c r="H1611" s="1" t="str">
        <x:f>IF(ISNUMBER(F1611),F1611^4,"")</x:f>
      </x:c>
      <x:c r="I1611" s="1"/>
      <x:c r="J1611" s="1"/>
      <x:c r="K1611" s="1"/>
      <x:c r="L1611" s="1"/>
      <x:c r="M1611" s="1"/>
      <x:c r="N1611" s="1"/>
    </x:row>
    <x:row r="1612" ht="22" customHeight="1">
      <x:c r="A1612" s="14"/>
      <x:c r="B1612" s="15"/>
      <x:c r="C1612" s="16" t="str">
        <x:f>IF(AND(ISNUMBER(B1612),ISNUMBER(B1611),B1612&gt;0,B1611&gt;0),LN(B1612/B1611),"")</x:f>
      </x:c>
      <x:c r="D1612" s="16" t="str">
        <x:f>IF(ISNUMBER(C1612),ABS(C1612),"")</x:f>
      </x:c>
      <x:c r="E1612" s="16" t="str">
        <x:f>IF(ISNUMBER(C1612),C1612^2,"")</x:f>
      </x:c>
      <x:c r="F1612" s="16" t="str">
        <x:f>IF(AND(ISNUMBER(C1612),ISNUMBER($J$6),$J$6&gt;0),(C1612-$J$5)/$J$6,"")</x:f>
      </x:c>
      <x:c r="G1612" s="1" t="str">
        <x:f>IF(ISNUMBER(F1612),IF(ABS(F1612)&gt;3,1,0),"")</x:f>
      </x:c>
      <x:c r="H1612" s="1" t="str">
        <x:f>IF(ISNUMBER(F1612),F1612^4,"")</x:f>
      </x:c>
      <x:c r="I1612" s="1"/>
      <x:c r="J1612" s="1"/>
      <x:c r="K1612" s="1"/>
      <x:c r="L1612" s="1"/>
      <x:c r="M1612" s="1"/>
      <x:c r="N1612" s="1"/>
    </x:row>
    <x:row r="1613" ht="22" customHeight="1">
      <x:c r="A1613" s="14"/>
      <x:c r="B1613" s="15"/>
      <x:c r="C1613" s="16" t="str">
        <x:f>IF(AND(ISNUMBER(B1613),ISNUMBER(B1612),B1613&gt;0,B1612&gt;0),LN(B1613/B1612),"")</x:f>
      </x:c>
      <x:c r="D1613" s="16" t="str">
        <x:f>IF(ISNUMBER(C1613),ABS(C1613),"")</x:f>
      </x:c>
      <x:c r="E1613" s="16" t="str">
        <x:f>IF(ISNUMBER(C1613),C1613^2,"")</x:f>
      </x:c>
      <x:c r="F1613" s="16" t="str">
        <x:f>IF(AND(ISNUMBER(C1613),ISNUMBER($J$6),$J$6&gt;0),(C1613-$J$5)/$J$6,"")</x:f>
      </x:c>
      <x:c r="G1613" s="1" t="str">
        <x:f>IF(ISNUMBER(F1613),IF(ABS(F1613)&gt;3,1,0),"")</x:f>
      </x:c>
      <x:c r="H1613" s="1" t="str">
        <x:f>IF(ISNUMBER(F1613),F1613^4,"")</x:f>
      </x:c>
      <x:c r="I1613" s="1"/>
      <x:c r="J1613" s="1"/>
      <x:c r="K1613" s="1"/>
      <x:c r="L1613" s="1"/>
      <x:c r="M1613" s="1"/>
      <x:c r="N1613" s="1"/>
    </x:row>
    <x:row r="1614" ht="22" customHeight="1">
      <x:c r="A1614" s="14"/>
      <x:c r="B1614" s="15"/>
      <x:c r="C1614" s="16" t="str">
        <x:f>IF(AND(ISNUMBER(B1614),ISNUMBER(B1613),B1614&gt;0,B1613&gt;0),LN(B1614/B1613),"")</x:f>
      </x:c>
      <x:c r="D1614" s="16" t="str">
        <x:f>IF(ISNUMBER(C1614),ABS(C1614),"")</x:f>
      </x:c>
      <x:c r="E1614" s="16" t="str">
        <x:f>IF(ISNUMBER(C1614),C1614^2,"")</x:f>
      </x:c>
      <x:c r="F1614" s="16" t="str">
        <x:f>IF(AND(ISNUMBER(C1614),ISNUMBER($J$6),$J$6&gt;0),(C1614-$J$5)/$J$6,"")</x:f>
      </x:c>
      <x:c r="G1614" s="1" t="str">
        <x:f>IF(ISNUMBER(F1614),IF(ABS(F1614)&gt;3,1,0),"")</x:f>
      </x:c>
      <x:c r="H1614" s="1" t="str">
        <x:f>IF(ISNUMBER(F1614),F1614^4,"")</x:f>
      </x:c>
      <x:c r="I1614" s="1"/>
      <x:c r="J1614" s="1"/>
      <x:c r="K1614" s="1"/>
      <x:c r="L1614" s="1"/>
      <x:c r="M1614" s="1"/>
      <x:c r="N1614" s="1"/>
    </x:row>
    <x:row r="1615" ht="22" customHeight="1">
      <x:c r="A1615" s="14"/>
      <x:c r="B1615" s="15"/>
      <x:c r="C1615" s="16" t="str">
        <x:f>IF(AND(ISNUMBER(B1615),ISNUMBER(B1614),B1615&gt;0,B1614&gt;0),LN(B1615/B1614),"")</x:f>
      </x:c>
      <x:c r="D1615" s="16" t="str">
        <x:f>IF(ISNUMBER(C1615),ABS(C1615),"")</x:f>
      </x:c>
      <x:c r="E1615" s="16" t="str">
        <x:f>IF(ISNUMBER(C1615),C1615^2,"")</x:f>
      </x:c>
      <x:c r="F1615" s="16" t="str">
        <x:f>IF(AND(ISNUMBER(C1615),ISNUMBER($J$6),$J$6&gt;0),(C1615-$J$5)/$J$6,"")</x:f>
      </x:c>
      <x:c r="G1615" s="1" t="str">
        <x:f>IF(ISNUMBER(F1615),IF(ABS(F1615)&gt;3,1,0),"")</x:f>
      </x:c>
      <x:c r="H1615" s="1" t="str">
        <x:f>IF(ISNUMBER(F1615),F1615^4,"")</x:f>
      </x:c>
      <x:c r="I1615" s="1"/>
      <x:c r="J1615" s="1"/>
      <x:c r="K1615" s="1"/>
      <x:c r="L1615" s="1"/>
      <x:c r="M1615" s="1"/>
      <x:c r="N1615" s="1"/>
    </x:row>
    <x:row r="1616" ht="22" customHeight="1">
      <x:c r="A1616" s="14"/>
      <x:c r="B1616" s="15"/>
      <x:c r="C1616" s="16" t="str">
        <x:f>IF(AND(ISNUMBER(B1616),ISNUMBER(B1615),B1616&gt;0,B1615&gt;0),LN(B1616/B1615),"")</x:f>
      </x:c>
      <x:c r="D1616" s="16" t="str">
        <x:f>IF(ISNUMBER(C1616),ABS(C1616),"")</x:f>
      </x:c>
      <x:c r="E1616" s="16" t="str">
        <x:f>IF(ISNUMBER(C1616),C1616^2,"")</x:f>
      </x:c>
      <x:c r="F1616" s="16" t="str">
        <x:f>IF(AND(ISNUMBER(C1616),ISNUMBER($J$6),$J$6&gt;0),(C1616-$J$5)/$J$6,"")</x:f>
      </x:c>
      <x:c r="G1616" s="1" t="str">
        <x:f>IF(ISNUMBER(F1616),IF(ABS(F1616)&gt;3,1,0),"")</x:f>
      </x:c>
      <x:c r="H1616" s="1" t="str">
        <x:f>IF(ISNUMBER(F1616),F1616^4,"")</x:f>
      </x:c>
      <x:c r="I1616" s="1"/>
      <x:c r="J1616" s="1"/>
      <x:c r="K1616" s="1"/>
      <x:c r="L1616" s="1"/>
      <x:c r="M1616" s="1"/>
      <x:c r="N1616" s="1"/>
    </x:row>
    <x:row r="1617" ht="22" customHeight="1">
      <x:c r="A1617" s="14"/>
      <x:c r="B1617" s="15"/>
      <x:c r="C1617" s="16" t="str">
        <x:f>IF(AND(ISNUMBER(B1617),ISNUMBER(B1616),B1617&gt;0,B1616&gt;0),LN(B1617/B1616),"")</x:f>
      </x:c>
      <x:c r="D1617" s="16" t="str">
        <x:f>IF(ISNUMBER(C1617),ABS(C1617),"")</x:f>
      </x:c>
      <x:c r="E1617" s="16" t="str">
        <x:f>IF(ISNUMBER(C1617),C1617^2,"")</x:f>
      </x:c>
      <x:c r="F1617" s="16" t="str">
        <x:f>IF(AND(ISNUMBER(C1617),ISNUMBER($J$6),$J$6&gt;0),(C1617-$J$5)/$J$6,"")</x:f>
      </x:c>
      <x:c r="G1617" s="1" t="str">
        <x:f>IF(ISNUMBER(F1617),IF(ABS(F1617)&gt;3,1,0),"")</x:f>
      </x:c>
      <x:c r="H1617" s="1" t="str">
        <x:f>IF(ISNUMBER(F1617),F1617^4,"")</x:f>
      </x:c>
      <x:c r="I1617" s="1"/>
      <x:c r="J1617" s="1"/>
      <x:c r="K1617" s="1"/>
      <x:c r="L1617" s="1"/>
      <x:c r="M1617" s="1"/>
      <x:c r="N1617" s="1"/>
    </x:row>
    <x:row r="1618" ht="22" customHeight="1">
      <x:c r="A1618" s="14"/>
      <x:c r="B1618" s="15"/>
      <x:c r="C1618" s="16" t="str">
        <x:f>IF(AND(ISNUMBER(B1618),ISNUMBER(B1617),B1618&gt;0,B1617&gt;0),LN(B1618/B1617),"")</x:f>
      </x:c>
      <x:c r="D1618" s="16" t="str">
        <x:f>IF(ISNUMBER(C1618),ABS(C1618),"")</x:f>
      </x:c>
      <x:c r="E1618" s="16" t="str">
        <x:f>IF(ISNUMBER(C1618),C1618^2,"")</x:f>
      </x:c>
      <x:c r="F1618" s="16" t="str">
        <x:f>IF(AND(ISNUMBER(C1618),ISNUMBER($J$6),$J$6&gt;0),(C1618-$J$5)/$J$6,"")</x:f>
      </x:c>
      <x:c r="G1618" s="1" t="str">
        <x:f>IF(ISNUMBER(F1618),IF(ABS(F1618)&gt;3,1,0),"")</x:f>
      </x:c>
      <x:c r="H1618" s="1" t="str">
        <x:f>IF(ISNUMBER(F1618),F1618^4,"")</x:f>
      </x:c>
      <x:c r="I1618" s="1"/>
      <x:c r="J1618" s="1"/>
      <x:c r="K1618" s="1"/>
      <x:c r="L1618" s="1"/>
      <x:c r="M1618" s="1"/>
      <x:c r="N1618" s="1"/>
    </x:row>
    <x:row r="1619" ht="22" customHeight="1">
      <x:c r="A1619" s="14"/>
      <x:c r="B1619" s="15"/>
      <x:c r="C1619" s="16" t="str">
        <x:f>IF(AND(ISNUMBER(B1619),ISNUMBER(B1618),B1619&gt;0,B1618&gt;0),LN(B1619/B1618),"")</x:f>
      </x:c>
      <x:c r="D1619" s="16" t="str">
        <x:f>IF(ISNUMBER(C1619),ABS(C1619),"")</x:f>
      </x:c>
      <x:c r="E1619" s="16" t="str">
        <x:f>IF(ISNUMBER(C1619),C1619^2,"")</x:f>
      </x:c>
      <x:c r="F1619" s="16" t="str">
        <x:f>IF(AND(ISNUMBER(C1619),ISNUMBER($J$6),$J$6&gt;0),(C1619-$J$5)/$J$6,"")</x:f>
      </x:c>
      <x:c r="G1619" s="1" t="str">
        <x:f>IF(ISNUMBER(F1619),IF(ABS(F1619)&gt;3,1,0),"")</x:f>
      </x:c>
      <x:c r="H1619" s="1" t="str">
        <x:f>IF(ISNUMBER(F1619),F1619^4,"")</x:f>
      </x:c>
      <x:c r="I1619" s="1"/>
      <x:c r="J1619" s="1"/>
      <x:c r="K1619" s="1"/>
      <x:c r="L1619" s="1"/>
      <x:c r="M1619" s="1"/>
      <x:c r="N1619" s="1"/>
    </x:row>
    <x:row r="1620" ht="22" customHeight="1">
      <x:c r="A1620" s="14"/>
      <x:c r="B1620" s="15"/>
      <x:c r="C1620" s="16" t="str">
        <x:f>IF(AND(ISNUMBER(B1620),ISNUMBER(B1619),B1620&gt;0,B1619&gt;0),LN(B1620/B1619),"")</x:f>
      </x:c>
      <x:c r="D1620" s="16" t="str">
        <x:f>IF(ISNUMBER(C1620),ABS(C1620),"")</x:f>
      </x:c>
      <x:c r="E1620" s="16" t="str">
        <x:f>IF(ISNUMBER(C1620),C1620^2,"")</x:f>
      </x:c>
      <x:c r="F1620" s="16" t="str">
        <x:f>IF(AND(ISNUMBER(C1620),ISNUMBER($J$6),$J$6&gt;0),(C1620-$J$5)/$J$6,"")</x:f>
      </x:c>
      <x:c r="G1620" s="1" t="str">
        <x:f>IF(ISNUMBER(F1620),IF(ABS(F1620)&gt;3,1,0),"")</x:f>
      </x:c>
      <x:c r="H1620" s="1" t="str">
        <x:f>IF(ISNUMBER(F1620),F1620^4,"")</x:f>
      </x:c>
      <x:c r="I1620" s="1"/>
      <x:c r="J1620" s="1"/>
      <x:c r="K1620" s="1"/>
      <x:c r="L1620" s="1"/>
      <x:c r="M1620" s="1"/>
      <x:c r="N1620" s="1"/>
    </x:row>
    <x:row r="1621" ht="22" customHeight="1">
      <x:c r="A1621" s="14"/>
      <x:c r="B1621" s="15"/>
      <x:c r="C1621" s="16" t="str">
        <x:f>IF(AND(ISNUMBER(B1621),ISNUMBER(B1620),B1621&gt;0,B1620&gt;0),LN(B1621/B1620),"")</x:f>
      </x:c>
      <x:c r="D1621" s="16" t="str">
        <x:f>IF(ISNUMBER(C1621),ABS(C1621),"")</x:f>
      </x:c>
      <x:c r="E1621" s="16" t="str">
        <x:f>IF(ISNUMBER(C1621),C1621^2,"")</x:f>
      </x:c>
      <x:c r="F1621" s="16" t="str">
        <x:f>IF(AND(ISNUMBER(C1621),ISNUMBER($J$6),$J$6&gt;0),(C1621-$J$5)/$J$6,"")</x:f>
      </x:c>
      <x:c r="G1621" s="1" t="str">
        <x:f>IF(ISNUMBER(F1621),IF(ABS(F1621)&gt;3,1,0),"")</x:f>
      </x:c>
      <x:c r="H1621" s="1" t="str">
        <x:f>IF(ISNUMBER(F1621),F1621^4,"")</x:f>
      </x:c>
      <x:c r="I1621" s="1"/>
      <x:c r="J1621" s="1"/>
      <x:c r="K1621" s="1"/>
      <x:c r="L1621" s="1"/>
      <x:c r="M1621" s="1"/>
      <x:c r="N1621" s="1"/>
    </x:row>
    <x:row r="1622" ht="22" customHeight="1">
      <x:c r="A1622" s="14"/>
      <x:c r="B1622" s="15"/>
      <x:c r="C1622" s="16" t="str">
        <x:f>IF(AND(ISNUMBER(B1622),ISNUMBER(B1621),B1622&gt;0,B1621&gt;0),LN(B1622/B1621),"")</x:f>
      </x:c>
      <x:c r="D1622" s="16" t="str">
        <x:f>IF(ISNUMBER(C1622),ABS(C1622),"")</x:f>
      </x:c>
      <x:c r="E1622" s="16" t="str">
        <x:f>IF(ISNUMBER(C1622),C1622^2,"")</x:f>
      </x:c>
      <x:c r="F1622" s="16" t="str">
        <x:f>IF(AND(ISNUMBER(C1622),ISNUMBER($J$6),$J$6&gt;0),(C1622-$J$5)/$J$6,"")</x:f>
      </x:c>
      <x:c r="G1622" s="1" t="str">
        <x:f>IF(ISNUMBER(F1622),IF(ABS(F1622)&gt;3,1,0),"")</x:f>
      </x:c>
      <x:c r="H1622" s="1" t="str">
        <x:f>IF(ISNUMBER(F1622),F1622^4,"")</x:f>
      </x:c>
      <x:c r="I1622" s="1"/>
      <x:c r="J1622" s="1"/>
      <x:c r="K1622" s="1"/>
      <x:c r="L1622" s="1"/>
      <x:c r="M1622" s="1"/>
      <x:c r="N1622" s="1"/>
    </x:row>
    <x:row r="1623" ht="22" customHeight="1">
      <x:c r="A1623" s="14"/>
      <x:c r="B1623" s="15"/>
      <x:c r="C1623" s="16" t="str">
        <x:f>IF(AND(ISNUMBER(B1623),ISNUMBER(B1622),B1623&gt;0,B1622&gt;0),LN(B1623/B1622),"")</x:f>
      </x:c>
      <x:c r="D1623" s="16" t="str">
        <x:f>IF(ISNUMBER(C1623),ABS(C1623),"")</x:f>
      </x:c>
      <x:c r="E1623" s="16" t="str">
        <x:f>IF(ISNUMBER(C1623),C1623^2,"")</x:f>
      </x:c>
      <x:c r="F1623" s="16" t="str">
        <x:f>IF(AND(ISNUMBER(C1623),ISNUMBER($J$6),$J$6&gt;0),(C1623-$J$5)/$J$6,"")</x:f>
      </x:c>
      <x:c r="G1623" s="1" t="str">
        <x:f>IF(ISNUMBER(F1623),IF(ABS(F1623)&gt;3,1,0),"")</x:f>
      </x:c>
      <x:c r="H1623" s="1" t="str">
        <x:f>IF(ISNUMBER(F1623),F1623^4,"")</x:f>
      </x:c>
      <x:c r="I1623" s="1"/>
      <x:c r="J1623" s="1"/>
      <x:c r="K1623" s="1"/>
      <x:c r="L1623" s="1"/>
      <x:c r="M1623" s="1"/>
      <x:c r="N1623" s="1"/>
    </x:row>
    <x:row r="1624" ht="22" customHeight="1">
      <x:c r="A1624" s="14"/>
      <x:c r="B1624" s="15"/>
      <x:c r="C1624" s="16" t="str">
        <x:f>IF(AND(ISNUMBER(B1624),ISNUMBER(B1623),B1624&gt;0,B1623&gt;0),LN(B1624/B1623),"")</x:f>
      </x:c>
      <x:c r="D1624" s="16" t="str">
        <x:f>IF(ISNUMBER(C1624),ABS(C1624),"")</x:f>
      </x:c>
      <x:c r="E1624" s="16" t="str">
        <x:f>IF(ISNUMBER(C1624),C1624^2,"")</x:f>
      </x:c>
      <x:c r="F1624" s="16" t="str">
        <x:f>IF(AND(ISNUMBER(C1624),ISNUMBER($J$6),$J$6&gt;0),(C1624-$J$5)/$J$6,"")</x:f>
      </x:c>
      <x:c r="G1624" s="1" t="str">
        <x:f>IF(ISNUMBER(F1624),IF(ABS(F1624)&gt;3,1,0),"")</x:f>
      </x:c>
      <x:c r="H1624" s="1" t="str">
        <x:f>IF(ISNUMBER(F1624),F1624^4,"")</x:f>
      </x:c>
      <x:c r="I1624" s="1"/>
      <x:c r="J1624" s="1"/>
      <x:c r="K1624" s="1"/>
      <x:c r="L1624" s="1"/>
      <x:c r="M1624" s="1"/>
      <x:c r="N1624" s="1"/>
    </x:row>
    <x:row r="1625" ht="22" customHeight="1">
      <x:c r="A1625" s="14"/>
      <x:c r="B1625" s="15"/>
      <x:c r="C1625" s="16" t="str">
        <x:f>IF(AND(ISNUMBER(B1625),ISNUMBER(B1624),B1625&gt;0,B1624&gt;0),LN(B1625/B1624),"")</x:f>
      </x:c>
      <x:c r="D1625" s="16" t="str">
        <x:f>IF(ISNUMBER(C1625),ABS(C1625),"")</x:f>
      </x:c>
      <x:c r="E1625" s="16" t="str">
        <x:f>IF(ISNUMBER(C1625),C1625^2,"")</x:f>
      </x:c>
      <x:c r="F1625" s="16" t="str">
        <x:f>IF(AND(ISNUMBER(C1625),ISNUMBER($J$6),$J$6&gt;0),(C1625-$J$5)/$J$6,"")</x:f>
      </x:c>
      <x:c r="G1625" s="1" t="str">
        <x:f>IF(ISNUMBER(F1625),IF(ABS(F1625)&gt;3,1,0),"")</x:f>
      </x:c>
      <x:c r="H1625" s="1" t="str">
        <x:f>IF(ISNUMBER(F1625),F1625^4,"")</x:f>
      </x:c>
      <x:c r="I1625" s="1"/>
      <x:c r="J1625" s="1"/>
      <x:c r="K1625" s="1"/>
      <x:c r="L1625" s="1"/>
      <x:c r="M1625" s="1"/>
      <x:c r="N1625" s="1"/>
    </x:row>
    <x:row r="1626" ht="22" customHeight="1">
      <x:c r="A1626" s="14"/>
      <x:c r="B1626" s="15"/>
      <x:c r="C1626" s="16" t="str">
        <x:f>IF(AND(ISNUMBER(B1626),ISNUMBER(B1625),B1626&gt;0,B1625&gt;0),LN(B1626/B1625),"")</x:f>
      </x:c>
      <x:c r="D1626" s="16" t="str">
        <x:f>IF(ISNUMBER(C1626),ABS(C1626),"")</x:f>
      </x:c>
      <x:c r="E1626" s="16" t="str">
        <x:f>IF(ISNUMBER(C1626),C1626^2,"")</x:f>
      </x:c>
      <x:c r="F1626" s="16" t="str">
        <x:f>IF(AND(ISNUMBER(C1626),ISNUMBER($J$6),$J$6&gt;0),(C1626-$J$5)/$J$6,"")</x:f>
      </x:c>
      <x:c r="G1626" s="1" t="str">
        <x:f>IF(ISNUMBER(F1626),IF(ABS(F1626)&gt;3,1,0),"")</x:f>
      </x:c>
      <x:c r="H1626" s="1" t="str">
        <x:f>IF(ISNUMBER(F1626),F1626^4,"")</x:f>
      </x:c>
      <x:c r="I1626" s="1"/>
      <x:c r="J1626" s="1"/>
      <x:c r="K1626" s="1"/>
      <x:c r="L1626" s="1"/>
      <x:c r="M1626" s="1"/>
      <x:c r="N1626" s="1"/>
    </x:row>
    <x:row r="1627" ht="22" customHeight="1">
      <x:c r="A1627" s="14"/>
      <x:c r="B1627" s="15"/>
      <x:c r="C1627" s="16" t="str">
        <x:f>IF(AND(ISNUMBER(B1627),ISNUMBER(B1626),B1627&gt;0,B1626&gt;0),LN(B1627/B1626),"")</x:f>
      </x:c>
      <x:c r="D1627" s="16" t="str">
        <x:f>IF(ISNUMBER(C1627),ABS(C1627),"")</x:f>
      </x:c>
      <x:c r="E1627" s="16" t="str">
        <x:f>IF(ISNUMBER(C1627),C1627^2,"")</x:f>
      </x:c>
      <x:c r="F1627" s="16" t="str">
        <x:f>IF(AND(ISNUMBER(C1627),ISNUMBER($J$6),$J$6&gt;0),(C1627-$J$5)/$J$6,"")</x:f>
      </x:c>
      <x:c r="G1627" s="1" t="str">
        <x:f>IF(ISNUMBER(F1627),IF(ABS(F1627)&gt;3,1,0),"")</x:f>
      </x:c>
      <x:c r="H1627" s="1" t="str">
        <x:f>IF(ISNUMBER(F1627),F1627^4,"")</x:f>
      </x:c>
      <x:c r="I1627" s="1"/>
      <x:c r="J1627" s="1"/>
      <x:c r="K1627" s="1"/>
      <x:c r="L1627" s="1"/>
      <x:c r="M1627" s="1"/>
      <x:c r="N1627" s="1"/>
    </x:row>
    <x:row r="1628" ht="22" customHeight="1">
      <x:c r="A1628" s="14"/>
      <x:c r="B1628" s="15"/>
      <x:c r="C1628" s="16" t="str">
        <x:f>IF(AND(ISNUMBER(B1628),ISNUMBER(B1627),B1628&gt;0,B1627&gt;0),LN(B1628/B1627),"")</x:f>
      </x:c>
      <x:c r="D1628" s="16" t="str">
        <x:f>IF(ISNUMBER(C1628),ABS(C1628),"")</x:f>
      </x:c>
      <x:c r="E1628" s="16" t="str">
        <x:f>IF(ISNUMBER(C1628),C1628^2,"")</x:f>
      </x:c>
      <x:c r="F1628" s="16" t="str">
        <x:f>IF(AND(ISNUMBER(C1628),ISNUMBER($J$6),$J$6&gt;0),(C1628-$J$5)/$J$6,"")</x:f>
      </x:c>
      <x:c r="G1628" s="1" t="str">
        <x:f>IF(ISNUMBER(F1628),IF(ABS(F1628)&gt;3,1,0),"")</x:f>
      </x:c>
      <x:c r="H1628" s="1" t="str">
        <x:f>IF(ISNUMBER(F1628),F1628^4,"")</x:f>
      </x:c>
      <x:c r="I1628" s="1"/>
      <x:c r="J1628" s="1"/>
      <x:c r="K1628" s="1"/>
      <x:c r="L1628" s="1"/>
      <x:c r="M1628" s="1"/>
      <x:c r="N1628" s="1"/>
    </x:row>
    <x:row r="1629" ht="22" customHeight="1">
      <x:c r="A1629" s="14"/>
      <x:c r="B1629" s="15"/>
      <x:c r="C1629" s="16" t="str">
        <x:f>IF(AND(ISNUMBER(B1629),ISNUMBER(B1628),B1629&gt;0,B1628&gt;0),LN(B1629/B1628),"")</x:f>
      </x:c>
      <x:c r="D1629" s="16" t="str">
        <x:f>IF(ISNUMBER(C1629),ABS(C1629),"")</x:f>
      </x:c>
      <x:c r="E1629" s="16" t="str">
        <x:f>IF(ISNUMBER(C1629),C1629^2,"")</x:f>
      </x:c>
      <x:c r="F1629" s="16" t="str">
        <x:f>IF(AND(ISNUMBER(C1629),ISNUMBER($J$6),$J$6&gt;0),(C1629-$J$5)/$J$6,"")</x:f>
      </x:c>
      <x:c r="G1629" s="1" t="str">
        <x:f>IF(ISNUMBER(F1629),IF(ABS(F1629)&gt;3,1,0),"")</x:f>
      </x:c>
      <x:c r="H1629" s="1" t="str">
        <x:f>IF(ISNUMBER(F1629),F1629^4,"")</x:f>
      </x:c>
      <x:c r="I1629" s="1"/>
      <x:c r="J1629" s="1"/>
      <x:c r="K1629" s="1"/>
      <x:c r="L1629" s="1"/>
      <x:c r="M1629" s="1"/>
      <x:c r="N1629" s="1"/>
    </x:row>
    <x:row r="1630" ht="22" customHeight="1">
      <x:c r="A1630" s="14"/>
      <x:c r="B1630" s="15"/>
      <x:c r="C1630" s="16" t="str">
        <x:f>IF(AND(ISNUMBER(B1630),ISNUMBER(B1629),B1630&gt;0,B1629&gt;0),LN(B1630/B1629),"")</x:f>
      </x:c>
      <x:c r="D1630" s="16" t="str">
        <x:f>IF(ISNUMBER(C1630),ABS(C1630),"")</x:f>
      </x:c>
      <x:c r="E1630" s="16" t="str">
        <x:f>IF(ISNUMBER(C1630),C1630^2,"")</x:f>
      </x:c>
      <x:c r="F1630" s="16" t="str">
        <x:f>IF(AND(ISNUMBER(C1630),ISNUMBER($J$6),$J$6&gt;0),(C1630-$J$5)/$J$6,"")</x:f>
      </x:c>
      <x:c r="G1630" s="1" t="str">
        <x:f>IF(ISNUMBER(F1630),IF(ABS(F1630)&gt;3,1,0),"")</x:f>
      </x:c>
      <x:c r="H1630" s="1" t="str">
        <x:f>IF(ISNUMBER(F1630),F1630^4,"")</x:f>
      </x:c>
      <x:c r="I1630" s="1"/>
      <x:c r="J1630" s="1"/>
      <x:c r="K1630" s="1"/>
      <x:c r="L1630" s="1"/>
      <x:c r="M1630" s="1"/>
      <x:c r="N1630" s="1"/>
    </x:row>
    <x:row r="1631" ht="22" customHeight="1">
      <x:c r="A1631" s="14"/>
      <x:c r="B1631" s="15"/>
      <x:c r="C1631" s="16" t="str">
        <x:f>IF(AND(ISNUMBER(B1631),ISNUMBER(B1630),B1631&gt;0,B1630&gt;0),LN(B1631/B1630),"")</x:f>
      </x:c>
      <x:c r="D1631" s="16" t="str">
        <x:f>IF(ISNUMBER(C1631),ABS(C1631),"")</x:f>
      </x:c>
      <x:c r="E1631" s="16" t="str">
        <x:f>IF(ISNUMBER(C1631),C1631^2,"")</x:f>
      </x:c>
      <x:c r="F1631" s="16" t="str">
        <x:f>IF(AND(ISNUMBER(C1631),ISNUMBER($J$6),$J$6&gt;0),(C1631-$J$5)/$J$6,"")</x:f>
      </x:c>
      <x:c r="G1631" s="1" t="str">
        <x:f>IF(ISNUMBER(F1631),IF(ABS(F1631)&gt;3,1,0),"")</x:f>
      </x:c>
      <x:c r="H1631" s="1" t="str">
        <x:f>IF(ISNUMBER(F1631),F1631^4,"")</x:f>
      </x:c>
      <x:c r="I1631" s="1"/>
      <x:c r="J1631" s="1"/>
      <x:c r="K1631" s="1"/>
      <x:c r="L1631" s="1"/>
      <x:c r="M1631" s="1"/>
      <x:c r="N1631" s="1"/>
    </x:row>
    <x:row r="1632" ht="22" customHeight="1">
      <x:c r="A1632" s="14"/>
      <x:c r="B1632" s="15"/>
      <x:c r="C1632" s="16" t="str">
        <x:f>IF(AND(ISNUMBER(B1632),ISNUMBER(B1631),B1632&gt;0,B1631&gt;0),LN(B1632/B1631),"")</x:f>
      </x:c>
      <x:c r="D1632" s="16" t="str">
        <x:f>IF(ISNUMBER(C1632),ABS(C1632),"")</x:f>
      </x:c>
      <x:c r="E1632" s="16" t="str">
        <x:f>IF(ISNUMBER(C1632),C1632^2,"")</x:f>
      </x:c>
      <x:c r="F1632" s="16" t="str">
        <x:f>IF(AND(ISNUMBER(C1632),ISNUMBER($J$6),$J$6&gt;0),(C1632-$J$5)/$J$6,"")</x:f>
      </x:c>
      <x:c r="G1632" s="1" t="str">
        <x:f>IF(ISNUMBER(F1632),IF(ABS(F1632)&gt;3,1,0),"")</x:f>
      </x:c>
      <x:c r="H1632" s="1" t="str">
        <x:f>IF(ISNUMBER(F1632),F1632^4,"")</x:f>
      </x:c>
      <x:c r="I1632" s="1"/>
      <x:c r="J1632" s="1"/>
      <x:c r="K1632" s="1"/>
      <x:c r="L1632" s="1"/>
      <x:c r="M1632" s="1"/>
      <x:c r="N1632" s="1"/>
    </x:row>
    <x:row r="1633" ht="22" customHeight="1">
      <x:c r="A1633" s="14"/>
      <x:c r="B1633" s="15"/>
      <x:c r="C1633" s="16" t="str">
        <x:f>IF(AND(ISNUMBER(B1633),ISNUMBER(B1632),B1633&gt;0,B1632&gt;0),LN(B1633/B1632),"")</x:f>
      </x:c>
      <x:c r="D1633" s="16" t="str">
        <x:f>IF(ISNUMBER(C1633),ABS(C1633),"")</x:f>
      </x:c>
      <x:c r="E1633" s="16" t="str">
        <x:f>IF(ISNUMBER(C1633),C1633^2,"")</x:f>
      </x:c>
      <x:c r="F1633" s="16" t="str">
        <x:f>IF(AND(ISNUMBER(C1633),ISNUMBER($J$6),$J$6&gt;0),(C1633-$J$5)/$J$6,"")</x:f>
      </x:c>
      <x:c r="G1633" s="1" t="str">
        <x:f>IF(ISNUMBER(F1633),IF(ABS(F1633)&gt;3,1,0),"")</x:f>
      </x:c>
      <x:c r="H1633" s="1" t="str">
        <x:f>IF(ISNUMBER(F1633),F1633^4,"")</x:f>
      </x:c>
      <x:c r="I1633" s="1"/>
      <x:c r="J1633" s="1"/>
      <x:c r="K1633" s="1"/>
      <x:c r="L1633" s="1"/>
      <x:c r="M1633" s="1"/>
      <x:c r="N1633" s="1"/>
    </x:row>
    <x:row r="1634" ht="22" customHeight="1">
      <x:c r="A1634" s="14"/>
      <x:c r="B1634" s="15"/>
      <x:c r="C1634" s="16" t="str">
        <x:f>IF(AND(ISNUMBER(B1634),ISNUMBER(B1633),B1634&gt;0,B1633&gt;0),LN(B1634/B1633),"")</x:f>
      </x:c>
      <x:c r="D1634" s="16" t="str">
        <x:f>IF(ISNUMBER(C1634),ABS(C1634),"")</x:f>
      </x:c>
      <x:c r="E1634" s="16" t="str">
        <x:f>IF(ISNUMBER(C1634),C1634^2,"")</x:f>
      </x:c>
      <x:c r="F1634" s="16" t="str">
        <x:f>IF(AND(ISNUMBER(C1634),ISNUMBER($J$6),$J$6&gt;0),(C1634-$J$5)/$J$6,"")</x:f>
      </x:c>
      <x:c r="G1634" s="1" t="str">
        <x:f>IF(ISNUMBER(F1634),IF(ABS(F1634)&gt;3,1,0),"")</x:f>
      </x:c>
      <x:c r="H1634" s="1" t="str">
        <x:f>IF(ISNUMBER(F1634),F1634^4,"")</x:f>
      </x:c>
      <x:c r="I1634" s="1"/>
      <x:c r="J1634" s="1"/>
      <x:c r="K1634" s="1"/>
      <x:c r="L1634" s="1"/>
      <x:c r="M1634" s="1"/>
      <x:c r="N1634" s="1"/>
    </x:row>
    <x:row r="1635" ht="22" customHeight="1">
      <x:c r="A1635" s="14"/>
      <x:c r="B1635" s="15"/>
      <x:c r="C1635" s="16" t="str">
        <x:f>IF(AND(ISNUMBER(B1635),ISNUMBER(B1634),B1635&gt;0,B1634&gt;0),LN(B1635/B1634),"")</x:f>
      </x:c>
      <x:c r="D1635" s="16" t="str">
        <x:f>IF(ISNUMBER(C1635),ABS(C1635),"")</x:f>
      </x:c>
      <x:c r="E1635" s="16" t="str">
        <x:f>IF(ISNUMBER(C1635),C1635^2,"")</x:f>
      </x:c>
      <x:c r="F1635" s="16" t="str">
        <x:f>IF(AND(ISNUMBER(C1635),ISNUMBER($J$6),$J$6&gt;0),(C1635-$J$5)/$J$6,"")</x:f>
      </x:c>
      <x:c r="G1635" s="1" t="str">
        <x:f>IF(ISNUMBER(F1635),IF(ABS(F1635)&gt;3,1,0),"")</x:f>
      </x:c>
      <x:c r="H1635" s="1" t="str">
        <x:f>IF(ISNUMBER(F1635),F1635^4,"")</x:f>
      </x:c>
      <x:c r="I1635" s="1"/>
      <x:c r="J1635" s="1"/>
      <x:c r="K1635" s="1"/>
      <x:c r="L1635" s="1"/>
      <x:c r="M1635" s="1"/>
      <x:c r="N1635" s="1"/>
    </x:row>
    <x:row r="1636" ht="22" customHeight="1">
      <x:c r="A1636" s="14"/>
      <x:c r="B1636" s="15"/>
      <x:c r="C1636" s="16" t="str">
        <x:f>IF(AND(ISNUMBER(B1636),ISNUMBER(B1635),B1636&gt;0,B1635&gt;0),LN(B1636/B1635),"")</x:f>
      </x:c>
      <x:c r="D1636" s="16" t="str">
        <x:f>IF(ISNUMBER(C1636),ABS(C1636),"")</x:f>
      </x:c>
      <x:c r="E1636" s="16" t="str">
        <x:f>IF(ISNUMBER(C1636),C1636^2,"")</x:f>
      </x:c>
      <x:c r="F1636" s="16" t="str">
        <x:f>IF(AND(ISNUMBER(C1636),ISNUMBER($J$6),$J$6&gt;0),(C1636-$J$5)/$J$6,"")</x:f>
      </x:c>
      <x:c r="G1636" s="1" t="str">
        <x:f>IF(ISNUMBER(F1636),IF(ABS(F1636)&gt;3,1,0),"")</x:f>
      </x:c>
      <x:c r="H1636" s="1" t="str">
        <x:f>IF(ISNUMBER(F1636),F1636^4,"")</x:f>
      </x:c>
      <x:c r="I1636" s="1"/>
      <x:c r="J1636" s="1"/>
      <x:c r="K1636" s="1"/>
      <x:c r="L1636" s="1"/>
      <x:c r="M1636" s="1"/>
      <x:c r="N1636" s="1"/>
    </x:row>
    <x:row r="1637" ht="22" customHeight="1">
      <x:c r="A1637" s="14"/>
      <x:c r="B1637" s="15"/>
      <x:c r="C1637" s="16" t="str">
        <x:f>IF(AND(ISNUMBER(B1637),ISNUMBER(B1636),B1637&gt;0,B1636&gt;0),LN(B1637/B1636),"")</x:f>
      </x:c>
      <x:c r="D1637" s="16" t="str">
        <x:f>IF(ISNUMBER(C1637),ABS(C1637),"")</x:f>
      </x:c>
      <x:c r="E1637" s="16" t="str">
        <x:f>IF(ISNUMBER(C1637),C1637^2,"")</x:f>
      </x:c>
      <x:c r="F1637" s="16" t="str">
        <x:f>IF(AND(ISNUMBER(C1637),ISNUMBER($J$6),$J$6&gt;0),(C1637-$J$5)/$J$6,"")</x:f>
      </x:c>
      <x:c r="G1637" s="1" t="str">
        <x:f>IF(ISNUMBER(F1637),IF(ABS(F1637)&gt;3,1,0),"")</x:f>
      </x:c>
      <x:c r="H1637" s="1" t="str">
        <x:f>IF(ISNUMBER(F1637),F1637^4,"")</x:f>
      </x:c>
      <x:c r="I1637" s="1"/>
      <x:c r="J1637" s="1"/>
      <x:c r="K1637" s="1"/>
      <x:c r="L1637" s="1"/>
      <x:c r="M1637" s="1"/>
      <x:c r="N1637" s="1"/>
    </x:row>
    <x:row r="1638" ht="22" customHeight="1">
      <x:c r="A1638" s="14"/>
      <x:c r="B1638" s="15"/>
      <x:c r="C1638" s="16" t="str">
        <x:f>IF(AND(ISNUMBER(B1638),ISNUMBER(B1637),B1638&gt;0,B1637&gt;0),LN(B1638/B1637),"")</x:f>
      </x:c>
      <x:c r="D1638" s="16" t="str">
        <x:f>IF(ISNUMBER(C1638),ABS(C1638),"")</x:f>
      </x:c>
      <x:c r="E1638" s="16" t="str">
        <x:f>IF(ISNUMBER(C1638),C1638^2,"")</x:f>
      </x:c>
      <x:c r="F1638" s="16" t="str">
        <x:f>IF(AND(ISNUMBER(C1638),ISNUMBER($J$6),$J$6&gt;0),(C1638-$J$5)/$J$6,"")</x:f>
      </x:c>
      <x:c r="G1638" s="1" t="str">
        <x:f>IF(ISNUMBER(F1638),IF(ABS(F1638)&gt;3,1,0),"")</x:f>
      </x:c>
      <x:c r="H1638" s="1" t="str">
        <x:f>IF(ISNUMBER(F1638),F1638^4,"")</x:f>
      </x:c>
      <x:c r="I1638" s="1"/>
      <x:c r="J1638" s="1"/>
      <x:c r="K1638" s="1"/>
      <x:c r="L1638" s="1"/>
      <x:c r="M1638" s="1"/>
      <x:c r="N1638" s="1"/>
    </x:row>
    <x:row r="1639" ht="22" customHeight="1">
      <x:c r="A1639" s="14"/>
      <x:c r="B1639" s="15"/>
      <x:c r="C1639" s="16" t="str">
        <x:f>IF(AND(ISNUMBER(B1639),ISNUMBER(B1638),B1639&gt;0,B1638&gt;0),LN(B1639/B1638),"")</x:f>
      </x:c>
      <x:c r="D1639" s="16" t="str">
        <x:f>IF(ISNUMBER(C1639),ABS(C1639),"")</x:f>
      </x:c>
      <x:c r="E1639" s="16" t="str">
        <x:f>IF(ISNUMBER(C1639),C1639^2,"")</x:f>
      </x:c>
      <x:c r="F1639" s="16" t="str">
        <x:f>IF(AND(ISNUMBER(C1639),ISNUMBER($J$6),$J$6&gt;0),(C1639-$J$5)/$J$6,"")</x:f>
      </x:c>
      <x:c r="G1639" s="1" t="str">
        <x:f>IF(ISNUMBER(F1639),IF(ABS(F1639)&gt;3,1,0),"")</x:f>
      </x:c>
      <x:c r="H1639" s="1" t="str">
        <x:f>IF(ISNUMBER(F1639),F1639^4,"")</x:f>
      </x:c>
      <x:c r="I1639" s="1"/>
      <x:c r="J1639" s="1"/>
      <x:c r="K1639" s="1"/>
      <x:c r="L1639" s="1"/>
      <x:c r="M1639" s="1"/>
      <x:c r="N1639" s="1"/>
    </x:row>
    <x:row r="1640" ht="22" customHeight="1">
      <x:c r="A1640" s="14"/>
      <x:c r="B1640" s="15"/>
      <x:c r="C1640" s="16" t="str">
        <x:f>IF(AND(ISNUMBER(B1640),ISNUMBER(B1639),B1640&gt;0,B1639&gt;0),LN(B1640/B1639),"")</x:f>
      </x:c>
      <x:c r="D1640" s="16" t="str">
        <x:f>IF(ISNUMBER(C1640),ABS(C1640),"")</x:f>
      </x:c>
      <x:c r="E1640" s="16" t="str">
        <x:f>IF(ISNUMBER(C1640),C1640^2,"")</x:f>
      </x:c>
      <x:c r="F1640" s="16" t="str">
        <x:f>IF(AND(ISNUMBER(C1640),ISNUMBER($J$6),$J$6&gt;0),(C1640-$J$5)/$J$6,"")</x:f>
      </x:c>
      <x:c r="G1640" s="1" t="str">
        <x:f>IF(ISNUMBER(F1640),IF(ABS(F1640)&gt;3,1,0),"")</x:f>
      </x:c>
      <x:c r="H1640" s="1" t="str">
        <x:f>IF(ISNUMBER(F1640),F1640^4,"")</x:f>
      </x:c>
      <x:c r="I1640" s="1"/>
      <x:c r="J1640" s="1"/>
      <x:c r="K1640" s="1"/>
      <x:c r="L1640" s="1"/>
      <x:c r="M1640" s="1"/>
      <x:c r="N1640" s="1"/>
    </x:row>
    <x:row r="1641" ht="22" customHeight="1">
      <x:c r="A1641" s="14"/>
      <x:c r="B1641" s="15"/>
      <x:c r="C1641" s="16" t="str">
        <x:f>IF(AND(ISNUMBER(B1641),ISNUMBER(B1640),B1641&gt;0,B1640&gt;0),LN(B1641/B1640),"")</x:f>
      </x:c>
      <x:c r="D1641" s="16" t="str">
        <x:f>IF(ISNUMBER(C1641),ABS(C1641),"")</x:f>
      </x:c>
      <x:c r="E1641" s="16" t="str">
        <x:f>IF(ISNUMBER(C1641),C1641^2,"")</x:f>
      </x:c>
      <x:c r="F1641" s="16" t="str">
        <x:f>IF(AND(ISNUMBER(C1641),ISNUMBER($J$6),$J$6&gt;0),(C1641-$J$5)/$J$6,"")</x:f>
      </x:c>
      <x:c r="G1641" s="1" t="str">
        <x:f>IF(ISNUMBER(F1641),IF(ABS(F1641)&gt;3,1,0),"")</x:f>
      </x:c>
      <x:c r="H1641" s="1" t="str">
        <x:f>IF(ISNUMBER(F1641),F1641^4,"")</x:f>
      </x:c>
      <x:c r="I1641" s="1"/>
      <x:c r="J1641" s="1"/>
      <x:c r="K1641" s="1"/>
      <x:c r="L1641" s="1"/>
      <x:c r="M1641" s="1"/>
      <x:c r="N1641" s="1"/>
    </x:row>
    <x:row r="1642" ht="22" customHeight="1">
      <x:c r="A1642" s="14"/>
      <x:c r="B1642" s="15"/>
      <x:c r="C1642" s="16" t="str">
        <x:f>IF(AND(ISNUMBER(B1642),ISNUMBER(B1641),B1642&gt;0,B1641&gt;0),LN(B1642/B1641),"")</x:f>
      </x:c>
      <x:c r="D1642" s="16" t="str">
        <x:f>IF(ISNUMBER(C1642),ABS(C1642),"")</x:f>
      </x:c>
      <x:c r="E1642" s="16" t="str">
        <x:f>IF(ISNUMBER(C1642),C1642^2,"")</x:f>
      </x:c>
      <x:c r="F1642" s="16" t="str">
        <x:f>IF(AND(ISNUMBER(C1642),ISNUMBER($J$6),$J$6&gt;0),(C1642-$J$5)/$J$6,"")</x:f>
      </x:c>
      <x:c r="G1642" s="1" t="str">
        <x:f>IF(ISNUMBER(F1642),IF(ABS(F1642)&gt;3,1,0),"")</x:f>
      </x:c>
      <x:c r="H1642" s="1" t="str">
        <x:f>IF(ISNUMBER(F1642),F1642^4,"")</x:f>
      </x:c>
      <x:c r="I1642" s="1"/>
      <x:c r="J1642" s="1"/>
      <x:c r="K1642" s="1"/>
      <x:c r="L1642" s="1"/>
      <x:c r="M1642" s="1"/>
      <x:c r="N1642" s="1"/>
    </x:row>
    <x:row r="1643" ht="22" customHeight="1">
      <x:c r="A1643" s="14"/>
      <x:c r="B1643" s="15"/>
      <x:c r="C1643" s="16" t="str">
        <x:f>IF(AND(ISNUMBER(B1643),ISNUMBER(B1642),B1643&gt;0,B1642&gt;0),LN(B1643/B1642),"")</x:f>
      </x:c>
      <x:c r="D1643" s="16" t="str">
        <x:f>IF(ISNUMBER(C1643),ABS(C1643),"")</x:f>
      </x:c>
      <x:c r="E1643" s="16" t="str">
        <x:f>IF(ISNUMBER(C1643),C1643^2,"")</x:f>
      </x:c>
      <x:c r="F1643" s="16" t="str">
        <x:f>IF(AND(ISNUMBER(C1643),ISNUMBER($J$6),$J$6&gt;0),(C1643-$J$5)/$J$6,"")</x:f>
      </x:c>
      <x:c r="G1643" s="1" t="str">
        <x:f>IF(ISNUMBER(F1643),IF(ABS(F1643)&gt;3,1,0),"")</x:f>
      </x:c>
      <x:c r="H1643" s="1" t="str">
        <x:f>IF(ISNUMBER(F1643),F1643^4,"")</x:f>
      </x:c>
      <x:c r="I1643" s="1"/>
      <x:c r="J1643" s="1"/>
      <x:c r="K1643" s="1"/>
      <x:c r="L1643" s="1"/>
      <x:c r="M1643" s="1"/>
      <x:c r="N1643" s="1"/>
    </x:row>
    <x:row r="1644" ht="22" customHeight="1">
      <x:c r="A1644" s="14"/>
      <x:c r="B1644" s="15"/>
      <x:c r="C1644" s="16" t="str">
        <x:f>IF(AND(ISNUMBER(B1644),ISNUMBER(B1643),B1644&gt;0,B1643&gt;0),LN(B1644/B1643),"")</x:f>
      </x:c>
      <x:c r="D1644" s="16" t="str">
        <x:f>IF(ISNUMBER(C1644),ABS(C1644),"")</x:f>
      </x:c>
      <x:c r="E1644" s="16" t="str">
        <x:f>IF(ISNUMBER(C1644),C1644^2,"")</x:f>
      </x:c>
      <x:c r="F1644" s="16" t="str">
        <x:f>IF(AND(ISNUMBER(C1644),ISNUMBER($J$6),$J$6&gt;0),(C1644-$J$5)/$J$6,"")</x:f>
      </x:c>
      <x:c r="G1644" s="1" t="str">
        <x:f>IF(ISNUMBER(F1644),IF(ABS(F1644)&gt;3,1,0),"")</x:f>
      </x:c>
      <x:c r="H1644" s="1" t="str">
        <x:f>IF(ISNUMBER(F1644),F1644^4,"")</x:f>
      </x:c>
      <x:c r="I1644" s="1"/>
      <x:c r="J1644" s="1"/>
      <x:c r="K1644" s="1"/>
      <x:c r="L1644" s="1"/>
      <x:c r="M1644" s="1"/>
      <x:c r="N1644" s="1"/>
    </x:row>
    <x:row r="1645" ht="22" customHeight="1">
      <x:c r="A1645" s="14"/>
      <x:c r="B1645" s="15"/>
      <x:c r="C1645" s="16" t="str">
        <x:f>IF(AND(ISNUMBER(B1645),ISNUMBER(B1644),B1645&gt;0,B1644&gt;0),LN(B1645/B1644),"")</x:f>
      </x:c>
      <x:c r="D1645" s="16" t="str">
        <x:f>IF(ISNUMBER(C1645),ABS(C1645),"")</x:f>
      </x:c>
      <x:c r="E1645" s="16" t="str">
        <x:f>IF(ISNUMBER(C1645),C1645^2,"")</x:f>
      </x:c>
      <x:c r="F1645" s="16" t="str">
        <x:f>IF(AND(ISNUMBER(C1645),ISNUMBER($J$6),$J$6&gt;0),(C1645-$J$5)/$J$6,"")</x:f>
      </x:c>
      <x:c r="G1645" s="1" t="str">
        <x:f>IF(ISNUMBER(F1645),IF(ABS(F1645)&gt;3,1,0),"")</x:f>
      </x:c>
      <x:c r="H1645" s="1" t="str">
        <x:f>IF(ISNUMBER(F1645),F1645^4,"")</x:f>
      </x:c>
      <x:c r="I1645" s="1"/>
      <x:c r="J1645" s="1"/>
      <x:c r="K1645" s="1"/>
      <x:c r="L1645" s="1"/>
      <x:c r="M1645" s="1"/>
      <x:c r="N1645" s="1"/>
    </x:row>
    <x:row r="1646" ht="22" customHeight="1">
      <x:c r="A1646" s="14"/>
      <x:c r="B1646" s="15"/>
      <x:c r="C1646" s="16" t="str">
        <x:f>IF(AND(ISNUMBER(B1646),ISNUMBER(B1645),B1646&gt;0,B1645&gt;0),LN(B1646/B1645),"")</x:f>
      </x:c>
      <x:c r="D1646" s="16" t="str">
        <x:f>IF(ISNUMBER(C1646),ABS(C1646),"")</x:f>
      </x:c>
      <x:c r="E1646" s="16" t="str">
        <x:f>IF(ISNUMBER(C1646),C1646^2,"")</x:f>
      </x:c>
      <x:c r="F1646" s="16" t="str">
        <x:f>IF(AND(ISNUMBER(C1646),ISNUMBER($J$6),$J$6&gt;0),(C1646-$J$5)/$J$6,"")</x:f>
      </x:c>
      <x:c r="G1646" s="1" t="str">
        <x:f>IF(ISNUMBER(F1646),IF(ABS(F1646)&gt;3,1,0),"")</x:f>
      </x:c>
      <x:c r="H1646" s="1" t="str">
        <x:f>IF(ISNUMBER(F1646),F1646^4,"")</x:f>
      </x:c>
      <x:c r="I1646" s="1"/>
      <x:c r="J1646" s="1"/>
      <x:c r="K1646" s="1"/>
      <x:c r="L1646" s="1"/>
      <x:c r="M1646" s="1"/>
      <x:c r="N1646" s="1"/>
    </x:row>
    <x:row r="1647" ht="22" customHeight="1">
      <x:c r="A1647" s="14"/>
      <x:c r="B1647" s="15"/>
      <x:c r="C1647" s="16" t="str">
        <x:f>IF(AND(ISNUMBER(B1647),ISNUMBER(B1646),B1647&gt;0,B1646&gt;0),LN(B1647/B1646),"")</x:f>
      </x:c>
      <x:c r="D1647" s="16" t="str">
        <x:f>IF(ISNUMBER(C1647),ABS(C1647),"")</x:f>
      </x:c>
      <x:c r="E1647" s="16" t="str">
        <x:f>IF(ISNUMBER(C1647),C1647^2,"")</x:f>
      </x:c>
      <x:c r="F1647" s="16" t="str">
        <x:f>IF(AND(ISNUMBER(C1647),ISNUMBER($J$6),$J$6&gt;0),(C1647-$J$5)/$J$6,"")</x:f>
      </x:c>
      <x:c r="G1647" s="1" t="str">
        <x:f>IF(ISNUMBER(F1647),IF(ABS(F1647)&gt;3,1,0),"")</x:f>
      </x:c>
      <x:c r="H1647" s="1" t="str">
        <x:f>IF(ISNUMBER(F1647),F1647^4,"")</x:f>
      </x:c>
      <x:c r="I1647" s="1"/>
      <x:c r="J1647" s="1"/>
      <x:c r="K1647" s="1"/>
      <x:c r="L1647" s="1"/>
      <x:c r="M1647" s="1"/>
      <x:c r="N1647" s="1"/>
    </x:row>
    <x:row r="1648" ht="22" customHeight="1">
      <x:c r="A1648" s="14"/>
      <x:c r="B1648" s="15"/>
      <x:c r="C1648" s="16" t="str">
        <x:f>IF(AND(ISNUMBER(B1648),ISNUMBER(B1647),B1648&gt;0,B1647&gt;0),LN(B1648/B1647),"")</x:f>
      </x:c>
      <x:c r="D1648" s="16" t="str">
        <x:f>IF(ISNUMBER(C1648),ABS(C1648),"")</x:f>
      </x:c>
      <x:c r="E1648" s="16" t="str">
        <x:f>IF(ISNUMBER(C1648),C1648^2,"")</x:f>
      </x:c>
      <x:c r="F1648" s="16" t="str">
        <x:f>IF(AND(ISNUMBER(C1648),ISNUMBER($J$6),$J$6&gt;0),(C1648-$J$5)/$J$6,"")</x:f>
      </x:c>
      <x:c r="G1648" s="1" t="str">
        <x:f>IF(ISNUMBER(F1648),IF(ABS(F1648)&gt;3,1,0),"")</x:f>
      </x:c>
      <x:c r="H1648" s="1" t="str">
        <x:f>IF(ISNUMBER(F1648),F1648^4,"")</x:f>
      </x:c>
      <x:c r="I1648" s="1"/>
      <x:c r="J1648" s="1"/>
      <x:c r="K1648" s="1"/>
      <x:c r="L1648" s="1"/>
      <x:c r="M1648" s="1"/>
      <x:c r="N1648" s="1"/>
    </x:row>
    <x:row r="1649" ht="22" customHeight="1">
      <x:c r="A1649" s="14"/>
      <x:c r="B1649" s="15"/>
      <x:c r="C1649" s="16" t="str">
        <x:f>IF(AND(ISNUMBER(B1649),ISNUMBER(B1648),B1649&gt;0,B1648&gt;0),LN(B1649/B1648),"")</x:f>
      </x:c>
      <x:c r="D1649" s="16" t="str">
        <x:f>IF(ISNUMBER(C1649),ABS(C1649),"")</x:f>
      </x:c>
      <x:c r="E1649" s="16" t="str">
        <x:f>IF(ISNUMBER(C1649),C1649^2,"")</x:f>
      </x:c>
      <x:c r="F1649" s="16" t="str">
        <x:f>IF(AND(ISNUMBER(C1649),ISNUMBER($J$6),$J$6&gt;0),(C1649-$J$5)/$J$6,"")</x:f>
      </x:c>
      <x:c r="G1649" s="1" t="str">
        <x:f>IF(ISNUMBER(F1649),IF(ABS(F1649)&gt;3,1,0),"")</x:f>
      </x:c>
      <x:c r="H1649" s="1" t="str">
        <x:f>IF(ISNUMBER(F1649),F1649^4,"")</x:f>
      </x:c>
      <x:c r="I1649" s="1"/>
      <x:c r="J1649" s="1"/>
      <x:c r="K1649" s="1"/>
      <x:c r="L1649" s="1"/>
      <x:c r="M1649" s="1"/>
      <x:c r="N1649" s="1"/>
    </x:row>
    <x:row r="1650" ht="22" customHeight="1">
      <x:c r="A1650" s="14"/>
      <x:c r="B1650" s="15"/>
      <x:c r="C1650" s="16" t="str">
        <x:f>IF(AND(ISNUMBER(B1650),ISNUMBER(B1649),B1650&gt;0,B1649&gt;0),LN(B1650/B1649),"")</x:f>
      </x:c>
      <x:c r="D1650" s="16" t="str">
        <x:f>IF(ISNUMBER(C1650),ABS(C1650),"")</x:f>
      </x:c>
      <x:c r="E1650" s="16" t="str">
        <x:f>IF(ISNUMBER(C1650),C1650^2,"")</x:f>
      </x:c>
      <x:c r="F1650" s="16" t="str">
        <x:f>IF(AND(ISNUMBER(C1650),ISNUMBER($J$6),$J$6&gt;0),(C1650-$J$5)/$J$6,"")</x:f>
      </x:c>
      <x:c r="G1650" s="1" t="str">
        <x:f>IF(ISNUMBER(F1650),IF(ABS(F1650)&gt;3,1,0),"")</x:f>
      </x:c>
      <x:c r="H1650" s="1" t="str">
        <x:f>IF(ISNUMBER(F1650),F1650^4,"")</x:f>
      </x:c>
      <x:c r="I1650" s="1"/>
      <x:c r="J1650" s="1"/>
      <x:c r="K1650" s="1"/>
      <x:c r="L1650" s="1"/>
      <x:c r="M1650" s="1"/>
      <x:c r="N1650" s="1"/>
    </x:row>
    <x:row r="1651" ht="22" customHeight="1">
      <x:c r="A1651" s="14"/>
      <x:c r="B1651" s="15"/>
      <x:c r="C1651" s="16" t="str">
        <x:f>IF(AND(ISNUMBER(B1651),ISNUMBER(B1650),B1651&gt;0,B1650&gt;0),LN(B1651/B1650),"")</x:f>
      </x:c>
      <x:c r="D1651" s="16" t="str">
        <x:f>IF(ISNUMBER(C1651),ABS(C1651),"")</x:f>
      </x:c>
      <x:c r="E1651" s="16" t="str">
        <x:f>IF(ISNUMBER(C1651),C1651^2,"")</x:f>
      </x:c>
      <x:c r="F1651" s="16" t="str">
        <x:f>IF(AND(ISNUMBER(C1651),ISNUMBER($J$6),$J$6&gt;0),(C1651-$J$5)/$J$6,"")</x:f>
      </x:c>
      <x:c r="G1651" s="1" t="str">
        <x:f>IF(ISNUMBER(F1651),IF(ABS(F1651)&gt;3,1,0),"")</x:f>
      </x:c>
      <x:c r="H1651" s="1" t="str">
        <x:f>IF(ISNUMBER(F1651),F1651^4,"")</x:f>
      </x:c>
      <x:c r="I1651" s="1"/>
      <x:c r="J1651" s="1"/>
      <x:c r="K1651" s="1"/>
      <x:c r="L1651" s="1"/>
      <x:c r="M1651" s="1"/>
      <x:c r="N1651" s="1"/>
    </x:row>
    <x:row r="1652" ht="22" customHeight="1">
      <x:c r="A1652" s="14"/>
      <x:c r="B1652" s="15"/>
      <x:c r="C1652" s="16" t="str">
        <x:f>IF(AND(ISNUMBER(B1652),ISNUMBER(B1651),B1652&gt;0,B1651&gt;0),LN(B1652/B1651),"")</x:f>
      </x:c>
      <x:c r="D1652" s="16" t="str">
        <x:f>IF(ISNUMBER(C1652),ABS(C1652),"")</x:f>
      </x:c>
      <x:c r="E1652" s="16" t="str">
        <x:f>IF(ISNUMBER(C1652),C1652^2,"")</x:f>
      </x:c>
      <x:c r="F1652" s="16" t="str">
        <x:f>IF(AND(ISNUMBER(C1652),ISNUMBER($J$6),$J$6&gt;0),(C1652-$J$5)/$J$6,"")</x:f>
      </x:c>
      <x:c r="G1652" s="1" t="str">
        <x:f>IF(ISNUMBER(F1652),IF(ABS(F1652)&gt;3,1,0),"")</x:f>
      </x:c>
      <x:c r="H1652" s="1" t="str">
        <x:f>IF(ISNUMBER(F1652),F1652^4,"")</x:f>
      </x:c>
      <x:c r="I1652" s="1"/>
      <x:c r="J1652" s="1"/>
      <x:c r="K1652" s="1"/>
      <x:c r="L1652" s="1"/>
      <x:c r="M1652" s="1"/>
      <x:c r="N1652" s="1"/>
    </x:row>
    <x:row r="1653" ht="22" customHeight="1">
      <x:c r="A1653" s="14"/>
      <x:c r="B1653" s="15"/>
      <x:c r="C1653" s="16" t="str">
        <x:f>IF(AND(ISNUMBER(B1653),ISNUMBER(B1652),B1653&gt;0,B1652&gt;0),LN(B1653/B1652),"")</x:f>
      </x:c>
      <x:c r="D1653" s="16" t="str">
        <x:f>IF(ISNUMBER(C1653),ABS(C1653),"")</x:f>
      </x:c>
      <x:c r="E1653" s="16" t="str">
        <x:f>IF(ISNUMBER(C1653),C1653^2,"")</x:f>
      </x:c>
      <x:c r="F1653" s="16" t="str">
        <x:f>IF(AND(ISNUMBER(C1653),ISNUMBER($J$6),$J$6&gt;0),(C1653-$J$5)/$J$6,"")</x:f>
      </x:c>
      <x:c r="G1653" s="1" t="str">
        <x:f>IF(ISNUMBER(F1653),IF(ABS(F1653)&gt;3,1,0),"")</x:f>
      </x:c>
      <x:c r="H1653" s="1" t="str">
        <x:f>IF(ISNUMBER(F1653),F1653^4,"")</x:f>
      </x:c>
      <x:c r="I1653" s="1"/>
      <x:c r="J1653" s="1"/>
      <x:c r="K1653" s="1"/>
      <x:c r="L1653" s="1"/>
      <x:c r="M1653" s="1"/>
      <x:c r="N1653" s="1"/>
    </x:row>
    <x:row r="1654" ht="22" customHeight="1">
      <x:c r="A1654" s="14"/>
      <x:c r="B1654" s="15"/>
      <x:c r="C1654" s="16" t="str">
        <x:f>IF(AND(ISNUMBER(B1654),ISNUMBER(B1653),B1654&gt;0,B1653&gt;0),LN(B1654/B1653),"")</x:f>
      </x:c>
      <x:c r="D1654" s="16" t="str">
        <x:f>IF(ISNUMBER(C1654),ABS(C1654),"")</x:f>
      </x:c>
      <x:c r="E1654" s="16" t="str">
        <x:f>IF(ISNUMBER(C1654),C1654^2,"")</x:f>
      </x:c>
      <x:c r="F1654" s="16" t="str">
        <x:f>IF(AND(ISNUMBER(C1654),ISNUMBER($J$6),$J$6&gt;0),(C1654-$J$5)/$J$6,"")</x:f>
      </x:c>
      <x:c r="G1654" s="1" t="str">
        <x:f>IF(ISNUMBER(F1654),IF(ABS(F1654)&gt;3,1,0),"")</x:f>
      </x:c>
      <x:c r="H1654" s="1" t="str">
        <x:f>IF(ISNUMBER(F1654),F1654^4,"")</x:f>
      </x:c>
      <x:c r="I1654" s="1"/>
      <x:c r="J1654" s="1"/>
      <x:c r="K1654" s="1"/>
      <x:c r="L1654" s="1"/>
      <x:c r="M1654" s="1"/>
      <x:c r="N1654" s="1"/>
    </x:row>
    <x:row r="1655" ht="22" customHeight="1">
      <x:c r="A1655" s="14"/>
      <x:c r="B1655" s="15"/>
      <x:c r="C1655" s="16" t="str">
        <x:f>IF(AND(ISNUMBER(B1655),ISNUMBER(B1654),B1655&gt;0,B1654&gt;0),LN(B1655/B1654),"")</x:f>
      </x:c>
      <x:c r="D1655" s="16" t="str">
        <x:f>IF(ISNUMBER(C1655),ABS(C1655),"")</x:f>
      </x:c>
      <x:c r="E1655" s="16" t="str">
        <x:f>IF(ISNUMBER(C1655),C1655^2,"")</x:f>
      </x:c>
      <x:c r="F1655" s="16" t="str">
        <x:f>IF(AND(ISNUMBER(C1655),ISNUMBER($J$6),$J$6&gt;0),(C1655-$J$5)/$J$6,"")</x:f>
      </x:c>
      <x:c r="G1655" s="1" t="str">
        <x:f>IF(ISNUMBER(F1655),IF(ABS(F1655)&gt;3,1,0),"")</x:f>
      </x:c>
      <x:c r="H1655" s="1" t="str">
        <x:f>IF(ISNUMBER(F1655),F1655^4,"")</x:f>
      </x:c>
      <x:c r="I1655" s="1"/>
      <x:c r="J1655" s="1"/>
      <x:c r="K1655" s="1"/>
      <x:c r="L1655" s="1"/>
      <x:c r="M1655" s="1"/>
      <x:c r="N1655" s="1"/>
    </x:row>
    <x:row r="1656" ht="22" customHeight="1">
      <x:c r="A1656" s="14"/>
      <x:c r="B1656" s="15"/>
      <x:c r="C1656" s="16" t="str">
        <x:f>IF(AND(ISNUMBER(B1656),ISNUMBER(B1655),B1656&gt;0,B1655&gt;0),LN(B1656/B1655),"")</x:f>
      </x:c>
      <x:c r="D1656" s="16" t="str">
        <x:f>IF(ISNUMBER(C1656),ABS(C1656),"")</x:f>
      </x:c>
      <x:c r="E1656" s="16" t="str">
        <x:f>IF(ISNUMBER(C1656),C1656^2,"")</x:f>
      </x:c>
      <x:c r="F1656" s="16" t="str">
        <x:f>IF(AND(ISNUMBER(C1656),ISNUMBER($J$6),$J$6&gt;0),(C1656-$J$5)/$J$6,"")</x:f>
      </x:c>
      <x:c r="G1656" s="1" t="str">
        <x:f>IF(ISNUMBER(F1656),IF(ABS(F1656)&gt;3,1,0),"")</x:f>
      </x:c>
      <x:c r="H1656" s="1" t="str">
        <x:f>IF(ISNUMBER(F1656),F1656^4,"")</x:f>
      </x:c>
      <x:c r="I1656" s="1"/>
      <x:c r="J1656" s="1"/>
      <x:c r="K1656" s="1"/>
      <x:c r="L1656" s="1"/>
      <x:c r="M1656" s="1"/>
      <x:c r="N1656" s="1"/>
    </x:row>
    <x:row r="1657" ht="22" customHeight="1">
      <x:c r="A1657" s="14"/>
      <x:c r="B1657" s="15"/>
      <x:c r="C1657" s="16" t="str">
        <x:f>IF(AND(ISNUMBER(B1657),ISNUMBER(B1656),B1657&gt;0,B1656&gt;0),LN(B1657/B1656),"")</x:f>
      </x:c>
      <x:c r="D1657" s="16" t="str">
        <x:f>IF(ISNUMBER(C1657),ABS(C1657),"")</x:f>
      </x:c>
      <x:c r="E1657" s="16" t="str">
        <x:f>IF(ISNUMBER(C1657),C1657^2,"")</x:f>
      </x:c>
      <x:c r="F1657" s="16" t="str">
        <x:f>IF(AND(ISNUMBER(C1657),ISNUMBER($J$6),$J$6&gt;0),(C1657-$J$5)/$J$6,"")</x:f>
      </x:c>
      <x:c r="G1657" s="1" t="str">
        <x:f>IF(ISNUMBER(F1657),IF(ABS(F1657)&gt;3,1,0),"")</x:f>
      </x:c>
      <x:c r="H1657" s="1" t="str">
        <x:f>IF(ISNUMBER(F1657),F1657^4,"")</x:f>
      </x:c>
      <x:c r="I1657" s="1"/>
      <x:c r="J1657" s="1"/>
      <x:c r="K1657" s="1"/>
      <x:c r="L1657" s="1"/>
      <x:c r="M1657" s="1"/>
      <x:c r="N1657" s="1"/>
    </x:row>
    <x:row r="1658" ht="22" customHeight="1">
      <x:c r="A1658" s="14"/>
      <x:c r="B1658" s="15"/>
      <x:c r="C1658" s="16" t="str">
        <x:f>IF(AND(ISNUMBER(B1658),ISNUMBER(B1657),B1658&gt;0,B1657&gt;0),LN(B1658/B1657),"")</x:f>
      </x:c>
      <x:c r="D1658" s="16" t="str">
        <x:f>IF(ISNUMBER(C1658),ABS(C1658),"")</x:f>
      </x:c>
      <x:c r="E1658" s="16" t="str">
        <x:f>IF(ISNUMBER(C1658),C1658^2,"")</x:f>
      </x:c>
      <x:c r="F1658" s="16" t="str">
        <x:f>IF(AND(ISNUMBER(C1658),ISNUMBER($J$6),$J$6&gt;0),(C1658-$J$5)/$J$6,"")</x:f>
      </x:c>
      <x:c r="G1658" s="1" t="str">
        <x:f>IF(ISNUMBER(F1658),IF(ABS(F1658)&gt;3,1,0),"")</x:f>
      </x:c>
      <x:c r="H1658" s="1" t="str">
        <x:f>IF(ISNUMBER(F1658),F1658^4,"")</x:f>
      </x:c>
      <x:c r="I1658" s="1"/>
      <x:c r="J1658" s="1"/>
      <x:c r="K1658" s="1"/>
      <x:c r="L1658" s="1"/>
      <x:c r="M1658" s="1"/>
      <x:c r="N1658" s="1"/>
    </x:row>
    <x:row r="1659" ht="22" customHeight="1">
      <x:c r="A1659" s="14"/>
      <x:c r="B1659" s="15"/>
      <x:c r="C1659" s="16" t="str">
        <x:f>IF(AND(ISNUMBER(B1659),ISNUMBER(B1658),B1659&gt;0,B1658&gt;0),LN(B1659/B1658),"")</x:f>
      </x:c>
      <x:c r="D1659" s="16" t="str">
        <x:f>IF(ISNUMBER(C1659),ABS(C1659),"")</x:f>
      </x:c>
      <x:c r="E1659" s="16" t="str">
        <x:f>IF(ISNUMBER(C1659),C1659^2,"")</x:f>
      </x:c>
      <x:c r="F1659" s="16" t="str">
        <x:f>IF(AND(ISNUMBER(C1659),ISNUMBER($J$6),$J$6&gt;0),(C1659-$J$5)/$J$6,"")</x:f>
      </x:c>
      <x:c r="G1659" s="1" t="str">
        <x:f>IF(ISNUMBER(F1659),IF(ABS(F1659)&gt;3,1,0),"")</x:f>
      </x:c>
      <x:c r="H1659" s="1" t="str">
        <x:f>IF(ISNUMBER(F1659),F1659^4,"")</x:f>
      </x:c>
      <x:c r="I1659" s="1"/>
      <x:c r="J1659" s="1"/>
      <x:c r="K1659" s="1"/>
      <x:c r="L1659" s="1"/>
      <x:c r="M1659" s="1"/>
      <x:c r="N1659" s="1"/>
    </x:row>
    <x:row r="1660" ht="22" customHeight="1">
      <x:c r="A1660" s="14"/>
      <x:c r="B1660" s="15"/>
      <x:c r="C1660" s="16" t="str">
        <x:f>IF(AND(ISNUMBER(B1660),ISNUMBER(B1659),B1660&gt;0,B1659&gt;0),LN(B1660/B1659),"")</x:f>
      </x:c>
      <x:c r="D1660" s="16" t="str">
        <x:f>IF(ISNUMBER(C1660),ABS(C1660),"")</x:f>
      </x:c>
      <x:c r="E1660" s="16" t="str">
        <x:f>IF(ISNUMBER(C1660),C1660^2,"")</x:f>
      </x:c>
      <x:c r="F1660" s="16" t="str">
        <x:f>IF(AND(ISNUMBER(C1660),ISNUMBER($J$6),$J$6&gt;0),(C1660-$J$5)/$J$6,"")</x:f>
      </x:c>
      <x:c r="G1660" s="1" t="str">
        <x:f>IF(ISNUMBER(F1660),IF(ABS(F1660)&gt;3,1,0),"")</x:f>
      </x:c>
      <x:c r="H1660" s="1" t="str">
        <x:f>IF(ISNUMBER(F1660),F1660^4,"")</x:f>
      </x:c>
      <x:c r="I1660" s="1"/>
      <x:c r="J1660" s="1"/>
      <x:c r="K1660" s="1"/>
      <x:c r="L1660" s="1"/>
      <x:c r="M1660" s="1"/>
      <x:c r="N1660" s="1"/>
    </x:row>
    <x:row r="1661" ht="22" customHeight="1">
      <x:c r="A1661" s="14"/>
      <x:c r="B1661" s="15"/>
      <x:c r="C1661" s="16" t="str">
        <x:f>IF(AND(ISNUMBER(B1661),ISNUMBER(B1660),B1661&gt;0,B1660&gt;0),LN(B1661/B1660),"")</x:f>
      </x:c>
      <x:c r="D1661" s="16" t="str">
        <x:f>IF(ISNUMBER(C1661),ABS(C1661),"")</x:f>
      </x:c>
      <x:c r="E1661" s="16" t="str">
        <x:f>IF(ISNUMBER(C1661),C1661^2,"")</x:f>
      </x:c>
      <x:c r="F1661" s="16" t="str">
        <x:f>IF(AND(ISNUMBER(C1661),ISNUMBER($J$6),$J$6&gt;0),(C1661-$J$5)/$J$6,"")</x:f>
      </x:c>
      <x:c r="G1661" s="1" t="str">
        <x:f>IF(ISNUMBER(F1661),IF(ABS(F1661)&gt;3,1,0),"")</x:f>
      </x:c>
      <x:c r="H1661" s="1" t="str">
        <x:f>IF(ISNUMBER(F1661),F1661^4,"")</x:f>
      </x:c>
      <x:c r="I1661" s="1"/>
      <x:c r="J1661" s="1"/>
      <x:c r="K1661" s="1"/>
      <x:c r="L1661" s="1"/>
      <x:c r="M1661" s="1"/>
      <x:c r="N1661" s="1"/>
    </x:row>
    <x:row r="1662" ht="22" customHeight="1">
      <x:c r="A1662" s="14"/>
      <x:c r="B1662" s="15"/>
      <x:c r="C1662" s="16" t="str">
        <x:f>IF(AND(ISNUMBER(B1662),ISNUMBER(B1661),B1662&gt;0,B1661&gt;0),LN(B1662/B1661),"")</x:f>
      </x:c>
      <x:c r="D1662" s="16" t="str">
        <x:f>IF(ISNUMBER(C1662),ABS(C1662),"")</x:f>
      </x:c>
      <x:c r="E1662" s="16" t="str">
        <x:f>IF(ISNUMBER(C1662),C1662^2,"")</x:f>
      </x:c>
      <x:c r="F1662" s="16" t="str">
        <x:f>IF(AND(ISNUMBER(C1662),ISNUMBER($J$6),$J$6&gt;0),(C1662-$J$5)/$J$6,"")</x:f>
      </x:c>
      <x:c r="G1662" s="1" t="str">
        <x:f>IF(ISNUMBER(F1662),IF(ABS(F1662)&gt;3,1,0),"")</x:f>
      </x:c>
      <x:c r="H1662" s="1" t="str">
        <x:f>IF(ISNUMBER(F1662),F1662^4,"")</x:f>
      </x:c>
      <x:c r="I1662" s="1"/>
      <x:c r="J1662" s="1"/>
      <x:c r="K1662" s="1"/>
      <x:c r="L1662" s="1"/>
      <x:c r="M1662" s="1"/>
      <x:c r="N1662" s="1"/>
    </x:row>
    <x:row r="1663" ht="22" customHeight="1">
      <x:c r="A1663" s="14"/>
      <x:c r="B1663" s="15"/>
      <x:c r="C1663" s="16" t="str">
        <x:f>IF(AND(ISNUMBER(B1663),ISNUMBER(B1662),B1663&gt;0,B1662&gt;0),LN(B1663/B1662),"")</x:f>
      </x:c>
      <x:c r="D1663" s="16" t="str">
        <x:f>IF(ISNUMBER(C1663),ABS(C1663),"")</x:f>
      </x:c>
      <x:c r="E1663" s="16" t="str">
        <x:f>IF(ISNUMBER(C1663),C1663^2,"")</x:f>
      </x:c>
      <x:c r="F1663" s="16" t="str">
        <x:f>IF(AND(ISNUMBER(C1663),ISNUMBER($J$6),$J$6&gt;0),(C1663-$J$5)/$J$6,"")</x:f>
      </x:c>
      <x:c r="G1663" s="1" t="str">
        <x:f>IF(ISNUMBER(F1663),IF(ABS(F1663)&gt;3,1,0),"")</x:f>
      </x:c>
      <x:c r="H1663" s="1" t="str">
        <x:f>IF(ISNUMBER(F1663),F1663^4,"")</x:f>
      </x:c>
      <x:c r="I1663" s="1"/>
      <x:c r="J1663" s="1"/>
      <x:c r="K1663" s="1"/>
      <x:c r="L1663" s="1"/>
      <x:c r="M1663" s="1"/>
      <x:c r="N1663" s="1"/>
    </x:row>
    <x:row r="1664" ht="22" customHeight="1">
      <x:c r="A1664" s="14"/>
      <x:c r="B1664" s="15"/>
      <x:c r="C1664" s="16" t="str">
        <x:f>IF(AND(ISNUMBER(B1664),ISNUMBER(B1663),B1664&gt;0,B1663&gt;0),LN(B1664/B1663),"")</x:f>
      </x:c>
      <x:c r="D1664" s="16" t="str">
        <x:f>IF(ISNUMBER(C1664),ABS(C1664),"")</x:f>
      </x:c>
      <x:c r="E1664" s="16" t="str">
        <x:f>IF(ISNUMBER(C1664),C1664^2,"")</x:f>
      </x:c>
      <x:c r="F1664" s="16" t="str">
        <x:f>IF(AND(ISNUMBER(C1664),ISNUMBER($J$6),$J$6&gt;0),(C1664-$J$5)/$J$6,"")</x:f>
      </x:c>
      <x:c r="G1664" s="1" t="str">
        <x:f>IF(ISNUMBER(F1664),IF(ABS(F1664)&gt;3,1,0),"")</x:f>
      </x:c>
      <x:c r="H1664" s="1" t="str">
        <x:f>IF(ISNUMBER(F1664),F1664^4,"")</x:f>
      </x:c>
      <x:c r="I1664" s="1"/>
      <x:c r="J1664" s="1"/>
      <x:c r="K1664" s="1"/>
      <x:c r="L1664" s="1"/>
      <x:c r="M1664" s="1"/>
      <x:c r="N1664" s="1"/>
    </x:row>
    <x:row r="1665" ht="22" customHeight="1">
      <x:c r="A1665" s="14"/>
      <x:c r="B1665" s="15"/>
      <x:c r="C1665" s="16" t="str">
        <x:f>IF(AND(ISNUMBER(B1665),ISNUMBER(B1664),B1665&gt;0,B1664&gt;0),LN(B1665/B1664),"")</x:f>
      </x:c>
      <x:c r="D1665" s="16" t="str">
        <x:f>IF(ISNUMBER(C1665),ABS(C1665),"")</x:f>
      </x:c>
      <x:c r="E1665" s="16" t="str">
        <x:f>IF(ISNUMBER(C1665),C1665^2,"")</x:f>
      </x:c>
      <x:c r="F1665" s="16" t="str">
        <x:f>IF(AND(ISNUMBER(C1665),ISNUMBER($J$6),$J$6&gt;0),(C1665-$J$5)/$J$6,"")</x:f>
      </x:c>
      <x:c r="G1665" s="1" t="str">
        <x:f>IF(ISNUMBER(F1665),IF(ABS(F1665)&gt;3,1,0),"")</x:f>
      </x:c>
      <x:c r="H1665" s="1" t="str">
        <x:f>IF(ISNUMBER(F1665),F1665^4,"")</x:f>
      </x:c>
      <x:c r="I1665" s="1"/>
      <x:c r="J1665" s="1"/>
      <x:c r="K1665" s="1"/>
      <x:c r="L1665" s="1"/>
      <x:c r="M1665" s="1"/>
      <x:c r="N1665" s="1"/>
    </x:row>
    <x:row r="1666" ht="22" customHeight="1">
      <x:c r="A1666" s="14"/>
      <x:c r="B1666" s="15"/>
      <x:c r="C1666" s="16" t="str">
        <x:f>IF(AND(ISNUMBER(B1666),ISNUMBER(B1665),B1666&gt;0,B1665&gt;0),LN(B1666/B1665),"")</x:f>
      </x:c>
      <x:c r="D1666" s="16" t="str">
        <x:f>IF(ISNUMBER(C1666),ABS(C1666),"")</x:f>
      </x:c>
      <x:c r="E1666" s="16" t="str">
        <x:f>IF(ISNUMBER(C1666),C1666^2,"")</x:f>
      </x:c>
      <x:c r="F1666" s="16" t="str">
        <x:f>IF(AND(ISNUMBER(C1666),ISNUMBER($J$6),$J$6&gt;0),(C1666-$J$5)/$J$6,"")</x:f>
      </x:c>
      <x:c r="G1666" s="1" t="str">
        <x:f>IF(ISNUMBER(F1666),IF(ABS(F1666)&gt;3,1,0),"")</x:f>
      </x:c>
      <x:c r="H1666" s="1" t="str">
        <x:f>IF(ISNUMBER(F1666),F1666^4,"")</x:f>
      </x:c>
      <x:c r="I1666" s="1"/>
      <x:c r="J1666" s="1"/>
      <x:c r="K1666" s="1"/>
      <x:c r="L1666" s="1"/>
      <x:c r="M1666" s="1"/>
      <x:c r="N1666" s="1"/>
    </x:row>
    <x:row r="1667" ht="22" customHeight="1">
      <x:c r="A1667" s="14"/>
      <x:c r="B1667" s="15"/>
      <x:c r="C1667" s="16" t="str">
        <x:f>IF(AND(ISNUMBER(B1667),ISNUMBER(B1666),B1667&gt;0,B1666&gt;0),LN(B1667/B1666),"")</x:f>
      </x:c>
      <x:c r="D1667" s="16" t="str">
        <x:f>IF(ISNUMBER(C1667),ABS(C1667),"")</x:f>
      </x:c>
      <x:c r="E1667" s="16" t="str">
        <x:f>IF(ISNUMBER(C1667),C1667^2,"")</x:f>
      </x:c>
      <x:c r="F1667" s="16" t="str">
        <x:f>IF(AND(ISNUMBER(C1667),ISNUMBER($J$6),$J$6&gt;0),(C1667-$J$5)/$J$6,"")</x:f>
      </x:c>
      <x:c r="G1667" s="1" t="str">
        <x:f>IF(ISNUMBER(F1667),IF(ABS(F1667)&gt;3,1,0),"")</x:f>
      </x:c>
      <x:c r="H1667" s="1" t="str">
        <x:f>IF(ISNUMBER(F1667),F1667^4,"")</x:f>
      </x:c>
      <x:c r="I1667" s="1"/>
      <x:c r="J1667" s="1"/>
      <x:c r="K1667" s="1"/>
      <x:c r="L1667" s="1"/>
      <x:c r="M1667" s="1"/>
      <x:c r="N1667" s="1"/>
    </x:row>
    <x:row r="1668" ht="22" customHeight="1">
      <x:c r="A1668" s="14"/>
      <x:c r="B1668" s="15"/>
      <x:c r="C1668" s="16" t="str">
        <x:f>IF(AND(ISNUMBER(B1668),ISNUMBER(B1667),B1668&gt;0,B1667&gt;0),LN(B1668/B1667),"")</x:f>
      </x:c>
      <x:c r="D1668" s="16" t="str">
        <x:f>IF(ISNUMBER(C1668),ABS(C1668),"")</x:f>
      </x:c>
      <x:c r="E1668" s="16" t="str">
        <x:f>IF(ISNUMBER(C1668),C1668^2,"")</x:f>
      </x:c>
      <x:c r="F1668" s="16" t="str">
        <x:f>IF(AND(ISNUMBER(C1668),ISNUMBER($J$6),$J$6&gt;0),(C1668-$J$5)/$J$6,"")</x:f>
      </x:c>
      <x:c r="G1668" s="1" t="str">
        <x:f>IF(ISNUMBER(F1668),IF(ABS(F1668)&gt;3,1,0),"")</x:f>
      </x:c>
      <x:c r="H1668" s="1" t="str">
        <x:f>IF(ISNUMBER(F1668),F1668^4,"")</x:f>
      </x:c>
      <x:c r="I1668" s="1"/>
      <x:c r="J1668" s="1"/>
      <x:c r="K1668" s="1"/>
      <x:c r="L1668" s="1"/>
      <x:c r="M1668" s="1"/>
      <x:c r="N1668" s="1"/>
    </x:row>
    <x:row r="1669" ht="22" customHeight="1">
      <x:c r="A1669" s="14"/>
      <x:c r="B1669" s="15"/>
      <x:c r="C1669" s="16" t="str">
        <x:f>IF(AND(ISNUMBER(B1669),ISNUMBER(B1668),B1669&gt;0,B1668&gt;0),LN(B1669/B1668),"")</x:f>
      </x:c>
      <x:c r="D1669" s="16" t="str">
        <x:f>IF(ISNUMBER(C1669),ABS(C1669),"")</x:f>
      </x:c>
      <x:c r="E1669" s="16" t="str">
        <x:f>IF(ISNUMBER(C1669),C1669^2,"")</x:f>
      </x:c>
      <x:c r="F1669" s="16" t="str">
        <x:f>IF(AND(ISNUMBER(C1669),ISNUMBER($J$6),$J$6&gt;0),(C1669-$J$5)/$J$6,"")</x:f>
      </x:c>
      <x:c r="G1669" s="1" t="str">
        <x:f>IF(ISNUMBER(F1669),IF(ABS(F1669)&gt;3,1,0),"")</x:f>
      </x:c>
      <x:c r="H1669" s="1" t="str">
        <x:f>IF(ISNUMBER(F1669),F1669^4,"")</x:f>
      </x:c>
      <x:c r="I1669" s="1"/>
      <x:c r="J1669" s="1"/>
      <x:c r="K1669" s="1"/>
      <x:c r="L1669" s="1"/>
      <x:c r="M1669" s="1"/>
      <x:c r="N1669" s="1"/>
    </x:row>
    <x:row r="1670" ht="22" customHeight="1">
      <x:c r="A1670" s="14"/>
      <x:c r="B1670" s="15"/>
      <x:c r="C1670" s="16" t="str">
        <x:f>IF(AND(ISNUMBER(B1670),ISNUMBER(B1669),B1670&gt;0,B1669&gt;0),LN(B1670/B1669),"")</x:f>
      </x:c>
      <x:c r="D1670" s="16" t="str">
        <x:f>IF(ISNUMBER(C1670),ABS(C1670),"")</x:f>
      </x:c>
      <x:c r="E1670" s="16" t="str">
        <x:f>IF(ISNUMBER(C1670),C1670^2,"")</x:f>
      </x:c>
      <x:c r="F1670" s="16" t="str">
        <x:f>IF(AND(ISNUMBER(C1670),ISNUMBER($J$6),$J$6&gt;0),(C1670-$J$5)/$J$6,"")</x:f>
      </x:c>
      <x:c r="G1670" s="1" t="str">
        <x:f>IF(ISNUMBER(F1670),IF(ABS(F1670)&gt;3,1,0),"")</x:f>
      </x:c>
      <x:c r="H1670" s="1" t="str">
        <x:f>IF(ISNUMBER(F1670),F1670^4,"")</x:f>
      </x:c>
      <x:c r="I1670" s="1"/>
      <x:c r="J1670" s="1"/>
      <x:c r="K1670" s="1"/>
      <x:c r="L1670" s="1"/>
      <x:c r="M1670" s="1"/>
      <x:c r="N1670" s="1"/>
    </x:row>
    <x:row r="1671" ht="22" customHeight="1">
      <x:c r="A1671" s="14"/>
      <x:c r="B1671" s="15"/>
      <x:c r="C1671" s="16" t="str">
        <x:f>IF(AND(ISNUMBER(B1671),ISNUMBER(B1670),B1671&gt;0,B1670&gt;0),LN(B1671/B1670),"")</x:f>
      </x:c>
      <x:c r="D1671" s="16" t="str">
        <x:f>IF(ISNUMBER(C1671),ABS(C1671),"")</x:f>
      </x:c>
      <x:c r="E1671" s="16" t="str">
        <x:f>IF(ISNUMBER(C1671),C1671^2,"")</x:f>
      </x:c>
      <x:c r="F1671" s="16" t="str">
        <x:f>IF(AND(ISNUMBER(C1671),ISNUMBER($J$6),$J$6&gt;0),(C1671-$J$5)/$J$6,"")</x:f>
      </x:c>
      <x:c r="G1671" s="1" t="str">
        <x:f>IF(ISNUMBER(F1671),IF(ABS(F1671)&gt;3,1,0),"")</x:f>
      </x:c>
      <x:c r="H1671" s="1" t="str">
        <x:f>IF(ISNUMBER(F1671),F1671^4,"")</x:f>
      </x:c>
      <x:c r="I1671" s="1"/>
      <x:c r="J1671" s="1"/>
      <x:c r="K1671" s="1"/>
      <x:c r="L1671" s="1"/>
      <x:c r="M1671" s="1"/>
      <x:c r="N1671" s="1"/>
    </x:row>
    <x:row r="1672" ht="22" customHeight="1">
      <x:c r="A1672" s="14"/>
      <x:c r="B1672" s="15"/>
      <x:c r="C1672" s="16" t="str">
        <x:f>IF(AND(ISNUMBER(B1672),ISNUMBER(B1671),B1672&gt;0,B1671&gt;0),LN(B1672/B1671),"")</x:f>
      </x:c>
      <x:c r="D1672" s="16" t="str">
        <x:f>IF(ISNUMBER(C1672),ABS(C1672),"")</x:f>
      </x:c>
      <x:c r="E1672" s="16" t="str">
        <x:f>IF(ISNUMBER(C1672),C1672^2,"")</x:f>
      </x:c>
      <x:c r="F1672" s="16" t="str">
        <x:f>IF(AND(ISNUMBER(C1672),ISNUMBER($J$6),$J$6&gt;0),(C1672-$J$5)/$J$6,"")</x:f>
      </x:c>
      <x:c r="G1672" s="1" t="str">
        <x:f>IF(ISNUMBER(F1672),IF(ABS(F1672)&gt;3,1,0),"")</x:f>
      </x:c>
      <x:c r="H1672" s="1" t="str">
        <x:f>IF(ISNUMBER(F1672),F1672^4,"")</x:f>
      </x:c>
      <x:c r="I1672" s="1"/>
      <x:c r="J1672" s="1"/>
      <x:c r="K1672" s="1"/>
      <x:c r="L1672" s="1"/>
      <x:c r="M1672" s="1"/>
      <x:c r="N1672" s="1"/>
    </x:row>
    <x:row r="1673" ht="22" customHeight="1">
      <x:c r="A1673" s="14"/>
      <x:c r="B1673" s="15"/>
      <x:c r="C1673" s="16" t="str">
        <x:f>IF(AND(ISNUMBER(B1673),ISNUMBER(B1672),B1673&gt;0,B1672&gt;0),LN(B1673/B1672),"")</x:f>
      </x:c>
      <x:c r="D1673" s="16" t="str">
        <x:f>IF(ISNUMBER(C1673),ABS(C1673),"")</x:f>
      </x:c>
      <x:c r="E1673" s="16" t="str">
        <x:f>IF(ISNUMBER(C1673),C1673^2,"")</x:f>
      </x:c>
      <x:c r="F1673" s="16" t="str">
        <x:f>IF(AND(ISNUMBER(C1673),ISNUMBER($J$6),$J$6&gt;0),(C1673-$J$5)/$J$6,"")</x:f>
      </x:c>
      <x:c r="G1673" s="1" t="str">
        <x:f>IF(ISNUMBER(F1673),IF(ABS(F1673)&gt;3,1,0),"")</x:f>
      </x:c>
      <x:c r="H1673" s="1" t="str">
        <x:f>IF(ISNUMBER(F1673),F1673^4,"")</x:f>
      </x:c>
      <x:c r="I1673" s="1"/>
      <x:c r="J1673" s="1"/>
      <x:c r="K1673" s="1"/>
      <x:c r="L1673" s="1"/>
      <x:c r="M1673" s="1"/>
      <x:c r="N1673" s="1"/>
    </x:row>
    <x:row r="1674" ht="22" customHeight="1">
      <x:c r="A1674" s="14"/>
      <x:c r="B1674" s="15"/>
      <x:c r="C1674" s="16" t="str">
        <x:f>IF(AND(ISNUMBER(B1674),ISNUMBER(B1673),B1674&gt;0,B1673&gt;0),LN(B1674/B1673),"")</x:f>
      </x:c>
      <x:c r="D1674" s="16" t="str">
        <x:f>IF(ISNUMBER(C1674),ABS(C1674),"")</x:f>
      </x:c>
      <x:c r="E1674" s="16" t="str">
        <x:f>IF(ISNUMBER(C1674),C1674^2,"")</x:f>
      </x:c>
      <x:c r="F1674" s="16" t="str">
        <x:f>IF(AND(ISNUMBER(C1674),ISNUMBER($J$6),$J$6&gt;0),(C1674-$J$5)/$J$6,"")</x:f>
      </x:c>
      <x:c r="G1674" s="1" t="str">
        <x:f>IF(ISNUMBER(F1674),IF(ABS(F1674)&gt;3,1,0),"")</x:f>
      </x:c>
      <x:c r="H1674" s="1" t="str">
        <x:f>IF(ISNUMBER(F1674),F1674^4,"")</x:f>
      </x:c>
      <x:c r="I1674" s="1"/>
      <x:c r="J1674" s="1"/>
      <x:c r="K1674" s="1"/>
      <x:c r="L1674" s="1"/>
      <x:c r="M1674" s="1"/>
      <x:c r="N1674" s="1"/>
    </x:row>
    <x:row r="1675" ht="22" customHeight="1">
      <x:c r="A1675" s="14"/>
      <x:c r="B1675" s="15"/>
      <x:c r="C1675" s="16" t="str">
        <x:f>IF(AND(ISNUMBER(B1675),ISNUMBER(B1674),B1675&gt;0,B1674&gt;0),LN(B1675/B1674),"")</x:f>
      </x:c>
      <x:c r="D1675" s="16" t="str">
        <x:f>IF(ISNUMBER(C1675),ABS(C1675),"")</x:f>
      </x:c>
      <x:c r="E1675" s="16" t="str">
        <x:f>IF(ISNUMBER(C1675),C1675^2,"")</x:f>
      </x:c>
      <x:c r="F1675" s="16" t="str">
        <x:f>IF(AND(ISNUMBER(C1675),ISNUMBER($J$6),$J$6&gt;0),(C1675-$J$5)/$J$6,"")</x:f>
      </x:c>
      <x:c r="G1675" s="1" t="str">
        <x:f>IF(ISNUMBER(F1675),IF(ABS(F1675)&gt;3,1,0),"")</x:f>
      </x:c>
      <x:c r="H1675" s="1" t="str">
        <x:f>IF(ISNUMBER(F1675),F1675^4,"")</x:f>
      </x:c>
      <x:c r="I1675" s="1"/>
      <x:c r="J1675" s="1"/>
      <x:c r="K1675" s="1"/>
      <x:c r="L1675" s="1"/>
      <x:c r="M1675" s="1"/>
      <x:c r="N1675" s="1"/>
    </x:row>
    <x:row r="1676" ht="22" customHeight="1">
      <x:c r="A1676" s="14"/>
      <x:c r="B1676" s="15"/>
      <x:c r="C1676" s="16" t="str">
        <x:f>IF(AND(ISNUMBER(B1676),ISNUMBER(B1675),B1676&gt;0,B1675&gt;0),LN(B1676/B1675),"")</x:f>
      </x:c>
      <x:c r="D1676" s="16" t="str">
        <x:f>IF(ISNUMBER(C1676),ABS(C1676),"")</x:f>
      </x:c>
      <x:c r="E1676" s="16" t="str">
        <x:f>IF(ISNUMBER(C1676),C1676^2,"")</x:f>
      </x:c>
      <x:c r="F1676" s="16" t="str">
        <x:f>IF(AND(ISNUMBER(C1676),ISNUMBER($J$6),$J$6&gt;0),(C1676-$J$5)/$J$6,"")</x:f>
      </x:c>
      <x:c r="G1676" s="1" t="str">
        <x:f>IF(ISNUMBER(F1676),IF(ABS(F1676)&gt;3,1,0),"")</x:f>
      </x:c>
      <x:c r="H1676" s="1" t="str">
        <x:f>IF(ISNUMBER(F1676),F1676^4,"")</x:f>
      </x:c>
      <x:c r="I1676" s="1"/>
      <x:c r="J1676" s="1"/>
      <x:c r="K1676" s="1"/>
      <x:c r="L1676" s="1"/>
      <x:c r="M1676" s="1"/>
      <x:c r="N1676" s="1"/>
    </x:row>
    <x:row r="1677" ht="22" customHeight="1">
      <x:c r="A1677" s="14"/>
      <x:c r="B1677" s="15"/>
      <x:c r="C1677" s="16" t="str">
        <x:f>IF(AND(ISNUMBER(B1677),ISNUMBER(B1676),B1677&gt;0,B1676&gt;0),LN(B1677/B1676),"")</x:f>
      </x:c>
      <x:c r="D1677" s="16" t="str">
        <x:f>IF(ISNUMBER(C1677),ABS(C1677),"")</x:f>
      </x:c>
      <x:c r="E1677" s="16" t="str">
        <x:f>IF(ISNUMBER(C1677),C1677^2,"")</x:f>
      </x:c>
      <x:c r="F1677" s="16" t="str">
        <x:f>IF(AND(ISNUMBER(C1677),ISNUMBER($J$6),$J$6&gt;0),(C1677-$J$5)/$J$6,"")</x:f>
      </x:c>
      <x:c r="G1677" s="1" t="str">
        <x:f>IF(ISNUMBER(F1677),IF(ABS(F1677)&gt;3,1,0),"")</x:f>
      </x:c>
      <x:c r="H1677" s="1" t="str">
        <x:f>IF(ISNUMBER(F1677),F1677^4,"")</x:f>
      </x:c>
      <x:c r="I1677" s="1"/>
      <x:c r="J1677" s="1"/>
      <x:c r="K1677" s="1"/>
      <x:c r="L1677" s="1"/>
      <x:c r="M1677" s="1"/>
      <x:c r="N1677" s="1"/>
    </x:row>
    <x:row r="1678" ht="22" customHeight="1">
      <x:c r="A1678" s="14"/>
      <x:c r="B1678" s="15"/>
      <x:c r="C1678" s="16" t="str">
        <x:f>IF(AND(ISNUMBER(B1678),ISNUMBER(B1677),B1678&gt;0,B1677&gt;0),LN(B1678/B1677),"")</x:f>
      </x:c>
      <x:c r="D1678" s="16" t="str">
        <x:f>IF(ISNUMBER(C1678),ABS(C1678),"")</x:f>
      </x:c>
      <x:c r="E1678" s="16" t="str">
        <x:f>IF(ISNUMBER(C1678),C1678^2,"")</x:f>
      </x:c>
      <x:c r="F1678" s="16" t="str">
        <x:f>IF(AND(ISNUMBER(C1678),ISNUMBER($J$6),$J$6&gt;0),(C1678-$J$5)/$J$6,"")</x:f>
      </x:c>
      <x:c r="G1678" s="1" t="str">
        <x:f>IF(ISNUMBER(F1678),IF(ABS(F1678)&gt;3,1,0),"")</x:f>
      </x:c>
      <x:c r="H1678" s="1" t="str">
        <x:f>IF(ISNUMBER(F1678),F1678^4,"")</x:f>
      </x:c>
      <x:c r="I1678" s="1"/>
      <x:c r="J1678" s="1"/>
      <x:c r="K1678" s="1"/>
      <x:c r="L1678" s="1"/>
      <x:c r="M1678" s="1"/>
      <x:c r="N1678" s="1"/>
    </x:row>
    <x:row r="1679" ht="22" customHeight="1">
      <x:c r="A1679" s="14"/>
      <x:c r="B1679" s="15"/>
      <x:c r="C1679" s="16" t="str">
        <x:f>IF(AND(ISNUMBER(B1679),ISNUMBER(B1678),B1679&gt;0,B1678&gt;0),LN(B1679/B1678),"")</x:f>
      </x:c>
      <x:c r="D1679" s="16" t="str">
        <x:f>IF(ISNUMBER(C1679),ABS(C1679),"")</x:f>
      </x:c>
      <x:c r="E1679" s="16" t="str">
        <x:f>IF(ISNUMBER(C1679),C1679^2,"")</x:f>
      </x:c>
      <x:c r="F1679" s="16" t="str">
        <x:f>IF(AND(ISNUMBER(C1679),ISNUMBER($J$6),$J$6&gt;0),(C1679-$J$5)/$J$6,"")</x:f>
      </x:c>
      <x:c r="G1679" s="1" t="str">
        <x:f>IF(ISNUMBER(F1679),IF(ABS(F1679)&gt;3,1,0),"")</x:f>
      </x:c>
      <x:c r="H1679" s="1" t="str">
        <x:f>IF(ISNUMBER(F1679),F1679^4,"")</x:f>
      </x:c>
      <x:c r="I1679" s="1"/>
      <x:c r="J1679" s="1"/>
      <x:c r="K1679" s="1"/>
      <x:c r="L1679" s="1"/>
      <x:c r="M1679" s="1"/>
      <x:c r="N1679" s="1"/>
    </x:row>
    <x:row r="1680" ht="22" customHeight="1">
      <x:c r="A1680" s="14"/>
      <x:c r="B1680" s="15"/>
      <x:c r="C1680" s="16" t="str">
        <x:f>IF(AND(ISNUMBER(B1680),ISNUMBER(B1679),B1680&gt;0,B1679&gt;0),LN(B1680/B1679),"")</x:f>
      </x:c>
      <x:c r="D1680" s="16" t="str">
        <x:f>IF(ISNUMBER(C1680),ABS(C1680),"")</x:f>
      </x:c>
      <x:c r="E1680" s="16" t="str">
        <x:f>IF(ISNUMBER(C1680),C1680^2,"")</x:f>
      </x:c>
      <x:c r="F1680" s="16" t="str">
        <x:f>IF(AND(ISNUMBER(C1680),ISNUMBER($J$6),$J$6&gt;0),(C1680-$J$5)/$J$6,"")</x:f>
      </x:c>
      <x:c r="G1680" s="1" t="str">
        <x:f>IF(ISNUMBER(F1680),IF(ABS(F1680)&gt;3,1,0),"")</x:f>
      </x:c>
      <x:c r="H1680" s="1" t="str">
        <x:f>IF(ISNUMBER(F1680),F1680^4,"")</x:f>
      </x:c>
      <x:c r="I1680" s="1"/>
      <x:c r="J1680" s="1"/>
      <x:c r="K1680" s="1"/>
      <x:c r="L1680" s="1"/>
      <x:c r="M1680" s="1"/>
      <x:c r="N1680" s="1"/>
    </x:row>
    <x:row r="1681" ht="22" customHeight="1">
      <x:c r="A1681" s="14"/>
      <x:c r="B1681" s="15"/>
      <x:c r="C1681" s="16" t="str">
        <x:f>IF(AND(ISNUMBER(B1681),ISNUMBER(B1680),B1681&gt;0,B1680&gt;0),LN(B1681/B1680),"")</x:f>
      </x:c>
      <x:c r="D1681" s="16" t="str">
        <x:f>IF(ISNUMBER(C1681),ABS(C1681),"")</x:f>
      </x:c>
      <x:c r="E1681" s="16" t="str">
        <x:f>IF(ISNUMBER(C1681),C1681^2,"")</x:f>
      </x:c>
      <x:c r="F1681" s="16" t="str">
        <x:f>IF(AND(ISNUMBER(C1681),ISNUMBER($J$6),$J$6&gt;0),(C1681-$J$5)/$J$6,"")</x:f>
      </x:c>
      <x:c r="G1681" s="1" t="str">
        <x:f>IF(ISNUMBER(F1681),IF(ABS(F1681)&gt;3,1,0),"")</x:f>
      </x:c>
      <x:c r="H1681" s="1" t="str">
        <x:f>IF(ISNUMBER(F1681),F1681^4,"")</x:f>
      </x:c>
      <x:c r="I1681" s="1"/>
      <x:c r="J1681" s="1"/>
      <x:c r="K1681" s="1"/>
      <x:c r="L1681" s="1"/>
      <x:c r="M1681" s="1"/>
      <x:c r="N1681" s="1"/>
    </x:row>
    <x:row r="1682" ht="22" customHeight="1">
      <x:c r="A1682" s="14"/>
      <x:c r="B1682" s="15"/>
      <x:c r="C1682" s="16" t="str">
        <x:f>IF(AND(ISNUMBER(B1682),ISNUMBER(B1681),B1682&gt;0,B1681&gt;0),LN(B1682/B1681),"")</x:f>
      </x:c>
      <x:c r="D1682" s="16" t="str">
        <x:f>IF(ISNUMBER(C1682),ABS(C1682),"")</x:f>
      </x:c>
      <x:c r="E1682" s="16" t="str">
        <x:f>IF(ISNUMBER(C1682),C1682^2,"")</x:f>
      </x:c>
      <x:c r="F1682" s="16" t="str">
        <x:f>IF(AND(ISNUMBER(C1682),ISNUMBER($J$6),$J$6&gt;0),(C1682-$J$5)/$J$6,"")</x:f>
      </x:c>
      <x:c r="G1682" s="1" t="str">
        <x:f>IF(ISNUMBER(F1682),IF(ABS(F1682)&gt;3,1,0),"")</x:f>
      </x:c>
      <x:c r="H1682" s="1" t="str">
        <x:f>IF(ISNUMBER(F1682),F1682^4,"")</x:f>
      </x:c>
      <x:c r="I1682" s="1"/>
      <x:c r="J1682" s="1"/>
      <x:c r="K1682" s="1"/>
      <x:c r="L1682" s="1"/>
      <x:c r="M1682" s="1"/>
      <x:c r="N1682" s="1"/>
    </x:row>
    <x:row r="1683" ht="22" customHeight="1">
      <x:c r="A1683" s="14"/>
      <x:c r="B1683" s="15"/>
      <x:c r="C1683" s="16" t="str">
        <x:f>IF(AND(ISNUMBER(B1683),ISNUMBER(B1682),B1683&gt;0,B1682&gt;0),LN(B1683/B1682),"")</x:f>
      </x:c>
      <x:c r="D1683" s="16" t="str">
        <x:f>IF(ISNUMBER(C1683),ABS(C1683),"")</x:f>
      </x:c>
      <x:c r="E1683" s="16" t="str">
        <x:f>IF(ISNUMBER(C1683),C1683^2,"")</x:f>
      </x:c>
      <x:c r="F1683" s="16" t="str">
        <x:f>IF(AND(ISNUMBER(C1683),ISNUMBER($J$6),$J$6&gt;0),(C1683-$J$5)/$J$6,"")</x:f>
      </x:c>
      <x:c r="G1683" s="1" t="str">
        <x:f>IF(ISNUMBER(F1683),IF(ABS(F1683)&gt;3,1,0),"")</x:f>
      </x:c>
      <x:c r="H1683" s="1" t="str">
        <x:f>IF(ISNUMBER(F1683),F1683^4,"")</x:f>
      </x:c>
      <x:c r="I1683" s="1"/>
      <x:c r="J1683" s="1"/>
      <x:c r="K1683" s="1"/>
      <x:c r="L1683" s="1"/>
      <x:c r="M1683" s="1"/>
      <x:c r="N1683" s="1"/>
    </x:row>
    <x:row r="1684" ht="22" customHeight="1">
      <x:c r="A1684" s="14"/>
      <x:c r="B1684" s="15"/>
      <x:c r="C1684" s="16" t="str">
        <x:f>IF(AND(ISNUMBER(B1684),ISNUMBER(B1683),B1684&gt;0,B1683&gt;0),LN(B1684/B1683),"")</x:f>
      </x:c>
      <x:c r="D1684" s="16" t="str">
        <x:f>IF(ISNUMBER(C1684),ABS(C1684),"")</x:f>
      </x:c>
      <x:c r="E1684" s="16" t="str">
        <x:f>IF(ISNUMBER(C1684),C1684^2,"")</x:f>
      </x:c>
      <x:c r="F1684" s="16" t="str">
        <x:f>IF(AND(ISNUMBER(C1684),ISNUMBER($J$6),$J$6&gt;0),(C1684-$J$5)/$J$6,"")</x:f>
      </x:c>
      <x:c r="G1684" s="1" t="str">
        <x:f>IF(ISNUMBER(F1684),IF(ABS(F1684)&gt;3,1,0),"")</x:f>
      </x:c>
      <x:c r="H1684" s="1" t="str">
        <x:f>IF(ISNUMBER(F1684),F1684^4,"")</x:f>
      </x:c>
      <x:c r="I1684" s="1"/>
      <x:c r="J1684" s="1"/>
      <x:c r="K1684" s="1"/>
      <x:c r="L1684" s="1"/>
      <x:c r="M1684" s="1"/>
      <x:c r="N1684" s="1"/>
    </x:row>
    <x:row r="1685" ht="22" customHeight="1">
      <x:c r="A1685" s="14"/>
      <x:c r="B1685" s="15"/>
      <x:c r="C1685" s="16" t="str">
        <x:f>IF(AND(ISNUMBER(B1685),ISNUMBER(B1684),B1685&gt;0,B1684&gt;0),LN(B1685/B1684),"")</x:f>
      </x:c>
      <x:c r="D1685" s="16" t="str">
        <x:f>IF(ISNUMBER(C1685),ABS(C1685),"")</x:f>
      </x:c>
      <x:c r="E1685" s="16" t="str">
        <x:f>IF(ISNUMBER(C1685),C1685^2,"")</x:f>
      </x:c>
      <x:c r="F1685" s="16" t="str">
        <x:f>IF(AND(ISNUMBER(C1685),ISNUMBER($J$6),$J$6&gt;0),(C1685-$J$5)/$J$6,"")</x:f>
      </x:c>
      <x:c r="G1685" s="1" t="str">
        <x:f>IF(ISNUMBER(F1685),IF(ABS(F1685)&gt;3,1,0),"")</x:f>
      </x:c>
      <x:c r="H1685" s="1" t="str">
        <x:f>IF(ISNUMBER(F1685),F1685^4,"")</x:f>
      </x:c>
      <x:c r="I1685" s="1"/>
      <x:c r="J1685" s="1"/>
      <x:c r="K1685" s="1"/>
      <x:c r="L1685" s="1"/>
      <x:c r="M1685" s="1"/>
      <x:c r="N1685" s="1"/>
    </x:row>
    <x:row r="1686" ht="22" customHeight="1">
      <x:c r="A1686" s="14"/>
      <x:c r="B1686" s="15"/>
      <x:c r="C1686" s="16" t="str">
        <x:f>IF(AND(ISNUMBER(B1686),ISNUMBER(B1685),B1686&gt;0,B1685&gt;0),LN(B1686/B1685),"")</x:f>
      </x:c>
      <x:c r="D1686" s="16" t="str">
        <x:f>IF(ISNUMBER(C1686),ABS(C1686),"")</x:f>
      </x:c>
      <x:c r="E1686" s="16" t="str">
        <x:f>IF(ISNUMBER(C1686),C1686^2,"")</x:f>
      </x:c>
      <x:c r="F1686" s="16" t="str">
        <x:f>IF(AND(ISNUMBER(C1686),ISNUMBER($J$6),$J$6&gt;0),(C1686-$J$5)/$J$6,"")</x:f>
      </x:c>
      <x:c r="G1686" s="1" t="str">
        <x:f>IF(ISNUMBER(F1686),IF(ABS(F1686)&gt;3,1,0),"")</x:f>
      </x:c>
      <x:c r="H1686" s="1" t="str">
        <x:f>IF(ISNUMBER(F1686),F1686^4,"")</x:f>
      </x:c>
      <x:c r="I1686" s="1"/>
      <x:c r="J1686" s="1"/>
      <x:c r="K1686" s="1"/>
      <x:c r="L1686" s="1"/>
      <x:c r="M1686" s="1"/>
      <x:c r="N1686" s="1"/>
    </x:row>
    <x:row r="1687" ht="22" customHeight="1">
      <x:c r="A1687" s="14"/>
      <x:c r="B1687" s="15"/>
      <x:c r="C1687" s="16" t="str">
        <x:f>IF(AND(ISNUMBER(B1687),ISNUMBER(B1686),B1687&gt;0,B1686&gt;0),LN(B1687/B1686),"")</x:f>
      </x:c>
      <x:c r="D1687" s="16" t="str">
        <x:f>IF(ISNUMBER(C1687),ABS(C1687),"")</x:f>
      </x:c>
      <x:c r="E1687" s="16" t="str">
        <x:f>IF(ISNUMBER(C1687),C1687^2,"")</x:f>
      </x:c>
      <x:c r="F1687" s="16" t="str">
        <x:f>IF(AND(ISNUMBER(C1687),ISNUMBER($J$6),$J$6&gt;0),(C1687-$J$5)/$J$6,"")</x:f>
      </x:c>
      <x:c r="G1687" s="1" t="str">
        <x:f>IF(ISNUMBER(F1687),IF(ABS(F1687)&gt;3,1,0),"")</x:f>
      </x:c>
      <x:c r="H1687" s="1" t="str">
        <x:f>IF(ISNUMBER(F1687),F1687^4,"")</x:f>
      </x:c>
      <x:c r="I1687" s="1"/>
      <x:c r="J1687" s="1"/>
      <x:c r="K1687" s="1"/>
      <x:c r="L1687" s="1"/>
      <x:c r="M1687" s="1"/>
      <x:c r="N1687" s="1"/>
    </x:row>
    <x:row r="1688" ht="22" customHeight="1">
      <x:c r="A1688" s="14"/>
      <x:c r="B1688" s="15"/>
      <x:c r="C1688" s="16" t="str">
        <x:f>IF(AND(ISNUMBER(B1688),ISNUMBER(B1687),B1688&gt;0,B1687&gt;0),LN(B1688/B1687),"")</x:f>
      </x:c>
      <x:c r="D1688" s="16" t="str">
        <x:f>IF(ISNUMBER(C1688),ABS(C1688),"")</x:f>
      </x:c>
      <x:c r="E1688" s="16" t="str">
        <x:f>IF(ISNUMBER(C1688),C1688^2,"")</x:f>
      </x:c>
      <x:c r="F1688" s="16" t="str">
        <x:f>IF(AND(ISNUMBER(C1688),ISNUMBER($J$6),$J$6&gt;0),(C1688-$J$5)/$J$6,"")</x:f>
      </x:c>
      <x:c r="G1688" s="1" t="str">
        <x:f>IF(ISNUMBER(F1688),IF(ABS(F1688)&gt;3,1,0),"")</x:f>
      </x:c>
      <x:c r="H1688" s="1" t="str">
        <x:f>IF(ISNUMBER(F1688),F1688^4,"")</x:f>
      </x:c>
      <x:c r="I1688" s="1"/>
      <x:c r="J1688" s="1"/>
      <x:c r="K1688" s="1"/>
      <x:c r="L1688" s="1"/>
      <x:c r="M1688" s="1"/>
      <x:c r="N1688" s="1"/>
    </x:row>
    <x:row r="1689" ht="22" customHeight="1">
      <x:c r="A1689" s="14"/>
      <x:c r="B1689" s="15"/>
      <x:c r="C1689" s="16" t="str">
        <x:f>IF(AND(ISNUMBER(B1689),ISNUMBER(B1688),B1689&gt;0,B1688&gt;0),LN(B1689/B1688),"")</x:f>
      </x:c>
      <x:c r="D1689" s="16" t="str">
        <x:f>IF(ISNUMBER(C1689),ABS(C1689),"")</x:f>
      </x:c>
      <x:c r="E1689" s="16" t="str">
        <x:f>IF(ISNUMBER(C1689),C1689^2,"")</x:f>
      </x:c>
      <x:c r="F1689" s="16" t="str">
        <x:f>IF(AND(ISNUMBER(C1689),ISNUMBER($J$6),$J$6&gt;0),(C1689-$J$5)/$J$6,"")</x:f>
      </x:c>
      <x:c r="G1689" s="1" t="str">
        <x:f>IF(ISNUMBER(F1689),IF(ABS(F1689)&gt;3,1,0),"")</x:f>
      </x:c>
      <x:c r="H1689" s="1" t="str">
        <x:f>IF(ISNUMBER(F1689),F1689^4,"")</x:f>
      </x:c>
      <x:c r="I1689" s="1"/>
      <x:c r="J1689" s="1"/>
      <x:c r="K1689" s="1"/>
      <x:c r="L1689" s="1"/>
      <x:c r="M1689" s="1"/>
      <x:c r="N1689" s="1"/>
    </x:row>
    <x:row r="1690" ht="22" customHeight="1">
      <x:c r="A1690" s="14"/>
      <x:c r="B1690" s="15"/>
      <x:c r="C1690" s="16" t="str">
        <x:f>IF(AND(ISNUMBER(B1690),ISNUMBER(B1689),B1690&gt;0,B1689&gt;0),LN(B1690/B1689),"")</x:f>
      </x:c>
      <x:c r="D1690" s="16" t="str">
        <x:f>IF(ISNUMBER(C1690),ABS(C1690),"")</x:f>
      </x:c>
      <x:c r="E1690" s="16" t="str">
        <x:f>IF(ISNUMBER(C1690),C1690^2,"")</x:f>
      </x:c>
      <x:c r="F1690" s="16" t="str">
        <x:f>IF(AND(ISNUMBER(C1690),ISNUMBER($J$6),$J$6&gt;0),(C1690-$J$5)/$J$6,"")</x:f>
      </x:c>
      <x:c r="G1690" s="1" t="str">
        <x:f>IF(ISNUMBER(F1690),IF(ABS(F1690)&gt;3,1,0),"")</x:f>
      </x:c>
      <x:c r="H1690" s="1" t="str">
        <x:f>IF(ISNUMBER(F1690),F1690^4,"")</x:f>
      </x:c>
      <x:c r="I1690" s="1"/>
      <x:c r="J1690" s="1"/>
      <x:c r="K1690" s="1"/>
      <x:c r="L1690" s="1"/>
      <x:c r="M1690" s="1"/>
      <x:c r="N1690" s="1"/>
    </x:row>
    <x:row r="1691" ht="22" customHeight="1">
      <x:c r="A1691" s="14"/>
      <x:c r="B1691" s="15"/>
      <x:c r="C1691" s="16" t="str">
        <x:f>IF(AND(ISNUMBER(B1691),ISNUMBER(B1690),B1691&gt;0,B1690&gt;0),LN(B1691/B1690),"")</x:f>
      </x:c>
      <x:c r="D1691" s="16" t="str">
        <x:f>IF(ISNUMBER(C1691),ABS(C1691),"")</x:f>
      </x:c>
      <x:c r="E1691" s="16" t="str">
        <x:f>IF(ISNUMBER(C1691),C1691^2,"")</x:f>
      </x:c>
      <x:c r="F1691" s="16" t="str">
        <x:f>IF(AND(ISNUMBER(C1691),ISNUMBER($J$6),$J$6&gt;0),(C1691-$J$5)/$J$6,"")</x:f>
      </x:c>
      <x:c r="G1691" s="1" t="str">
        <x:f>IF(ISNUMBER(F1691),IF(ABS(F1691)&gt;3,1,0),"")</x:f>
      </x:c>
      <x:c r="H1691" s="1" t="str">
        <x:f>IF(ISNUMBER(F1691),F1691^4,"")</x:f>
      </x:c>
      <x:c r="I1691" s="1"/>
      <x:c r="J1691" s="1"/>
      <x:c r="K1691" s="1"/>
      <x:c r="L1691" s="1"/>
      <x:c r="M1691" s="1"/>
      <x:c r="N1691" s="1"/>
    </x:row>
    <x:row r="1692" ht="22" customHeight="1">
      <x:c r="A1692" s="14"/>
      <x:c r="B1692" s="15"/>
      <x:c r="C1692" s="16" t="str">
        <x:f>IF(AND(ISNUMBER(B1692),ISNUMBER(B1691),B1692&gt;0,B1691&gt;0),LN(B1692/B1691),"")</x:f>
      </x:c>
      <x:c r="D1692" s="16" t="str">
        <x:f>IF(ISNUMBER(C1692),ABS(C1692),"")</x:f>
      </x:c>
      <x:c r="E1692" s="16" t="str">
        <x:f>IF(ISNUMBER(C1692),C1692^2,"")</x:f>
      </x:c>
      <x:c r="F1692" s="16" t="str">
        <x:f>IF(AND(ISNUMBER(C1692),ISNUMBER($J$6),$J$6&gt;0),(C1692-$J$5)/$J$6,"")</x:f>
      </x:c>
      <x:c r="G1692" s="1" t="str">
        <x:f>IF(ISNUMBER(F1692),IF(ABS(F1692)&gt;3,1,0),"")</x:f>
      </x:c>
      <x:c r="H1692" s="1" t="str">
        <x:f>IF(ISNUMBER(F1692),F1692^4,"")</x:f>
      </x:c>
      <x:c r="I1692" s="1"/>
      <x:c r="J1692" s="1"/>
      <x:c r="K1692" s="1"/>
      <x:c r="L1692" s="1"/>
      <x:c r="M1692" s="1"/>
      <x:c r="N1692" s="1"/>
    </x:row>
    <x:row r="1693" ht="22" customHeight="1">
      <x:c r="A1693" s="14"/>
      <x:c r="B1693" s="15"/>
      <x:c r="C1693" s="16" t="str">
        <x:f>IF(AND(ISNUMBER(B1693),ISNUMBER(B1692),B1693&gt;0,B1692&gt;0),LN(B1693/B1692),"")</x:f>
      </x:c>
      <x:c r="D1693" s="16" t="str">
        <x:f>IF(ISNUMBER(C1693),ABS(C1693),"")</x:f>
      </x:c>
      <x:c r="E1693" s="16" t="str">
        <x:f>IF(ISNUMBER(C1693),C1693^2,"")</x:f>
      </x:c>
      <x:c r="F1693" s="16" t="str">
        <x:f>IF(AND(ISNUMBER(C1693),ISNUMBER($J$6),$J$6&gt;0),(C1693-$J$5)/$J$6,"")</x:f>
      </x:c>
      <x:c r="G1693" s="1" t="str">
        <x:f>IF(ISNUMBER(F1693),IF(ABS(F1693)&gt;3,1,0),"")</x:f>
      </x:c>
      <x:c r="H1693" s="1" t="str">
        <x:f>IF(ISNUMBER(F1693),F1693^4,"")</x:f>
      </x:c>
      <x:c r="I1693" s="1"/>
      <x:c r="J1693" s="1"/>
      <x:c r="K1693" s="1"/>
      <x:c r="L1693" s="1"/>
      <x:c r="M1693" s="1"/>
      <x:c r="N1693" s="1"/>
    </x:row>
    <x:row r="1694" ht="22" customHeight="1">
      <x:c r="A1694" s="14"/>
      <x:c r="B1694" s="15"/>
      <x:c r="C1694" s="16" t="str">
        <x:f>IF(AND(ISNUMBER(B1694),ISNUMBER(B1693),B1694&gt;0,B1693&gt;0),LN(B1694/B1693),"")</x:f>
      </x:c>
      <x:c r="D1694" s="16" t="str">
        <x:f>IF(ISNUMBER(C1694),ABS(C1694),"")</x:f>
      </x:c>
      <x:c r="E1694" s="16" t="str">
        <x:f>IF(ISNUMBER(C1694),C1694^2,"")</x:f>
      </x:c>
      <x:c r="F1694" s="16" t="str">
        <x:f>IF(AND(ISNUMBER(C1694),ISNUMBER($J$6),$J$6&gt;0),(C1694-$J$5)/$J$6,"")</x:f>
      </x:c>
      <x:c r="G1694" s="1" t="str">
        <x:f>IF(ISNUMBER(F1694),IF(ABS(F1694)&gt;3,1,0),"")</x:f>
      </x:c>
      <x:c r="H1694" s="1" t="str">
        <x:f>IF(ISNUMBER(F1694),F1694^4,"")</x:f>
      </x:c>
      <x:c r="I1694" s="1"/>
      <x:c r="J1694" s="1"/>
      <x:c r="K1694" s="1"/>
      <x:c r="L1694" s="1"/>
      <x:c r="M1694" s="1"/>
      <x:c r="N1694" s="1"/>
    </x:row>
    <x:row r="1695" ht="22" customHeight="1">
      <x:c r="A1695" s="14"/>
      <x:c r="B1695" s="15"/>
      <x:c r="C1695" s="16" t="str">
        <x:f>IF(AND(ISNUMBER(B1695),ISNUMBER(B1694),B1695&gt;0,B1694&gt;0),LN(B1695/B1694),"")</x:f>
      </x:c>
      <x:c r="D1695" s="16" t="str">
        <x:f>IF(ISNUMBER(C1695),ABS(C1695),"")</x:f>
      </x:c>
      <x:c r="E1695" s="16" t="str">
        <x:f>IF(ISNUMBER(C1695),C1695^2,"")</x:f>
      </x:c>
      <x:c r="F1695" s="16" t="str">
        <x:f>IF(AND(ISNUMBER(C1695),ISNUMBER($J$6),$J$6&gt;0),(C1695-$J$5)/$J$6,"")</x:f>
      </x:c>
      <x:c r="G1695" s="1" t="str">
        <x:f>IF(ISNUMBER(F1695),IF(ABS(F1695)&gt;3,1,0),"")</x:f>
      </x:c>
      <x:c r="H1695" s="1" t="str">
        <x:f>IF(ISNUMBER(F1695),F1695^4,"")</x:f>
      </x:c>
      <x:c r="I1695" s="1"/>
      <x:c r="J1695" s="1"/>
      <x:c r="K1695" s="1"/>
      <x:c r="L1695" s="1"/>
      <x:c r="M1695" s="1"/>
      <x:c r="N1695" s="1"/>
    </x:row>
    <x:row r="1696" ht="22" customHeight="1">
      <x:c r="A1696" s="14"/>
      <x:c r="B1696" s="15"/>
      <x:c r="C1696" s="16" t="str">
        <x:f>IF(AND(ISNUMBER(B1696),ISNUMBER(B1695),B1696&gt;0,B1695&gt;0),LN(B1696/B1695),"")</x:f>
      </x:c>
      <x:c r="D1696" s="16" t="str">
        <x:f>IF(ISNUMBER(C1696),ABS(C1696),"")</x:f>
      </x:c>
      <x:c r="E1696" s="16" t="str">
        <x:f>IF(ISNUMBER(C1696),C1696^2,"")</x:f>
      </x:c>
      <x:c r="F1696" s="16" t="str">
        <x:f>IF(AND(ISNUMBER(C1696),ISNUMBER($J$6),$J$6&gt;0),(C1696-$J$5)/$J$6,"")</x:f>
      </x:c>
      <x:c r="G1696" s="1" t="str">
        <x:f>IF(ISNUMBER(F1696),IF(ABS(F1696)&gt;3,1,0),"")</x:f>
      </x:c>
      <x:c r="H1696" s="1" t="str">
        <x:f>IF(ISNUMBER(F1696),F1696^4,"")</x:f>
      </x:c>
      <x:c r="I1696" s="1"/>
      <x:c r="J1696" s="1"/>
      <x:c r="K1696" s="1"/>
      <x:c r="L1696" s="1"/>
      <x:c r="M1696" s="1"/>
      <x:c r="N1696" s="1"/>
    </x:row>
    <x:row r="1697" ht="22" customHeight="1">
      <x:c r="A1697" s="14"/>
      <x:c r="B1697" s="15"/>
      <x:c r="C1697" s="16" t="str">
        <x:f>IF(AND(ISNUMBER(B1697),ISNUMBER(B1696),B1697&gt;0,B1696&gt;0),LN(B1697/B1696),"")</x:f>
      </x:c>
      <x:c r="D1697" s="16" t="str">
        <x:f>IF(ISNUMBER(C1697),ABS(C1697),"")</x:f>
      </x:c>
      <x:c r="E1697" s="16" t="str">
        <x:f>IF(ISNUMBER(C1697),C1697^2,"")</x:f>
      </x:c>
      <x:c r="F1697" s="16" t="str">
        <x:f>IF(AND(ISNUMBER(C1697),ISNUMBER($J$6),$J$6&gt;0),(C1697-$J$5)/$J$6,"")</x:f>
      </x:c>
      <x:c r="G1697" s="1" t="str">
        <x:f>IF(ISNUMBER(F1697),IF(ABS(F1697)&gt;3,1,0),"")</x:f>
      </x:c>
      <x:c r="H1697" s="1" t="str">
        <x:f>IF(ISNUMBER(F1697),F1697^4,"")</x:f>
      </x:c>
      <x:c r="I1697" s="1"/>
      <x:c r="J1697" s="1"/>
      <x:c r="K1697" s="1"/>
      <x:c r="L1697" s="1"/>
      <x:c r="M1697" s="1"/>
      <x:c r="N1697" s="1"/>
    </x:row>
    <x:row r="1698" ht="22" customHeight="1">
      <x:c r="A1698" s="14"/>
      <x:c r="B1698" s="15"/>
      <x:c r="C1698" s="16" t="str">
        <x:f>IF(AND(ISNUMBER(B1698),ISNUMBER(B1697),B1698&gt;0,B1697&gt;0),LN(B1698/B1697),"")</x:f>
      </x:c>
      <x:c r="D1698" s="16" t="str">
        <x:f>IF(ISNUMBER(C1698),ABS(C1698),"")</x:f>
      </x:c>
      <x:c r="E1698" s="16" t="str">
        <x:f>IF(ISNUMBER(C1698),C1698^2,"")</x:f>
      </x:c>
      <x:c r="F1698" s="16" t="str">
        <x:f>IF(AND(ISNUMBER(C1698),ISNUMBER($J$6),$J$6&gt;0),(C1698-$J$5)/$J$6,"")</x:f>
      </x:c>
      <x:c r="G1698" s="1" t="str">
        <x:f>IF(ISNUMBER(F1698),IF(ABS(F1698)&gt;3,1,0),"")</x:f>
      </x:c>
      <x:c r="H1698" s="1" t="str">
        <x:f>IF(ISNUMBER(F1698),F1698^4,"")</x:f>
      </x:c>
      <x:c r="I1698" s="1"/>
      <x:c r="J1698" s="1"/>
      <x:c r="K1698" s="1"/>
      <x:c r="L1698" s="1"/>
      <x:c r="M1698" s="1"/>
      <x:c r="N1698" s="1"/>
    </x:row>
    <x:row r="1699" ht="22" customHeight="1">
      <x:c r="A1699" s="14"/>
      <x:c r="B1699" s="15"/>
      <x:c r="C1699" s="16" t="str">
        <x:f>IF(AND(ISNUMBER(B1699),ISNUMBER(B1698),B1699&gt;0,B1698&gt;0),LN(B1699/B1698),"")</x:f>
      </x:c>
      <x:c r="D1699" s="16" t="str">
        <x:f>IF(ISNUMBER(C1699),ABS(C1699),"")</x:f>
      </x:c>
      <x:c r="E1699" s="16" t="str">
        <x:f>IF(ISNUMBER(C1699),C1699^2,"")</x:f>
      </x:c>
      <x:c r="F1699" s="16" t="str">
        <x:f>IF(AND(ISNUMBER(C1699),ISNUMBER($J$6),$J$6&gt;0),(C1699-$J$5)/$J$6,"")</x:f>
      </x:c>
      <x:c r="G1699" s="1" t="str">
        <x:f>IF(ISNUMBER(F1699),IF(ABS(F1699)&gt;3,1,0),"")</x:f>
      </x:c>
      <x:c r="H1699" s="1" t="str">
        <x:f>IF(ISNUMBER(F1699),F1699^4,"")</x:f>
      </x:c>
      <x:c r="I1699" s="1"/>
      <x:c r="J1699" s="1"/>
      <x:c r="K1699" s="1"/>
      <x:c r="L1699" s="1"/>
      <x:c r="M1699" s="1"/>
      <x:c r="N1699" s="1"/>
    </x:row>
    <x:row r="1700" ht="22" customHeight="1">
      <x:c r="A1700" s="14"/>
      <x:c r="B1700" s="15"/>
      <x:c r="C1700" s="16" t="str">
        <x:f>IF(AND(ISNUMBER(B1700),ISNUMBER(B1699),B1700&gt;0,B1699&gt;0),LN(B1700/B1699),"")</x:f>
      </x:c>
      <x:c r="D1700" s="16" t="str">
        <x:f>IF(ISNUMBER(C1700),ABS(C1700),"")</x:f>
      </x:c>
      <x:c r="E1700" s="16" t="str">
        <x:f>IF(ISNUMBER(C1700),C1700^2,"")</x:f>
      </x:c>
      <x:c r="F1700" s="16" t="str">
        <x:f>IF(AND(ISNUMBER(C1700),ISNUMBER($J$6),$J$6&gt;0),(C1700-$J$5)/$J$6,"")</x:f>
      </x:c>
      <x:c r="G1700" s="1" t="str">
        <x:f>IF(ISNUMBER(F1700),IF(ABS(F1700)&gt;3,1,0),"")</x:f>
      </x:c>
      <x:c r="H1700" s="1" t="str">
        <x:f>IF(ISNUMBER(F1700),F1700^4,"")</x:f>
      </x:c>
      <x:c r="I1700" s="1"/>
      <x:c r="J1700" s="1"/>
      <x:c r="K1700" s="1"/>
      <x:c r="L1700" s="1"/>
      <x:c r="M1700" s="1"/>
      <x:c r="N1700" s="1"/>
    </x:row>
    <x:row r="1701" ht="22" customHeight="1">
      <x:c r="A1701" s="14"/>
      <x:c r="B1701" s="15"/>
      <x:c r="C1701" s="16" t="str">
        <x:f>IF(AND(ISNUMBER(B1701),ISNUMBER(B1700),B1701&gt;0,B1700&gt;0),LN(B1701/B1700),"")</x:f>
      </x:c>
      <x:c r="D1701" s="16" t="str">
        <x:f>IF(ISNUMBER(C1701),ABS(C1701),"")</x:f>
      </x:c>
      <x:c r="E1701" s="16" t="str">
        <x:f>IF(ISNUMBER(C1701),C1701^2,"")</x:f>
      </x:c>
      <x:c r="F1701" s="16" t="str">
        <x:f>IF(AND(ISNUMBER(C1701),ISNUMBER($J$6),$J$6&gt;0),(C1701-$J$5)/$J$6,"")</x:f>
      </x:c>
      <x:c r="G1701" s="1" t="str">
        <x:f>IF(ISNUMBER(F1701),IF(ABS(F1701)&gt;3,1,0),"")</x:f>
      </x:c>
      <x:c r="H1701" s="1" t="str">
        <x:f>IF(ISNUMBER(F1701),F1701^4,"")</x:f>
      </x:c>
      <x:c r="I1701" s="1"/>
      <x:c r="J1701" s="1"/>
      <x:c r="K1701" s="1"/>
      <x:c r="L1701" s="1"/>
      <x:c r="M1701" s="1"/>
      <x:c r="N1701" s="1"/>
    </x:row>
    <x:row r="1702" ht="22" customHeight="1">
      <x:c r="A1702" s="14"/>
      <x:c r="B1702" s="15"/>
      <x:c r="C1702" s="16" t="str">
        <x:f>IF(AND(ISNUMBER(B1702),ISNUMBER(B1701),B1702&gt;0,B1701&gt;0),LN(B1702/B1701),"")</x:f>
      </x:c>
      <x:c r="D1702" s="16" t="str">
        <x:f>IF(ISNUMBER(C1702),ABS(C1702),"")</x:f>
      </x:c>
      <x:c r="E1702" s="16" t="str">
        <x:f>IF(ISNUMBER(C1702),C1702^2,"")</x:f>
      </x:c>
      <x:c r="F1702" s="16" t="str">
        <x:f>IF(AND(ISNUMBER(C1702),ISNUMBER($J$6),$J$6&gt;0),(C1702-$J$5)/$J$6,"")</x:f>
      </x:c>
      <x:c r="G1702" s="1" t="str">
        <x:f>IF(ISNUMBER(F1702),IF(ABS(F1702)&gt;3,1,0),"")</x:f>
      </x:c>
      <x:c r="H1702" s="1" t="str">
        <x:f>IF(ISNUMBER(F1702),F1702^4,"")</x:f>
      </x:c>
      <x:c r="I1702" s="1"/>
      <x:c r="J1702" s="1"/>
      <x:c r="K1702" s="1"/>
      <x:c r="L1702" s="1"/>
      <x:c r="M1702" s="1"/>
      <x:c r="N1702" s="1"/>
    </x:row>
    <x:row r="1703" ht="22" customHeight="1">
      <x:c r="A1703" s="14"/>
      <x:c r="B1703" s="15"/>
      <x:c r="C1703" s="16" t="str">
        <x:f>IF(AND(ISNUMBER(B1703),ISNUMBER(B1702),B1703&gt;0,B1702&gt;0),LN(B1703/B1702),"")</x:f>
      </x:c>
      <x:c r="D1703" s="16" t="str">
        <x:f>IF(ISNUMBER(C1703),ABS(C1703),"")</x:f>
      </x:c>
      <x:c r="E1703" s="16" t="str">
        <x:f>IF(ISNUMBER(C1703),C1703^2,"")</x:f>
      </x:c>
      <x:c r="F1703" s="16" t="str">
        <x:f>IF(AND(ISNUMBER(C1703),ISNUMBER($J$6),$J$6&gt;0),(C1703-$J$5)/$J$6,"")</x:f>
      </x:c>
      <x:c r="G1703" s="1" t="str">
        <x:f>IF(ISNUMBER(F1703),IF(ABS(F1703)&gt;3,1,0),"")</x:f>
      </x:c>
      <x:c r="H1703" s="1" t="str">
        <x:f>IF(ISNUMBER(F1703),F1703^4,"")</x:f>
      </x:c>
      <x:c r="I1703" s="1"/>
      <x:c r="J1703" s="1"/>
      <x:c r="K1703" s="1"/>
      <x:c r="L1703" s="1"/>
      <x:c r="M1703" s="1"/>
      <x:c r="N1703" s="1"/>
    </x:row>
    <x:row r="1704" ht="22" customHeight="1">
      <x:c r="A1704" s="14"/>
      <x:c r="B1704" s="15"/>
      <x:c r="C1704" s="16" t="str">
        <x:f>IF(AND(ISNUMBER(B1704),ISNUMBER(B1703),B1704&gt;0,B1703&gt;0),LN(B1704/B1703),"")</x:f>
      </x:c>
      <x:c r="D1704" s="16" t="str">
        <x:f>IF(ISNUMBER(C1704),ABS(C1704),"")</x:f>
      </x:c>
      <x:c r="E1704" s="16" t="str">
        <x:f>IF(ISNUMBER(C1704),C1704^2,"")</x:f>
      </x:c>
      <x:c r="F1704" s="16" t="str">
        <x:f>IF(AND(ISNUMBER(C1704),ISNUMBER($J$6),$J$6&gt;0),(C1704-$J$5)/$J$6,"")</x:f>
      </x:c>
      <x:c r="G1704" s="1" t="str">
        <x:f>IF(ISNUMBER(F1704),IF(ABS(F1704)&gt;3,1,0),"")</x:f>
      </x:c>
      <x:c r="H1704" s="1" t="str">
        <x:f>IF(ISNUMBER(F1704),F1704^4,"")</x:f>
      </x:c>
      <x:c r="I1704" s="1"/>
      <x:c r="J1704" s="1"/>
      <x:c r="K1704" s="1"/>
      <x:c r="L1704" s="1"/>
      <x:c r="M1704" s="1"/>
      <x:c r="N1704" s="1"/>
    </x:row>
    <x:row r="1705" ht="22" customHeight="1">
      <x:c r="A1705" s="14"/>
      <x:c r="B1705" s="15"/>
      <x:c r="C1705" s="16" t="str">
        <x:f>IF(AND(ISNUMBER(B1705),ISNUMBER(B1704),B1705&gt;0,B1704&gt;0),LN(B1705/B1704),"")</x:f>
      </x:c>
      <x:c r="D1705" s="16" t="str">
        <x:f>IF(ISNUMBER(C1705),ABS(C1705),"")</x:f>
      </x:c>
      <x:c r="E1705" s="16" t="str">
        <x:f>IF(ISNUMBER(C1705),C1705^2,"")</x:f>
      </x:c>
      <x:c r="F1705" s="16" t="str">
        <x:f>IF(AND(ISNUMBER(C1705),ISNUMBER($J$6),$J$6&gt;0),(C1705-$J$5)/$J$6,"")</x:f>
      </x:c>
      <x:c r="G1705" s="1" t="str">
        <x:f>IF(ISNUMBER(F1705),IF(ABS(F1705)&gt;3,1,0),"")</x:f>
      </x:c>
      <x:c r="H1705" s="1" t="str">
        <x:f>IF(ISNUMBER(F1705),F1705^4,"")</x:f>
      </x:c>
      <x:c r="I1705" s="1"/>
      <x:c r="J1705" s="1"/>
      <x:c r="K1705" s="1"/>
      <x:c r="L1705" s="1"/>
      <x:c r="M1705" s="1"/>
      <x:c r="N1705" s="1"/>
    </x:row>
    <x:row r="1706" ht="22" customHeight="1">
      <x:c r="A1706" s="14"/>
      <x:c r="B1706" s="15"/>
      <x:c r="C1706" s="16" t="str">
        <x:f>IF(AND(ISNUMBER(B1706),ISNUMBER(B1705),B1706&gt;0,B1705&gt;0),LN(B1706/B1705),"")</x:f>
      </x:c>
      <x:c r="D1706" s="16" t="str">
        <x:f>IF(ISNUMBER(C1706),ABS(C1706),"")</x:f>
      </x:c>
      <x:c r="E1706" s="16" t="str">
        <x:f>IF(ISNUMBER(C1706),C1706^2,"")</x:f>
      </x:c>
      <x:c r="F1706" s="16" t="str">
        <x:f>IF(AND(ISNUMBER(C1706),ISNUMBER($J$6),$J$6&gt;0),(C1706-$J$5)/$J$6,"")</x:f>
      </x:c>
      <x:c r="G1706" s="1" t="str">
        <x:f>IF(ISNUMBER(F1706),IF(ABS(F1706)&gt;3,1,0),"")</x:f>
      </x:c>
      <x:c r="H1706" s="1" t="str">
        <x:f>IF(ISNUMBER(F1706),F1706^4,"")</x:f>
      </x:c>
      <x:c r="I1706" s="1"/>
      <x:c r="J1706" s="1"/>
      <x:c r="K1706" s="1"/>
      <x:c r="L1706" s="1"/>
      <x:c r="M1706" s="1"/>
      <x:c r="N1706" s="1"/>
    </x:row>
    <x:row r="1707" ht="22" customHeight="1">
      <x:c r="A1707" s="14"/>
      <x:c r="B1707" s="15"/>
      <x:c r="C1707" s="16" t="str">
        <x:f>IF(AND(ISNUMBER(B1707),ISNUMBER(B1706),B1707&gt;0,B1706&gt;0),LN(B1707/B1706),"")</x:f>
      </x:c>
      <x:c r="D1707" s="16" t="str">
        <x:f>IF(ISNUMBER(C1707),ABS(C1707),"")</x:f>
      </x:c>
      <x:c r="E1707" s="16" t="str">
        <x:f>IF(ISNUMBER(C1707),C1707^2,"")</x:f>
      </x:c>
      <x:c r="F1707" s="16" t="str">
        <x:f>IF(AND(ISNUMBER(C1707),ISNUMBER($J$6),$J$6&gt;0),(C1707-$J$5)/$J$6,"")</x:f>
      </x:c>
      <x:c r="G1707" s="1" t="str">
        <x:f>IF(ISNUMBER(F1707),IF(ABS(F1707)&gt;3,1,0),"")</x:f>
      </x:c>
      <x:c r="H1707" s="1" t="str">
        <x:f>IF(ISNUMBER(F1707),F1707^4,"")</x:f>
      </x:c>
      <x:c r="I1707" s="1"/>
      <x:c r="J1707" s="1"/>
      <x:c r="K1707" s="1"/>
      <x:c r="L1707" s="1"/>
      <x:c r="M1707" s="1"/>
      <x:c r="N1707" s="1"/>
    </x:row>
    <x:row r="1708" ht="22" customHeight="1">
      <x:c r="A1708" s="14"/>
      <x:c r="B1708" s="15"/>
      <x:c r="C1708" s="16" t="str">
        <x:f>IF(AND(ISNUMBER(B1708),ISNUMBER(B1707),B1708&gt;0,B1707&gt;0),LN(B1708/B1707),"")</x:f>
      </x:c>
      <x:c r="D1708" s="16" t="str">
        <x:f>IF(ISNUMBER(C1708),ABS(C1708),"")</x:f>
      </x:c>
      <x:c r="E1708" s="16" t="str">
        <x:f>IF(ISNUMBER(C1708),C1708^2,"")</x:f>
      </x:c>
      <x:c r="F1708" s="16" t="str">
        <x:f>IF(AND(ISNUMBER(C1708),ISNUMBER($J$6),$J$6&gt;0),(C1708-$J$5)/$J$6,"")</x:f>
      </x:c>
      <x:c r="G1708" s="1" t="str">
        <x:f>IF(ISNUMBER(F1708),IF(ABS(F1708)&gt;3,1,0),"")</x:f>
      </x:c>
      <x:c r="H1708" s="1" t="str">
        <x:f>IF(ISNUMBER(F1708),F1708^4,"")</x:f>
      </x:c>
      <x:c r="I1708" s="1"/>
      <x:c r="J1708" s="1"/>
      <x:c r="K1708" s="1"/>
      <x:c r="L1708" s="1"/>
      <x:c r="M1708" s="1"/>
      <x:c r="N1708" s="1"/>
    </x:row>
    <x:row r="1709" ht="22" customHeight="1">
      <x:c r="A1709" s="14"/>
      <x:c r="B1709" s="15"/>
      <x:c r="C1709" s="16" t="str">
        <x:f>IF(AND(ISNUMBER(B1709),ISNUMBER(B1708),B1709&gt;0,B1708&gt;0),LN(B1709/B1708),"")</x:f>
      </x:c>
      <x:c r="D1709" s="16" t="str">
        <x:f>IF(ISNUMBER(C1709),ABS(C1709),"")</x:f>
      </x:c>
      <x:c r="E1709" s="16" t="str">
        <x:f>IF(ISNUMBER(C1709),C1709^2,"")</x:f>
      </x:c>
      <x:c r="F1709" s="16" t="str">
        <x:f>IF(AND(ISNUMBER(C1709),ISNUMBER($J$6),$J$6&gt;0),(C1709-$J$5)/$J$6,"")</x:f>
      </x:c>
      <x:c r="G1709" s="1" t="str">
        <x:f>IF(ISNUMBER(F1709),IF(ABS(F1709)&gt;3,1,0),"")</x:f>
      </x:c>
      <x:c r="H1709" s="1" t="str">
        <x:f>IF(ISNUMBER(F1709),F1709^4,"")</x:f>
      </x:c>
      <x:c r="I1709" s="1"/>
      <x:c r="J1709" s="1"/>
      <x:c r="K1709" s="1"/>
      <x:c r="L1709" s="1"/>
      <x:c r="M1709" s="1"/>
      <x:c r="N1709" s="1"/>
    </x:row>
    <x:row r="1710" ht="22" customHeight="1">
      <x:c r="A1710" s="14"/>
      <x:c r="B1710" s="15"/>
      <x:c r="C1710" s="16" t="str">
        <x:f>IF(AND(ISNUMBER(B1710),ISNUMBER(B1709),B1710&gt;0,B1709&gt;0),LN(B1710/B1709),"")</x:f>
      </x:c>
      <x:c r="D1710" s="16" t="str">
        <x:f>IF(ISNUMBER(C1710),ABS(C1710),"")</x:f>
      </x:c>
      <x:c r="E1710" s="16" t="str">
        <x:f>IF(ISNUMBER(C1710),C1710^2,"")</x:f>
      </x:c>
      <x:c r="F1710" s="16" t="str">
        <x:f>IF(AND(ISNUMBER(C1710),ISNUMBER($J$6),$J$6&gt;0),(C1710-$J$5)/$J$6,"")</x:f>
      </x:c>
      <x:c r="G1710" s="1" t="str">
        <x:f>IF(ISNUMBER(F1710),IF(ABS(F1710)&gt;3,1,0),"")</x:f>
      </x:c>
      <x:c r="H1710" s="1" t="str">
        <x:f>IF(ISNUMBER(F1710),F1710^4,"")</x:f>
      </x:c>
      <x:c r="I1710" s="1"/>
      <x:c r="J1710" s="1"/>
      <x:c r="K1710" s="1"/>
      <x:c r="L1710" s="1"/>
      <x:c r="M1710" s="1"/>
      <x:c r="N1710" s="1"/>
    </x:row>
    <x:row r="1711" ht="22" customHeight="1">
      <x:c r="A1711" s="14"/>
      <x:c r="B1711" s="15"/>
      <x:c r="C1711" s="16" t="str">
        <x:f>IF(AND(ISNUMBER(B1711),ISNUMBER(B1710),B1711&gt;0,B1710&gt;0),LN(B1711/B1710),"")</x:f>
      </x:c>
      <x:c r="D1711" s="16" t="str">
        <x:f>IF(ISNUMBER(C1711),ABS(C1711),"")</x:f>
      </x:c>
      <x:c r="E1711" s="16" t="str">
        <x:f>IF(ISNUMBER(C1711),C1711^2,"")</x:f>
      </x:c>
      <x:c r="F1711" s="16" t="str">
        <x:f>IF(AND(ISNUMBER(C1711),ISNUMBER($J$6),$J$6&gt;0),(C1711-$J$5)/$J$6,"")</x:f>
      </x:c>
      <x:c r="G1711" s="1" t="str">
        <x:f>IF(ISNUMBER(F1711),IF(ABS(F1711)&gt;3,1,0),"")</x:f>
      </x:c>
      <x:c r="H1711" s="1" t="str">
        <x:f>IF(ISNUMBER(F1711),F1711^4,"")</x:f>
      </x:c>
      <x:c r="I1711" s="1"/>
      <x:c r="J1711" s="1"/>
      <x:c r="K1711" s="1"/>
      <x:c r="L1711" s="1"/>
      <x:c r="M1711" s="1"/>
      <x:c r="N1711" s="1"/>
    </x:row>
    <x:row r="1712" ht="22" customHeight="1">
      <x:c r="A1712" s="14"/>
      <x:c r="B1712" s="15"/>
      <x:c r="C1712" s="16" t="str">
        <x:f>IF(AND(ISNUMBER(B1712),ISNUMBER(B1711),B1712&gt;0,B1711&gt;0),LN(B1712/B1711),"")</x:f>
      </x:c>
      <x:c r="D1712" s="16" t="str">
        <x:f>IF(ISNUMBER(C1712),ABS(C1712),"")</x:f>
      </x:c>
      <x:c r="E1712" s="16" t="str">
        <x:f>IF(ISNUMBER(C1712),C1712^2,"")</x:f>
      </x:c>
      <x:c r="F1712" s="16" t="str">
        <x:f>IF(AND(ISNUMBER(C1712),ISNUMBER($J$6),$J$6&gt;0),(C1712-$J$5)/$J$6,"")</x:f>
      </x:c>
      <x:c r="G1712" s="1" t="str">
        <x:f>IF(ISNUMBER(F1712),IF(ABS(F1712)&gt;3,1,0),"")</x:f>
      </x:c>
      <x:c r="H1712" s="1" t="str">
        <x:f>IF(ISNUMBER(F1712),F1712^4,"")</x:f>
      </x:c>
      <x:c r="I1712" s="1"/>
      <x:c r="J1712" s="1"/>
      <x:c r="K1712" s="1"/>
      <x:c r="L1712" s="1"/>
      <x:c r="M1712" s="1"/>
      <x:c r="N1712" s="1"/>
    </x:row>
    <x:row r="1713" ht="22" customHeight="1">
      <x:c r="A1713" s="14"/>
      <x:c r="B1713" s="15"/>
      <x:c r="C1713" s="16" t="str">
        <x:f>IF(AND(ISNUMBER(B1713),ISNUMBER(B1712),B1713&gt;0,B1712&gt;0),LN(B1713/B1712),"")</x:f>
      </x:c>
      <x:c r="D1713" s="16" t="str">
        <x:f>IF(ISNUMBER(C1713),ABS(C1713),"")</x:f>
      </x:c>
      <x:c r="E1713" s="16" t="str">
        <x:f>IF(ISNUMBER(C1713),C1713^2,"")</x:f>
      </x:c>
      <x:c r="F1713" s="16" t="str">
        <x:f>IF(AND(ISNUMBER(C1713),ISNUMBER($J$6),$J$6&gt;0),(C1713-$J$5)/$J$6,"")</x:f>
      </x:c>
      <x:c r="G1713" s="1" t="str">
        <x:f>IF(ISNUMBER(F1713),IF(ABS(F1713)&gt;3,1,0),"")</x:f>
      </x:c>
      <x:c r="H1713" s="1" t="str">
        <x:f>IF(ISNUMBER(F1713),F1713^4,"")</x:f>
      </x:c>
      <x:c r="I1713" s="1"/>
      <x:c r="J1713" s="1"/>
      <x:c r="K1713" s="1"/>
      <x:c r="L1713" s="1"/>
      <x:c r="M1713" s="1"/>
      <x:c r="N1713" s="1"/>
    </x:row>
    <x:row r="1714" ht="22" customHeight="1">
      <x:c r="A1714" s="14"/>
      <x:c r="B1714" s="15"/>
      <x:c r="C1714" s="16" t="str">
        <x:f>IF(AND(ISNUMBER(B1714),ISNUMBER(B1713),B1714&gt;0,B1713&gt;0),LN(B1714/B1713),"")</x:f>
      </x:c>
      <x:c r="D1714" s="16" t="str">
        <x:f>IF(ISNUMBER(C1714),ABS(C1714),"")</x:f>
      </x:c>
      <x:c r="E1714" s="16" t="str">
        <x:f>IF(ISNUMBER(C1714),C1714^2,"")</x:f>
      </x:c>
      <x:c r="F1714" s="16" t="str">
        <x:f>IF(AND(ISNUMBER(C1714),ISNUMBER($J$6),$J$6&gt;0),(C1714-$J$5)/$J$6,"")</x:f>
      </x:c>
      <x:c r="G1714" s="1" t="str">
        <x:f>IF(ISNUMBER(F1714),IF(ABS(F1714)&gt;3,1,0),"")</x:f>
      </x:c>
      <x:c r="H1714" s="1" t="str">
        <x:f>IF(ISNUMBER(F1714),F1714^4,"")</x:f>
      </x:c>
      <x:c r="I1714" s="1"/>
      <x:c r="J1714" s="1"/>
      <x:c r="K1714" s="1"/>
      <x:c r="L1714" s="1"/>
      <x:c r="M1714" s="1"/>
      <x:c r="N1714" s="1"/>
    </x:row>
    <x:row r="1715" ht="22" customHeight="1">
      <x:c r="A1715" s="14"/>
      <x:c r="B1715" s="15"/>
      <x:c r="C1715" s="16" t="str">
        <x:f>IF(AND(ISNUMBER(B1715),ISNUMBER(B1714),B1715&gt;0,B1714&gt;0),LN(B1715/B1714),"")</x:f>
      </x:c>
      <x:c r="D1715" s="16" t="str">
        <x:f>IF(ISNUMBER(C1715),ABS(C1715),"")</x:f>
      </x:c>
      <x:c r="E1715" s="16" t="str">
        <x:f>IF(ISNUMBER(C1715),C1715^2,"")</x:f>
      </x:c>
      <x:c r="F1715" s="16" t="str">
        <x:f>IF(AND(ISNUMBER(C1715),ISNUMBER($J$6),$J$6&gt;0),(C1715-$J$5)/$J$6,"")</x:f>
      </x:c>
      <x:c r="G1715" s="1" t="str">
        <x:f>IF(ISNUMBER(F1715),IF(ABS(F1715)&gt;3,1,0),"")</x:f>
      </x:c>
      <x:c r="H1715" s="1" t="str">
        <x:f>IF(ISNUMBER(F1715),F1715^4,"")</x:f>
      </x:c>
      <x:c r="I1715" s="1"/>
      <x:c r="J1715" s="1"/>
      <x:c r="K1715" s="1"/>
      <x:c r="L1715" s="1"/>
      <x:c r="M1715" s="1"/>
      <x:c r="N1715" s="1"/>
    </x:row>
    <x:row r="1716" ht="22" customHeight="1">
      <x:c r="A1716" s="14"/>
      <x:c r="B1716" s="15"/>
      <x:c r="C1716" s="16" t="str">
        <x:f>IF(AND(ISNUMBER(B1716),ISNUMBER(B1715),B1716&gt;0,B1715&gt;0),LN(B1716/B1715),"")</x:f>
      </x:c>
      <x:c r="D1716" s="16" t="str">
        <x:f>IF(ISNUMBER(C1716),ABS(C1716),"")</x:f>
      </x:c>
      <x:c r="E1716" s="16" t="str">
        <x:f>IF(ISNUMBER(C1716),C1716^2,"")</x:f>
      </x:c>
      <x:c r="F1716" s="16" t="str">
        <x:f>IF(AND(ISNUMBER(C1716),ISNUMBER($J$6),$J$6&gt;0),(C1716-$J$5)/$J$6,"")</x:f>
      </x:c>
      <x:c r="G1716" s="1" t="str">
        <x:f>IF(ISNUMBER(F1716),IF(ABS(F1716)&gt;3,1,0),"")</x:f>
      </x:c>
      <x:c r="H1716" s="1" t="str">
        <x:f>IF(ISNUMBER(F1716),F1716^4,"")</x:f>
      </x:c>
      <x:c r="I1716" s="1"/>
      <x:c r="J1716" s="1"/>
      <x:c r="K1716" s="1"/>
      <x:c r="L1716" s="1"/>
      <x:c r="M1716" s="1"/>
      <x:c r="N1716" s="1"/>
    </x:row>
    <x:row r="1717" ht="22" customHeight="1">
      <x:c r="A1717" s="14"/>
      <x:c r="B1717" s="15"/>
      <x:c r="C1717" s="16" t="str">
        <x:f>IF(AND(ISNUMBER(B1717),ISNUMBER(B1716),B1717&gt;0,B1716&gt;0),LN(B1717/B1716),"")</x:f>
      </x:c>
      <x:c r="D1717" s="16" t="str">
        <x:f>IF(ISNUMBER(C1717),ABS(C1717),"")</x:f>
      </x:c>
      <x:c r="E1717" s="16" t="str">
        <x:f>IF(ISNUMBER(C1717),C1717^2,"")</x:f>
      </x:c>
      <x:c r="F1717" s="16" t="str">
        <x:f>IF(AND(ISNUMBER(C1717),ISNUMBER($J$6),$J$6&gt;0),(C1717-$J$5)/$J$6,"")</x:f>
      </x:c>
      <x:c r="G1717" s="1" t="str">
        <x:f>IF(ISNUMBER(F1717),IF(ABS(F1717)&gt;3,1,0),"")</x:f>
      </x:c>
      <x:c r="H1717" s="1" t="str">
        <x:f>IF(ISNUMBER(F1717),F1717^4,"")</x:f>
      </x:c>
      <x:c r="I1717" s="1"/>
      <x:c r="J1717" s="1"/>
      <x:c r="K1717" s="1"/>
      <x:c r="L1717" s="1"/>
      <x:c r="M1717" s="1"/>
      <x:c r="N1717" s="1"/>
    </x:row>
    <x:row r="1718" ht="22" customHeight="1">
      <x:c r="A1718" s="14"/>
      <x:c r="B1718" s="15"/>
      <x:c r="C1718" s="16" t="str">
        <x:f>IF(AND(ISNUMBER(B1718),ISNUMBER(B1717),B1718&gt;0,B1717&gt;0),LN(B1718/B1717),"")</x:f>
      </x:c>
      <x:c r="D1718" s="16" t="str">
        <x:f>IF(ISNUMBER(C1718),ABS(C1718),"")</x:f>
      </x:c>
      <x:c r="E1718" s="16" t="str">
        <x:f>IF(ISNUMBER(C1718),C1718^2,"")</x:f>
      </x:c>
      <x:c r="F1718" s="16" t="str">
        <x:f>IF(AND(ISNUMBER(C1718),ISNUMBER($J$6),$J$6&gt;0),(C1718-$J$5)/$J$6,"")</x:f>
      </x:c>
      <x:c r="G1718" s="1" t="str">
        <x:f>IF(ISNUMBER(F1718),IF(ABS(F1718)&gt;3,1,0),"")</x:f>
      </x:c>
      <x:c r="H1718" s="1" t="str">
        <x:f>IF(ISNUMBER(F1718),F1718^4,"")</x:f>
      </x:c>
      <x:c r="I1718" s="1"/>
      <x:c r="J1718" s="1"/>
      <x:c r="K1718" s="1"/>
      <x:c r="L1718" s="1"/>
      <x:c r="M1718" s="1"/>
      <x:c r="N1718" s="1"/>
    </x:row>
    <x:row r="1719" ht="22" customHeight="1">
      <x:c r="A1719" s="14"/>
      <x:c r="B1719" s="15"/>
      <x:c r="C1719" s="16" t="str">
        <x:f>IF(AND(ISNUMBER(B1719),ISNUMBER(B1718),B1719&gt;0,B1718&gt;0),LN(B1719/B1718),"")</x:f>
      </x:c>
      <x:c r="D1719" s="16" t="str">
        <x:f>IF(ISNUMBER(C1719),ABS(C1719),"")</x:f>
      </x:c>
      <x:c r="E1719" s="16" t="str">
        <x:f>IF(ISNUMBER(C1719),C1719^2,"")</x:f>
      </x:c>
      <x:c r="F1719" s="16" t="str">
        <x:f>IF(AND(ISNUMBER(C1719),ISNUMBER($J$6),$J$6&gt;0),(C1719-$J$5)/$J$6,"")</x:f>
      </x:c>
      <x:c r="G1719" s="1" t="str">
        <x:f>IF(ISNUMBER(F1719),IF(ABS(F1719)&gt;3,1,0),"")</x:f>
      </x:c>
      <x:c r="H1719" s="1" t="str">
        <x:f>IF(ISNUMBER(F1719),F1719^4,"")</x:f>
      </x:c>
      <x:c r="I1719" s="1"/>
      <x:c r="J1719" s="1"/>
      <x:c r="K1719" s="1"/>
      <x:c r="L1719" s="1"/>
      <x:c r="M1719" s="1"/>
      <x:c r="N1719" s="1"/>
    </x:row>
    <x:row r="1720" ht="22" customHeight="1">
      <x:c r="A1720" s="14"/>
      <x:c r="B1720" s="15"/>
      <x:c r="C1720" s="16" t="str">
        <x:f>IF(AND(ISNUMBER(B1720),ISNUMBER(B1719),B1720&gt;0,B1719&gt;0),LN(B1720/B1719),"")</x:f>
      </x:c>
      <x:c r="D1720" s="16" t="str">
        <x:f>IF(ISNUMBER(C1720),ABS(C1720),"")</x:f>
      </x:c>
      <x:c r="E1720" s="16" t="str">
        <x:f>IF(ISNUMBER(C1720),C1720^2,"")</x:f>
      </x:c>
      <x:c r="F1720" s="16" t="str">
        <x:f>IF(AND(ISNUMBER(C1720),ISNUMBER($J$6),$J$6&gt;0),(C1720-$J$5)/$J$6,"")</x:f>
      </x:c>
      <x:c r="G1720" s="1" t="str">
        <x:f>IF(ISNUMBER(F1720),IF(ABS(F1720)&gt;3,1,0),"")</x:f>
      </x:c>
      <x:c r="H1720" s="1" t="str">
        <x:f>IF(ISNUMBER(F1720),F1720^4,"")</x:f>
      </x:c>
      <x:c r="I1720" s="1"/>
      <x:c r="J1720" s="1"/>
      <x:c r="K1720" s="1"/>
      <x:c r="L1720" s="1"/>
      <x:c r="M1720" s="1"/>
      <x:c r="N1720" s="1"/>
    </x:row>
    <x:row r="1721" ht="22" customHeight="1">
      <x:c r="A1721" s="14"/>
      <x:c r="B1721" s="15"/>
      <x:c r="C1721" s="16" t="str">
        <x:f>IF(AND(ISNUMBER(B1721),ISNUMBER(B1720),B1721&gt;0,B1720&gt;0),LN(B1721/B1720),"")</x:f>
      </x:c>
      <x:c r="D1721" s="16" t="str">
        <x:f>IF(ISNUMBER(C1721),ABS(C1721),"")</x:f>
      </x:c>
      <x:c r="E1721" s="16" t="str">
        <x:f>IF(ISNUMBER(C1721),C1721^2,"")</x:f>
      </x:c>
      <x:c r="F1721" s="16" t="str">
        <x:f>IF(AND(ISNUMBER(C1721),ISNUMBER($J$6),$J$6&gt;0),(C1721-$J$5)/$J$6,"")</x:f>
      </x:c>
      <x:c r="G1721" s="1" t="str">
        <x:f>IF(ISNUMBER(F1721),IF(ABS(F1721)&gt;3,1,0),"")</x:f>
      </x:c>
      <x:c r="H1721" s="1" t="str">
        <x:f>IF(ISNUMBER(F1721),F1721^4,"")</x:f>
      </x:c>
      <x:c r="I1721" s="1"/>
      <x:c r="J1721" s="1"/>
      <x:c r="K1721" s="1"/>
      <x:c r="L1721" s="1"/>
      <x:c r="M1721" s="1"/>
      <x:c r="N1721" s="1"/>
    </x:row>
    <x:row r="1722" ht="22" customHeight="1">
      <x:c r="A1722" s="14"/>
      <x:c r="B1722" s="15"/>
      <x:c r="C1722" s="16" t="str">
        <x:f>IF(AND(ISNUMBER(B1722),ISNUMBER(B1721),B1722&gt;0,B1721&gt;0),LN(B1722/B1721),"")</x:f>
      </x:c>
      <x:c r="D1722" s="16" t="str">
        <x:f>IF(ISNUMBER(C1722),ABS(C1722),"")</x:f>
      </x:c>
      <x:c r="E1722" s="16" t="str">
        <x:f>IF(ISNUMBER(C1722),C1722^2,"")</x:f>
      </x:c>
      <x:c r="F1722" s="16" t="str">
        <x:f>IF(AND(ISNUMBER(C1722),ISNUMBER($J$6),$J$6&gt;0),(C1722-$J$5)/$J$6,"")</x:f>
      </x:c>
      <x:c r="G1722" s="1" t="str">
        <x:f>IF(ISNUMBER(F1722),IF(ABS(F1722)&gt;3,1,0),"")</x:f>
      </x:c>
      <x:c r="H1722" s="1" t="str">
        <x:f>IF(ISNUMBER(F1722),F1722^4,"")</x:f>
      </x:c>
      <x:c r="I1722" s="1"/>
      <x:c r="J1722" s="1"/>
      <x:c r="K1722" s="1"/>
      <x:c r="L1722" s="1"/>
      <x:c r="M1722" s="1"/>
      <x:c r="N1722" s="1"/>
    </x:row>
    <x:row r="1723" ht="22" customHeight="1">
      <x:c r="A1723" s="14"/>
      <x:c r="B1723" s="15"/>
      <x:c r="C1723" s="16" t="str">
        <x:f>IF(AND(ISNUMBER(B1723),ISNUMBER(B1722),B1723&gt;0,B1722&gt;0),LN(B1723/B1722),"")</x:f>
      </x:c>
      <x:c r="D1723" s="16" t="str">
        <x:f>IF(ISNUMBER(C1723),ABS(C1723),"")</x:f>
      </x:c>
      <x:c r="E1723" s="16" t="str">
        <x:f>IF(ISNUMBER(C1723),C1723^2,"")</x:f>
      </x:c>
      <x:c r="F1723" s="16" t="str">
        <x:f>IF(AND(ISNUMBER(C1723),ISNUMBER($J$6),$J$6&gt;0),(C1723-$J$5)/$J$6,"")</x:f>
      </x:c>
      <x:c r="G1723" s="1" t="str">
        <x:f>IF(ISNUMBER(F1723),IF(ABS(F1723)&gt;3,1,0),"")</x:f>
      </x:c>
      <x:c r="H1723" s="1" t="str">
        <x:f>IF(ISNUMBER(F1723),F1723^4,"")</x:f>
      </x:c>
      <x:c r="I1723" s="1"/>
      <x:c r="J1723" s="1"/>
      <x:c r="K1723" s="1"/>
      <x:c r="L1723" s="1"/>
      <x:c r="M1723" s="1"/>
      <x:c r="N1723" s="1"/>
    </x:row>
    <x:row r="1724" ht="22" customHeight="1">
      <x:c r="A1724" s="14"/>
      <x:c r="B1724" s="15"/>
      <x:c r="C1724" s="16" t="str">
        <x:f>IF(AND(ISNUMBER(B1724),ISNUMBER(B1723),B1724&gt;0,B1723&gt;0),LN(B1724/B1723),"")</x:f>
      </x:c>
      <x:c r="D1724" s="16" t="str">
        <x:f>IF(ISNUMBER(C1724),ABS(C1724),"")</x:f>
      </x:c>
      <x:c r="E1724" s="16" t="str">
        <x:f>IF(ISNUMBER(C1724),C1724^2,"")</x:f>
      </x:c>
      <x:c r="F1724" s="16" t="str">
        <x:f>IF(AND(ISNUMBER(C1724),ISNUMBER($J$6),$J$6&gt;0),(C1724-$J$5)/$J$6,"")</x:f>
      </x:c>
      <x:c r="G1724" s="1" t="str">
        <x:f>IF(ISNUMBER(F1724),IF(ABS(F1724)&gt;3,1,0),"")</x:f>
      </x:c>
      <x:c r="H1724" s="1" t="str">
        <x:f>IF(ISNUMBER(F1724),F1724^4,"")</x:f>
      </x:c>
      <x:c r="I1724" s="1"/>
      <x:c r="J1724" s="1"/>
      <x:c r="K1724" s="1"/>
      <x:c r="L1724" s="1"/>
      <x:c r="M1724" s="1"/>
      <x:c r="N1724" s="1"/>
    </x:row>
    <x:row r="1725" ht="22" customHeight="1">
      <x:c r="A1725" s="14"/>
      <x:c r="B1725" s="15"/>
      <x:c r="C1725" s="16" t="str">
        <x:f>IF(AND(ISNUMBER(B1725),ISNUMBER(B1724),B1725&gt;0,B1724&gt;0),LN(B1725/B1724),"")</x:f>
      </x:c>
      <x:c r="D1725" s="16" t="str">
        <x:f>IF(ISNUMBER(C1725),ABS(C1725),"")</x:f>
      </x:c>
      <x:c r="E1725" s="16" t="str">
        <x:f>IF(ISNUMBER(C1725),C1725^2,"")</x:f>
      </x:c>
      <x:c r="F1725" s="16" t="str">
        <x:f>IF(AND(ISNUMBER(C1725),ISNUMBER($J$6),$J$6&gt;0),(C1725-$J$5)/$J$6,"")</x:f>
      </x:c>
      <x:c r="G1725" s="1" t="str">
        <x:f>IF(ISNUMBER(F1725),IF(ABS(F1725)&gt;3,1,0),"")</x:f>
      </x:c>
      <x:c r="H1725" s="1" t="str">
        <x:f>IF(ISNUMBER(F1725),F1725^4,"")</x:f>
      </x:c>
      <x:c r="I1725" s="1"/>
      <x:c r="J1725" s="1"/>
      <x:c r="K1725" s="1"/>
      <x:c r="L1725" s="1"/>
      <x:c r="M1725" s="1"/>
      <x:c r="N1725" s="1"/>
    </x:row>
    <x:row r="1726" ht="22" customHeight="1">
      <x:c r="A1726" s="14"/>
      <x:c r="B1726" s="15"/>
      <x:c r="C1726" s="16" t="str">
        <x:f>IF(AND(ISNUMBER(B1726),ISNUMBER(B1725),B1726&gt;0,B1725&gt;0),LN(B1726/B1725),"")</x:f>
      </x:c>
      <x:c r="D1726" s="16" t="str">
        <x:f>IF(ISNUMBER(C1726),ABS(C1726),"")</x:f>
      </x:c>
      <x:c r="E1726" s="16" t="str">
        <x:f>IF(ISNUMBER(C1726),C1726^2,"")</x:f>
      </x:c>
      <x:c r="F1726" s="16" t="str">
        <x:f>IF(AND(ISNUMBER(C1726),ISNUMBER($J$6),$J$6&gt;0),(C1726-$J$5)/$J$6,"")</x:f>
      </x:c>
      <x:c r="G1726" s="1" t="str">
        <x:f>IF(ISNUMBER(F1726),IF(ABS(F1726)&gt;3,1,0),"")</x:f>
      </x:c>
      <x:c r="H1726" s="1" t="str">
        <x:f>IF(ISNUMBER(F1726),F1726^4,"")</x:f>
      </x:c>
      <x:c r="I1726" s="1"/>
      <x:c r="J1726" s="1"/>
      <x:c r="K1726" s="1"/>
      <x:c r="L1726" s="1"/>
      <x:c r="M1726" s="1"/>
      <x:c r="N1726" s="1"/>
    </x:row>
    <x:row r="1727" ht="22" customHeight="1">
      <x:c r="A1727" s="14"/>
      <x:c r="B1727" s="15"/>
      <x:c r="C1727" s="16" t="str">
        <x:f>IF(AND(ISNUMBER(B1727),ISNUMBER(B1726),B1727&gt;0,B1726&gt;0),LN(B1727/B1726),"")</x:f>
      </x:c>
      <x:c r="D1727" s="16" t="str">
        <x:f>IF(ISNUMBER(C1727),ABS(C1727),"")</x:f>
      </x:c>
      <x:c r="E1727" s="16" t="str">
        <x:f>IF(ISNUMBER(C1727),C1727^2,"")</x:f>
      </x:c>
      <x:c r="F1727" s="16" t="str">
        <x:f>IF(AND(ISNUMBER(C1727),ISNUMBER($J$6),$J$6&gt;0),(C1727-$J$5)/$J$6,"")</x:f>
      </x:c>
      <x:c r="G1727" s="1" t="str">
        <x:f>IF(ISNUMBER(F1727),IF(ABS(F1727)&gt;3,1,0),"")</x:f>
      </x:c>
      <x:c r="H1727" s="1" t="str">
        <x:f>IF(ISNUMBER(F1727),F1727^4,"")</x:f>
      </x:c>
      <x:c r="I1727" s="1"/>
      <x:c r="J1727" s="1"/>
      <x:c r="K1727" s="1"/>
      <x:c r="L1727" s="1"/>
      <x:c r="M1727" s="1"/>
      <x:c r="N1727" s="1"/>
    </x:row>
    <x:row r="1728" ht="22" customHeight="1">
      <x:c r="A1728" s="14"/>
      <x:c r="B1728" s="15"/>
      <x:c r="C1728" s="16" t="str">
        <x:f>IF(AND(ISNUMBER(B1728),ISNUMBER(B1727),B1728&gt;0,B1727&gt;0),LN(B1728/B1727),"")</x:f>
      </x:c>
      <x:c r="D1728" s="16" t="str">
        <x:f>IF(ISNUMBER(C1728),ABS(C1728),"")</x:f>
      </x:c>
      <x:c r="E1728" s="16" t="str">
        <x:f>IF(ISNUMBER(C1728),C1728^2,"")</x:f>
      </x:c>
      <x:c r="F1728" s="16" t="str">
        <x:f>IF(AND(ISNUMBER(C1728),ISNUMBER($J$6),$J$6&gt;0),(C1728-$J$5)/$J$6,"")</x:f>
      </x:c>
      <x:c r="G1728" s="1" t="str">
        <x:f>IF(ISNUMBER(F1728),IF(ABS(F1728)&gt;3,1,0),"")</x:f>
      </x:c>
      <x:c r="H1728" s="1" t="str">
        <x:f>IF(ISNUMBER(F1728),F1728^4,"")</x:f>
      </x:c>
      <x:c r="I1728" s="1"/>
      <x:c r="J1728" s="1"/>
      <x:c r="K1728" s="1"/>
      <x:c r="L1728" s="1"/>
      <x:c r="M1728" s="1"/>
      <x:c r="N1728" s="1"/>
    </x:row>
    <x:row r="1729" ht="22" customHeight="1">
      <x:c r="A1729" s="14"/>
      <x:c r="B1729" s="15"/>
      <x:c r="C1729" s="16" t="str">
        <x:f>IF(AND(ISNUMBER(B1729),ISNUMBER(B1728),B1729&gt;0,B1728&gt;0),LN(B1729/B1728),"")</x:f>
      </x:c>
      <x:c r="D1729" s="16" t="str">
        <x:f>IF(ISNUMBER(C1729),ABS(C1729),"")</x:f>
      </x:c>
      <x:c r="E1729" s="16" t="str">
        <x:f>IF(ISNUMBER(C1729),C1729^2,"")</x:f>
      </x:c>
      <x:c r="F1729" s="16" t="str">
        <x:f>IF(AND(ISNUMBER(C1729),ISNUMBER($J$6),$J$6&gt;0),(C1729-$J$5)/$J$6,"")</x:f>
      </x:c>
      <x:c r="G1729" s="1" t="str">
        <x:f>IF(ISNUMBER(F1729),IF(ABS(F1729)&gt;3,1,0),"")</x:f>
      </x:c>
      <x:c r="H1729" s="1" t="str">
        <x:f>IF(ISNUMBER(F1729),F1729^4,"")</x:f>
      </x:c>
      <x:c r="I1729" s="1"/>
      <x:c r="J1729" s="1"/>
      <x:c r="K1729" s="1"/>
      <x:c r="L1729" s="1"/>
      <x:c r="M1729" s="1"/>
      <x:c r="N1729" s="1"/>
    </x:row>
    <x:row r="1730" ht="22" customHeight="1">
      <x:c r="A1730" s="14"/>
      <x:c r="B1730" s="15"/>
      <x:c r="C1730" s="16" t="str">
        <x:f>IF(AND(ISNUMBER(B1730),ISNUMBER(B1729),B1730&gt;0,B1729&gt;0),LN(B1730/B1729),"")</x:f>
      </x:c>
      <x:c r="D1730" s="16" t="str">
        <x:f>IF(ISNUMBER(C1730),ABS(C1730),"")</x:f>
      </x:c>
      <x:c r="E1730" s="16" t="str">
        <x:f>IF(ISNUMBER(C1730),C1730^2,"")</x:f>
      </x:c>
      <x:c r="F1730" s="16" t="str">
        <x:f>IF(AND(ISNUMBER(C1730),ISNUMBER($J$6),$J$6&gt;0),(C1730-$J$5)/$J$6,"")</x:f>
      </x:c>
      <x:c r="G1730" s="1" t="str">
        <x:f>IF(ISNUMBER(F1730),IF(ABS(F1730)&gt;3,1,0),"")</x:f>
      </x:c>
      <x:c r="H1730" s="1" t="str">
        <x:f>IF(ISNUMBER(F1730),F1730^4,"")</x:f>
      </x:c>
      <x:c r="I1730" s="1"/>
      <x:c r="J1730" s="1"/>
      <x:c r="K1730" s="1"/>
      <x:c r="L1730" s="1"/>
      <x:c r="M1730" s="1"/>
      <x:c r="N1730" s="1"/>
    </x:row>
    <x:row r="1731" ht="22" customHeight="1">
      <x:c r="A1731" s="14"/>
      <x:c r="B1731" s="15"/>
      <x:c r="C1731" s="16" t="str">
        <x:f>IF(AND(ISNUMBER(B1731),ISNUMBER(B1730),B1731&gt;0,B1730&gt;0),LN(B1731/B1730),"")</x:f>
      </x:c>
      <x:c r="D1731" s="16" t="str">
        <x:f>IF(ISNUMBER(C1731),ABS(C1731),"")</x:f>
      </x:c>
      <x:c r="E1731" s="16" t="str">
        <x:f>IF(ISNUMBER(C1731),C1731^2,"")</x:f>
      </x:c>
      <x:c r="F1731" s="16" t="str">
        <x:f>IF(AND(ISNUMBER(C1731),ISNUMBER($J$6),$J$6&gt;0),(C1731-$J$5)/$J$6,"")</x:f>
      </x:c>
      <x:c r="G1731" s="1" t="str">
        <x:f>IF(ISNUMBER(F1731),IF(ABS(F1731)&gt;3,1,0),"")</x:f>
      </x:c>
      <x:c r="H1731" s="1" t="str">
        <x:f>IF(ISNUMBER(F1731),F1731^4,"")</x:f>
      </x:c>
      <x:c r="I1731" s="1"/>
      <x:c r="J1731" s="1"/>
      <x:c r="K1731" s="1"/>
      <x:c r="L1731" s="1"/>
      <x:c r="M1731" s="1"/>
      <x:c r="N1731" s="1"/>
    </x:row>
    <x:row r="1732" ht="22" customHeight="1">
      <x:c r="A1732" s="14"/>
      <x:c r="B1732" s="15"/>
      <x:c r="C1732" s="16" t="str">
        <x:f>IF(AND(ISNUMBER(B1732),ISNUMBER(B1731),B1732&gt;0,B1731&gt;0),LN(B1732/B1731),"")</x:f>
      </x:c>
      <x:c r="D1732" s="16" t="str">
        <x:f>IF(ISNUMBER(C1732),ABS(C1732),"")</x:f>
      </x:c>
      <x:c r="E1732" s="16" t="str">
        <x:f>IF(ISNUMBER(C1732),C1732^2,"")</x:f>
      </x:c>
      <x:c r="F1732" s="16" t="str">
        <x:f>IF(AND(ISNUMBER(C1732),ISNUMBER($J$6),$J$6&gt;0),(C1732-$J$5)/$J$6,"")</x:f>
      </x:c>
      <x:c r="G1732" s="1" t="str">
        <x:f>IF(ISNUMBER(F1732),IF(ABS(F1732)&gt;3,1,0),"")</x:f>
      </x:c>
      <x:c r="H1732" s="1" t="str">
        <x:f>IF(ISNUMBER(F1732),F1732^4,"")</x:f>
      </x:c>
      <x:c r="I1732" s="1"/>
      <x:c r="J1732" s="1"/>
      <x:c r="K1732" s="1"/>
      <x:c r="L1732" s="1"/>
      <x:c r="M1732" s="1"/>
      <x:c r="N1732" s="1"/>
    </x:row>
    <x:row r="1733" ht="22" customHeight="1">
      <x:c r="A1733" s="14"/>
      <x:c r="B1733" s="15"/>
      <x:c r="C1733" s="16" t="str">
        <x:f>IF(AND(ISNUMBER(B1733),ISNUMBER(B1732),B1733&gt;0,B1732&gt;0),LN(B1733/B1732),"")</x:f>
      </x:c>
      <x:c r="D1733" s="16" t="str">
        <x:f>IF(ISNUMBER(C1733),ABS(C1733),"")</x:f>
      </x:c>
      <x:c r="E1733" s="16" t="str">
        <x:f>IF(ISNUMBER(C1733),C1733^2,"")</x:f>
      </x:c>
      <x:c r="F1733" s="16" t="str">
        <x:f>IF(AND(ISNUMBER(C1733),ISNUMBER($J$6),$J$6&gt;0),(C1733-$J$5)/$J$6,"")</x:f>
      </x:c>
      <x:c r="G1733" s="1" t="str">
        <x:f>IF(ISNUMBER(F1733),IF(ABS(F1733)&gt;3,1,0),"")</x:f>
      </x:c>
      <x:c r="H1733" s="1" t="str">
        <x:f>IF(ISNUMBER(F1733),F1733^4,"")</x:f>
      </x:c>
      <x:c r="I1733" s="1"/>
      <x:c r="J1733" s="1"/>
      <x:c r="K1733" s="1"/>
      <x:c r="L1733" s="1"/>
      <x:c r="M1733" s="1"/>
      <x:c r="N1733" s="1"/>
    </x:row>
    <x:row r="1734" ht="22" customHeight="1">
      <x:c r="A1734" s="14"/>
      <x:c r="B1734" s="15"/>
      <x:c r="C1734" s="16" t="str">
        <x:f>IF(AND(ISNUMBER(B1734),ISNUMBER(B1733),B1734&gt;0,B1733&gt;0),LN(B1734/B1733),"")</x:f>
      </x:c>
      <x:c r="D1734" s="16" t="str">
        <x:f>IF(ISNUMBER(C1734),ABS(C1734),"")</x:f>
      </x:c>
      <x:c r="E1734" s="16" t="str">
        <x:f>IF(ISNUMBER(C1734),C1734^2,"")</x:f>
      </x:c>
      <x:c r="F1734" s="16" t="str">
        <x:f>IF(AND(ISNUMBER(C1734),ISNUMBER($J$6),$J$6&gt;0),(C1734-$J$5)/$J$6,"")</x:f>
      </x:c>
      <x:c r="G1734" s="1" t="str">
        <x:f>IF(ISNUMBER(F1734),IF(ABS(F1734)&gt;3,1,0),"")</x:f>
      </x:c>
      <x:c r="H1734" s="1" t="str">
        <x:f>IF(ISNUMBER(F1734),F1734^4,"")</x:f>
      </x:c>
      <x:c r="I1734" s="1"/>
      <x:c r="J1734" s="1"/>
      <x:c r="K1734" s="1"/>
      <x:c r="L1734" s="1"/>
      <x:c r="M1734" s="1"/>
      <x:c r="N1734" s="1"/>
    </x:row>
    <x:row r="1735" ht="22" customHeight="1">
      <x:c r="A1735" s="14"/>
      <x:c r="B1735" s="15"/>
      <x:c r="C1735" s="16" t="str">
        <x:f>IF(AND(ISNUMBER(B1735),ISNUMBER(B1734),B1735&gt;0,B1734&gt;0),LN(B1735/B1734),"")</x:f>
      </x:c>
      <x:c r="D1735" s="16" t="str">
        <x:f>IF(ISNUMBER(C1735),ABS(C1735),"")</x:f>
      </x:c>
      <x:c r="E1735" s="16" t="str">
        <x:f>IF(ISNUMBER(C1735),C1735^2,"")</x:f>
      </x:c>
      <x:c r="F1735" s="16" t="str">
        <x:f>IF(AND(ISNUMBER(C1735),ISNUMBER($J$6),$J$6&gt;0),(C1735-$J$5)/$J$6,"")</x:f>
      </x:c>
      <x:c r="G1735" s="1" t="str">
        <x:f>IF(ISNUMBER(F1735),IF(ABS(F1735)&gt;3,1,0),"")</x:f>
      </x:c>
      <x:c r="H1735" s="1" t="str">
        <x:f>IF(ISNUMBER(F1735),F1735^4,"")</x:f>
      </x:c>
      <x:c r="I1735" s="1"/>
      <x:c r="J1735" s="1"/>
      <x:c r="K1735" s="1"/>
      <x:c r="L1735" s="1"/>
      <x:c r="M1735" s="1"/>
      <x:c r="N1735" s="1"/>
    </x:row>
    <x:row r="1736" ht="22" customHeight="1">
      <x:c r="A1736" s="14"/>
      <x:c r="B1736" s="15"/>
      <x:c r="C1736" s="16" t="str">
        <x:f>IF(AND(ISNUMBER(B1736),ISNUMBER(B1735),B1736&gt;0,B1735&gt;0),LN(B1736/B1735),"")</x:f>
      </x:c>
      <x:c r="D1736" s="16" t="str">
        <x:f>IF(ISNUMBER(C1736),ABS(C1736),"")</x:f>
      </x:c>
      <x:c r="E1736" s="16" t="str">
        <x:f>IF(ISNUMBER(C1736),C1736^2,"")</x:f>
      </x:c>
      <x:c r="F1736" s="16" t="str">
        <x:f>IF(AND(ISNUMBER(C1736),ISNUMBER($J$6),$J$6&gt;0),(C1736-$J$5)/$J$6,"")</x:f>
      </x:c>
      <x:c r="G1736" s="1" t="str">
        <x:f>IF(ISNUMBER(F1736),IF(ABS(F1736)&gt;3,1,0),"")</x:f>
      </x:c>
      <x:c r="H1736" s="1" t="str">
        <x:f>IF(ISNUMBER(F1736),F1736^4,"")</x:f>
      </x:c>
      <x:c r="I1736" s="1"/>
      <x:c r="J1736" s="1"/>
      <x:c r="K1736" s="1"/>
      <x:c r="L1736" s="1"/>
      <x:c r="M1736" s="1"/>
      <x:c r="N1736" s="1"/>
    </x:row>
    <x:row r="1737" ht="22" customHeight="1">
      <x:c r="A1737" s="14"/>
      <x:c r="B1737" s="15"/>
      <x:c r="C1737" s="16" t="str">
        <x:f>IF(AND(ISNUMBER(B1737),ISNUMBER(B1736),B1737&gt;0,B1736&gt;0),LN(B1737/B1736),"")</x:f>
      </x:c>
      <x:c r="D1737" s="16" t="str">
        <x:f>IF(ISNUMBER(C1737),ABS(C1737),"")</x:f>
      </x:c>
      <x:c r="E1737" s="16" t="str">
        <x:f>IF(ISNUMBER(C1737),C1737^2,"")</x:f>
      </x:c>
      <x:c r="F1737" s="16" t="str">
        <x:f>IF(AND(ISNUMBER(C1737),ISNUMBER($J$6),$J$6&gt;0),(C1737-$J$5)/$J$6,"")</x:f>
      </x:c>
      <x:c r="G1737" s="1" t="str">
        <x:f>IF(ISNUMBER(F1737),IF(ABS(F1737)&gt;3,1,0),"")</x:f>
      </x:c>
      <x:c r="H1737" s="1" t="str">
        <x:f>IF(ISNUMBER(F1737),F1737^4,"")</x:f>
      </x:c>
      <x:c r="I1737" s="1"/>
      <x:c r="J1737" s="1"/>
      <x:c r="K1737" s="1"/>
      <x:c r="L1737" s="1"/>
      <x:c r="M1737" s="1"/>
      <x:c r="N1737" s="1"/>
    </x:row>
    <x:row r="1738" ht="22" customHeight="1">
      <x:c r="A1738" s="14"/>
      <x:c r="B1738" s="15"/>
      <x:c r="C1738" s="16" t="str">
        <x:f>IF(AND(ISNUMBER(B1738),ISNUMBER(B1737),B1738&gt;0,B1737&gt;0),LN(B1738/B1737),"")</x:f>
      </x:c>
      <x:c r="D1738" s="16" t="str">
        <x:f>IF(ISNUMBER(C1738),ABS(C1738),"")</x:f>
      </x:c>
      <x:c r="E1738" s="16" t="str">
        <x:f>IF(ISNUMBER(C1738),C1738^2,"")</x:f>
      </x:c>
      <x:c r="F1738" s="16" t="str">
        <x:f>IF(AND(ISNUMBER(C1738),ISNUMBER($J$6),$J$6&gt;0),(C1738-$J$5)/$J$6,"")</x:f>
      </x:c>
      <x:c r="G1738" s="1" t="str">
        <x:f>IF(ISNUMBER(F1738),IF(ABS(F1738)&gt;3,1,0),"")</x:f>
      </x:c>
      <x:c r="H1738" s="1" t="str">
        <x:f>IF(ISNUMBER(F1738),F1738^4,"")</x:f>
      </x:c>
      <x:c r="I1738" s="1"/>
      <x:c r="J1738" s="1"/>
      <x:c r="K1738" s="1"/>
      <x:c r="L1738" s="1"/>
      <x:c r="M1738" s="1"/>
      <x:c r="N1738" s="1"/>
    </x:row>
    <x:row r="1739" ht="22" customHeight="1">
      <x:c r="A1739" s="14"/>
      <x:c r="B1739" s="15"/>
      <x:c r="C1739" s="16" t="str">
        <x:f>IF(AND(ISNUMBER(B1739),ISNUMBER(B1738),B1739&gt;0,B1738&gt;0),LN(B1739/B1738),"")</x:f>
      </x:c>
      <x:c r="D1739" s="16" t="str">
        <x:f>IF(ISNUMBER(C1739),ABS(C1739),"")</x:f>
      </x:c>
      <x:c r="E1739" s="16" t="str">
        <x:f>IF(ISNUMBER(C1739),C1739^2,"")</x:f>
      </x:c>
      <x:c r="F1739" s="16" t="str">
        <x:f>IF(AND(ISNUMBER(C1739),ISNUMBER($J$6),$J$6&gt;0),(C1739-$J$5)/$J$6,"")</x:f>
      </x:c>
      <x:c r="G1739" s="1" t="str">
        <x:f>IF(ISNUMBER(F1739),IF(ABS(F1739)&gt;3,1,0),"")</x:f>
      </x:c>
      <x:c r="H1739" s="1" t="str">
        <x:f>IF(ISNUMBER(F1739),F1739^4,"")</x:f>
      </x:c>
      <x:c r="I1739" s="1"/>
      <x:c r="J1739" s="1"/>
      <x:c r="K1739" s="1"/>
      <x:c r="L1739" s="1"/>
      <x:c r="M1739" s="1"/>
      <x:c r="N1739" s="1"/>
    </x:row>
    <x:row r="1740" ht="22" customHeight="1">
      <x:c r="A1740" s="14"/>
      <x:c r="B1740" s="15"/>
      <x:c r="C1740" s="16" t="str">
        <x:f>IF(AND(ISNUMBER(B1740),ISNUMBER(B1739),B1740&gt;0,B1739&gt;0),LN(B1740/B1739),"")</x:f>
      </x:c>
      <x:c r="D1740" s="16" t="str">
        <x:f>IF(ISNUMBER(C1740),ABS(C1740),"")</x:f>
      </x:c>
      <x:c r="E1740" s="16" t="str">
        <x:f>IF(ISNUMBER(C1740),C1740^2,"")</x:f>
      </x:c>
      <x:c r="F1740" s="16" t="str">
        <x:f>IF(AND(ISNUMBER(C1740),ISNUMBER($J$6),$J$6&gt;0),(C1740-$J$5)/$J$6,"")</x:f>
      </x:c>
      <x:c r="G1740" s="1" t="str">
        <x:f>IF(ISNUMBER(F1740),IF(ABS(F1740)&gt;3,1,0),"")</x:f>
      </x:c>
      <x:c r="H1740" s="1" t="str">
        <x:f>IF(ISNUMBER(F1740),F1740^4,"")</x:f>
      </x:c>
      <x:c r="I1740" s="1"/>
      <x:c r="J1740" s="1"/>
      <x:c r="K1740" s="1"/>
      <x:c r="L1740" s="1"/>
      <x:c r="M1740" s="1"/>
      <x:c r="N1740" s="1"/>
    </x:row>
    <x:row r="1741" ht="22" customHeight="1">
      <x:c r="A1741" s="14"/>
      <x:c r="B1741" s="15"/>
      <x:c r="C1741" s="16" t="str">
        <x:f>IF(AND(ISNUMBER(B1741),ISNUMBER(B1740),B1741&gt;0,B1740&gt;0),LN(B1741/B1740),"")</x:f>
      </x:c>
      <x:c r="D1741" s="16" t="str">
        <x:f>IF(ISNUMBER(C1741),ABS(C1741),"")</x:f>
      </x:c>
      <x:c r="E1741" s="16" t="str">
        <x:f>IF(ISNUMBER(C1741),C1741^2,"")</x:f>
      </x:c>
      <x:c r="F1741" s="16" t="str">
        <x:f>IF(AND(ISNUMBER(C1741),ISNUMBER($J$6),$J$6&gt;0),(C1741-$J$5)/$J$6,"")</x:f>
      </x:c>
      <x:c r="G1741" s="1" t="str">
        <x:f>IF(ISNUMBER(F1741),IF(ABS(F1741)&gt;3,1,0),"")</x:f>
      </x:c>
      <x:c r="H1741" s="1" t="str">
        <x:f>IF(ISNUMBER(F1741),F1741^4,"")</x:f>
      </x:c>
      <x:c r="I1741" s="1"/>
      <x:c r="J1741" s="1"/>
      <x:c r="K1741" s="1"/>
      <x:c r="L1741" s="1"/>
      <x:c r="M1741" s="1"/>
      <x:c r="N1741" s="1"/>
    </x:row>
    <x:row r="1742" ht="22" customHeight="1">
      <x:c r="A1742" s="14"/>
      <x:c r="B1742" s="15"/>
      <x:c r="C1742" s="16" t="str">
        <x:f>IF(AND(ISNUMBER(B1742),ISNUMBER(B1741),B1742&gt;0,B1741&gt;0),LN(B1742/B1741),"")</x:f>
      </x:c>
      <x:c r="D1742" s="16" t="str">
        <x:f>IF(ISNUMBER(C1742),ABS(C1742),"")</x:f>
      </x:c>
      <x:c r="E1742" s="16" t="str">
        <x:f>IF(ISNUMBER(C1742),C1742^2,"")</x:f>
      </x:c>
      <x:c r="F1742" s="16" t="str">
        <x:f>IF(AND(ISNUMBER(C1742),ISNUMBER($J$6),$J$6&gt;0),(C1742-$J$5)/$J$6,"")</x:f>
      </x:c>
      <x:c r="G1742" s="1" t="str">
        <x:f>IF(ISNUMBER(F1742),IF(ABS(F1742)&gt;3,1,0),"")</x:f>
      </x:c>
      <x:c r="H1742" s="1" t="str">
        <x:f>IF(ISNUMBER(F1742),F1742^4,"")</x:f>
      </x:c>
      <x:c r="I1742" s="1"/>
      <x:c r="J1742" s="1"/>
      <x:c r="K1742" s="1"/>
      <x:c r="L1742" s="1"/>
      <x:c r="M1742" s="1"/>
      <x:c r="N1742" s="1"/>
    </x:row>
    <x:row r="1743" ht="22" customHeight="1">
      <x:c r="A1743" s="14"/>
      <x:c r="B1743" s="15"/>
      <x:c r="C1743" s="16" t="str">
        <x:f>IF(AND(ISNUMBER(B1743),ISNUMBER(B1742),B1743&gt;0,B1742&gt;0),LN(B1743/B1742),"")</x:f>
      </x:c>
      <x:c r="D1743" s="16" t="str">
        <x:f>IF(ISNUMBER(C1743),ABS(C1743),"")</x:f>
      </x:c>
      <x:c r="E1743" s="16" t="str">
        <x:f>IF(ISNUMBER(C1743),C1743^2,"")</x:f>
      </x:c>
      <x:c r="F1743" s="16" t="str">
        <x:f>IF(AND(ISNUMBER(C1743),ISNUMBER($J$6),$J$6&gt;0),(C1743-$J$5)/$J$6,"")</x:f>
      </x:c>
      <x:c r="G1743" s="1" t="str">
        <x:f>IF(ISNUMBER(F1743),IF(ABS(F1743)&gt;3,1,0),"")</x:f>
      </x:c>
      <x:c r="H1743" s="1" t="str">
        <x:f>IF(ISNUMBER(F1743),F1743^4,"")</x:f>
      </x:c>
      <x:c r="I1743" s="1"/>
      <x:c r="J1743" s="1"/>
      <x:c r="K1743" s="1"/>
      <x:c r="L1743" s="1"/>
      <x:c r="M1743" s="1"/>
      <x:c r="N1743" s="1"/>
    </x:row>
    <x:row r="1744" ht="22" customHeight="1">
      <x:c r="A1744" s="14"/>
      <x:c r="B1744" s="15"/>
      <x:c r="C1744" s="16" t="str">
        <x:f>IF(AND(ISNUMBER(B1744),ISNUMBER(B1743),B1744&gt;0,B1743&gt;0),LN(B1744/B1743),"")</x:f>
      </x:c>
      <x:c r="D1744" s="16" t="str">
        <x:f>IF(ISNUMBER(C1744),ABS(C1744),"")</x:f>
      </x:c>
      <x:c r="E1744" s="16" t="str">
        <x:f>IF(ISNUMBER(C1744),C1744^2,"")</x:f>
      </x:c>
      <x:c r="F1744" s="16" t="str">
        <x:f>IF(AND(ISNUMBER(C1744),ISNUMBER($J$6),$J$6&gt;0),(C1744-$J$5)/$J$6,"")</x:f>
      </x:c>
      <x:c r="G1744" s="1" t="str">
        <x:f>IF(ISNUMBER(F1744),IF(ABS(F1744)&gt;3,1,0),"")</x:f>
      </x:c>
      <x:c r="H1744" s="1" t="str">
        <x:f>IF(ISNUMBER(F1744),F1744^4,"")</x:f>
      </x:c>
      <x:c r="I1744" s="1"/>
      <x:c r="J1744" s="1"/>
      <x:c r="K1744" s="1"/>
      <x:c r="L1744" s="1"/>
      <x:c r="M1744" s="1"/>
      <x:c r="N1744" s="1"/>
    </x:row>
    <x:row r="1745" ht="22" customHeight="1">
      <x:c r="A1745" s="14"/>
      <x:c r="B1745" s="15"/>
      <x:c r="C1745" s="16" t="str">
        <x:f>IF(AND(ISNUMBER(B1745),ISNUMBER(B1744),B1745&gt;0,B1744&gt;0),LN(B1745/B1744),"")</x:f>
      </x:c>
      <x:c r="D1745" s="16" t="str">
        <x:f>IF(ISNUMBER(C1745),ABS(C1745),"")</x:f>
      </x:c>
      <x:c r="E1745" s="16" t="str">
        <x:f>IF(ISNUMBER(C1745),C1745^2,"")</x:f>
      </x:c>
      <x:c r="F1745" s="16" t="str">
        <x:f>IF(AND(ISNUMBER(C1745),ISNUMBER($J$6),$J$6&gt;0),(C1745-$J$5)/$J$6,"")</x:f>
      </x:c>
      <x:c r="G1745" s="1" t="str">
        <x:f>IF(ISNUMBER(F1745),IF(ABS(F1745)&gt;3,1,0),"")</x:f>
      </x:c>
      <x:c r="H1745" s="1" t="str">
        <x:f>IF(ISNUMBER(F1745),F1745^4,"")</x:f>
      </x:c>
      <x:c r="I1745" s="1"/>
      <x:c r="J1745" s="1"/>
      <x:c r="K1745" s="1"/>
      <x:c r="L1745" s="1"/>
      <x:c r="M1745" s="1"/>
      <x:c r="N1745" s="1"/>
    </x:row>
    <x:row r="1746" ht="22" customHeight="1">
      <x:c r="A1746" s="14"/>
      <x:c r="B1746" s="15"/>
      <x:c r="C1746" s="16" t="str">
        <x:f>IF(AND(ISNUMBER(B1746),ISNUMBER(B1745),B1746&gt;0,B1745&gt;0),LN(B1746/B1745),"")</x:f>
      </x:c>
      <x:c r="D1746" s="16" t="str">
        <x:f>IF(ISNUMBER(C1746),ABS(C1746),"")</x:f>
      </x:c>
      <x:c r="E1746" s="16" t="str">
        <x:f>IF(ISNUMBER(C1746),C1746^2,"")</x:f>
      </x:c>
      <x:c r="F1746" s="16" t="str">
        <x:f>IF(AND(ISNUMBER(C1746),ISNUMBER($J$6),$J$6&gt;0),(C1746-$J$5)/$J$6,"")</x:f>
      </x:c>
      <x:c r="G1746" s="1" t="str">
        <x:f>IF(ISNUMBER(F1746),IF(ABS(F1746)&gt;3,1,0),"")</x:f>
      </x:c>
      <x:c r="H1746" s="1" t="str">
        <x:f>IF(ISNUMBER(F1746),F1746^4,"")</x:f>
      </x:c>
      <x:c r="I1746" s="1"/>
      <x:c r="J1746" s="1"/>
      <x:c r="K1746" s="1"/>
      <x:c r="L1746" s="1"/>
      <x:c r="M1746" s="1"/>
      <x:c r="N1746" s="1"/>
    </x:row>
    <x:row r="1747" ht="22" customHeight="1">
      <x:c r="A1747" s="14"/>
      <x:c r="B1747" s="15"/>
      <x:c r="C1747" s="16" t="str">
        <x:f>IF(AND(ISNUMBER(B1747),ISNUMBER(B1746),B1747&gt;0,B1746&gt;0),LN(B1747/B1746),"")</x:f>
      </x:c>
      <x:c r="D1747" s="16" t="str">
        <x:f>IF(ISNUMBER(C1747),ABS(C1747),"")</x:f>
      </x:c>
      <x:c r="E1747" s="16" t="str">
        <x:f>IF(ISNUMBER(C1747),C1747^2,"")</x:f>
      </x:c>
      <x:c r="F1747" s="16" t="str">
        <x:f>IF(AND(ISNUMBER(C1747),ISNUMBER($J$6),$J$6&gt;0),(C1747-$J$5)/$J$6,"")</x:f>
      </x:c>
      <x:c r="G1747" s="1" t="str">
        <x:f>IF(ISNUMBER(F1747),IF(ABS(F1747)&gt;3,1,0),"")</x:f>
      </x:c>
      <x:c r="H1747" s="1" t="str">
        <x:f>IF(ISNUMBER(F1747),F1747^4,"")</x:f>
      </x:c>
      <x:c r="I1747" s="1"/>
      <x:c r="J1747" s="1"/>
      <x:c r="K1747" s="1"/>
      <x:c r="L1747" s="1"/>
      <x:c r="M1747" s="1"/>
      <x:c r="N1747" s="1"/>
    </x:row>
    <x:row r="1748" ht="22" customHeight="1">
      <x:c r="A1748" s="14"/>
      <x:c r="B1748" s="15"/>
      <x:c r="C1748" s="16" t="str">
        <x:f>IF(AND(ISNUMBER(B1748),ISNUMBER(B1747),B1748&gt;0,B1747&gt;0),LN(B1748/B1747),"")</x:f>
      </x:c>
      <x:c r="D1748" s="16" t="str">
        <x:f>IF(ISNUMBER(C1748),ABS(C1748),"")</x:f>
      </x:c>
      <x:c r="E1748" s="16" t="str">
        <x:f>IF(ISNUMBER(C1748),C1748^2,"")</x:f>
      </x:c>
      <x:c r="F1748" s="16" t="str">
        <x:f>IF(AND(ISNUMBER(C1748),ISNUMBER($J$6),$J$6&gt;0),(C1748-$J$5)/$J$6,"")</x:f>
      </x:c>
      <x:c r="G1748" s="1" t="str">
        <x:f>IF(ISNUMBER(F1748),IF(ABS(F1748)&gt;3,1,0),"")</x:f>
      </x:c>
      <x:c r="H1748" s="1" t="str">
        <x:f>IF(ISNUMBER(F1748),F1748^4,"")</x:f>
      </x:c>
      <x:c r="I1748" s="1"/>
      <x:c r="J1748" s="1"/>
      <x:c r="K1748" s="1"/>
      <x:c r="L1748" s="1"/>
      <x:c r="M1748" s="1"/>
      <x:c r="N1748" s="1"/>
    </x:row>
    <x:row r="1749" ht="22" customHeight="1">
      <x:c r="A1749" s="14"/>
      <x:c r="B1749" s="15"/>
      <x:c r="C1749" s="16" t="str">
        <x:f>IF(AND(ISNUMBER(B1749),ISNUMBER(B1748),B1749&gt;0,B1748&gt;0),LN(B1749/B1748),"")</x:f>
      </x:c>
      <x:c r="D1749" s="16" t="str">
        <x:f>IF(ISNUMBER(C1749),ABS(C1749),"")</x:f>
      </x:c>
      <x:c r="E1749" s="16" t="str">
        <x:f>IF(ISNUMBER(C1749),C1749^2,"")</x:f>
      </x:c>
      <x:c r="F1749" s="16" t="str">
        <x:f>IF(AND(ISNUMBER(C1749),ISNUMBER($J$6),$J$6&gt;0),(C1749-$J$5)/$J$6,"")</x:f>
      </x:c>
      <x:c r="G1749" s="1" t="str">
        <x:f>IF(ISNUMBER(F1749),IF(ABS(F1749)&gt;3,1,0),"")</x:f>
      </x:c>
      <x:c r="H1749" s="1" t="str">
        <x:f>IF(ISNUMBER(F1749),F1749^4,"")</x:f>
      </x:c>
      <x:c r="I1749" s="1"/>
      <x:c r="J1749" s="1"/>
      <x:c r="K1749" s="1"/>
      <x:c r="L1749" s="1"/>
      <x:c r="M1749" s="1"/>
      <x:c r="N1749" s="1"/>
    </x:row>
    <x:row r="1750" ht="22" customHeight="1">
      <x:c r="A1750" s="14"/>
      <x:c r="B1750" s="15"/>
      <x:c r="C1750" s="16" t="str">
        <x:f>IF(AND(ISNUMBER(B1750),ISNUMBER(B1749),B1750&gt;0,B1749&gt;0),LN(B1750/B1749),"")</x:f>
      </x:c>
      <x:c r="D1750" s="16" t="str">
        <x:f>IF(ISNUMBER(C1750),ABS(C1750),"")</x:f>
      </x:c>
      <x:c r="E1750" s="16" t="str">
        <x:f>IF(ISNUMBER(C1750),C1750^2,"")</x:f>
      </x:c>
      <x:c r="F1750" s="16" t="str">
        <x:f>IF(AND(ISNUMBER(C1750),ISNUMBER($J$6),$J$6&gt;0),(C1750-$J$5)/$J$6,"")</x:f>
      </x:c>
      <x:c r="G1750" s="1" t="str">
        <x:f>IF(ISNUMBER(F1750),IF(ABS(F1750)&gt;3,1,0),"")</x:f>
      </x:c>
      <x:c r="H1750" s="1" t="str">
        <x:f>IF(ISNUMBER(F1750),F1750^4,"")</x:f>
      </x:c>
      <x:c r="I1750" s="1"/>
      <x:c r="J1750" s="1"/>
      <x:c r="K1750" s="1"/>
      <x:c r="L1750" s="1"/>
      <x:c r="M1750" s="1"/>
      <x:c r="N1750" s="1"/>
    </x:row>
    <x:row r="1751" ht="22" customHeight="1">
      <x:c r="A1751" s="14"/>
      <x:c r="B1751" s="15"/>
      <x:c r="C1751" s="16" t="str">
        <x:f>IF(AND(ISNUMBER(B1751),ISNUMBER(B1750),B1751&gt;0,B1750&gt;0),LN(B1751/B1750),"")</x:f>
      </x:c>
      <x:c r="D1751" s="16" t="str">
        <x:f>IF(ISNUMBER(C1751),ABS(C1751),"")</x:f>
      </x:c>
      <x:c r="E1751" s="16" t="str">
        <x:f>IF(ISNUMBER(C1751),C1751^2,"")</x:f>
      </x:c>
      <x:c r="F1751" s="16" t="str">
        <x:f>IF(AND(ISNUMBER(C1751),ISNUMBER($J$6),$J$6&gt;0),(C1751-$J$5)/$J$6,"")</x:f>
      </x:c>
      <x:c r="G1751" s="1" t="str">
        <x:f>IF(ISNUMBER(F1751),IF(ABS(F1751)&gt;3,1,0),"")</x:f>
      </x:c>
      <x:c r="H1751" s="1" t="str">
        <x:f>IF(ISNUMBER(F1751),F1751^4,"")</x:f>
      </x:c>
      <x:c r="I1751" s="1"/>
      <x:c r="J1751" s="1"/>
      <x:c r="K1751" s="1"/>
      <x:c r="L1751" s="1"/>
      <x:c r="M1751" s="1"/>
      <x:c r="N1751" s="1"/>
    </x:row>
    <x:row r="1752" ht="22" customHeight="1">
      <x:c r="A1752" s="14"/>
      <x:c r="B1752" s="15"/>
      <x:c r="C1752" s="16" t="str">
        <x:f>IF(AND(ISNUMBER(B1752),ISNUMBER(B1751),B1752&gt;0,B1751&gt;0),LN(B1752/B1751),"")</x:f>
      </x:c>
      <x:c r="D1752" s="16" t="str">
        <x:f>IF(ISNUMBER(C1752),ABS(C1752),"")</x:f>
      </x:c>
      <x:c r="E1752" s="16" t="str">
        <x:f>IF(ISNUMBER(C1752),C1752^2,"")</x:f>
      </x:c>
      <x:c r="F1752" s="16" t="str">
        <x:f>IF(AND(ISNUMBER(C1752),ISNUMBER($J$6),$J$6&gt;0),(C1752-$J$5)/$J$6,"")</x:f>
      </x:c>
      <x:c r="G1752" s="1" t="str">
        <x:f>IF(ISNUMBER(F1752),IF(ABS(F1752)&gt;3,1,0),"")</x:f>
      </x:c>
      <x:c r="H1752" s="1" t="str">
        <x:f>IF(ISNUMBER(F1752),F1752^4,"")</x:f>
      </x:c>
      <x:c r="I1752" s="1"/>
      <x:c r="J1752" s="1"/>
      <x:c r="K1752" s="1"/>
      <x:c r="L1752" s="1"/>
      <x:c r="M1752" s="1"/>
      <x:c r="N1752" s="1"/>
    </x:row>
    <x:row r="1753" ht="22" customHeight="1">
      <x:c r="A1753" s="14"/>
      <x:c r="B1753" s="15"/>
      <x:c r="C1753" s="16" t="str">
        <x:f>IF(AND(ISNUMBER(B1753),ISNUMBER(B1752),B1753&gt;0,B1752&gt;0),LN(B1753/B1752),"")</x:f>
      </x:c>
      <x:c r="D1753" s="16" t="str">
        <x:f>IF(ISNUMBER(C1753),ABS(C1753),"")</x:f>
      </x:c>
      <x:c r="E1753" s="16" t="str">
        <x:f>IF(ISNUMBER(C1753),C1753^2,"")</x:f>
      </x:c>
      <x:c r="F1753" s="16" t="str">
        <x:f>IF(AND(ISNUMBER(C1753),ISNUMBER($J$6),$J$6&gt;0),(C1753-$J$5)/$J$6,"")</x:f>
      </x:c>
      <x:c r="G1753" s="1" t="str">
        <x:f>IF(ISNUMBER(F1753),IF(ABS(F1753)&gt;3,1,0),"")</x:f>
      </x:c>
      <x:c r="H1753" s="1" t="str">
        <x:f>IF(ISNUMBER(F1753),F1753^4,"")</x:f>
      </x:c>
      <x:c r="I1753" s="1"/>
      <x:c r="J1753" s="1"/>
      <x:c r="K1753" s="1"/>
      <x:c r="L1753" s="1"/>
      <x:c r="M1753" s="1"/>
      <x:c r="N1753" s="1"/>
    </x:row>
    <x:row r="1754" ht="22" customHeight="1">
      <x:c r="A1754" s="14"/>
      <x:c r="B1754" s="15"/>
      <x:c r="C1754" s="16" t="str">
        <x:f>IF(AND(ISNUMBER(B1754),ISNUMBER(B1753),B1754&gt;0,B1753&gt;0),LN(B1754/B1753),"")</x:f>
      </x:c>
      <x:c r="D1754" s="16" t="str">
        <x:f>IF(ISNUMBER(C1754),ABS(C1754),"")</x:f>
      </x:c>
      <x:c r="E1754" s="16" t="str">
        <x:f>IF(ISNUMBER(C1754),C1754^2,"")</x:f>
      </x:c>
      <x:c r="F1754" s="16" t="str">
        <x:f>IF(AND(ISNUMBER(C1754),ISNUMBER($J$6),$J$6&gt;0),(C1754-$J$5)/$J$6,"")</x:f>
      </x:c>
      <x:c r="G1754" s="1" t="str">
        <x:f>IF(ISNUMBER(F1754),IF(ABS(F1754)&gt;3,1,0),"")</x:f>
      </x:c>
      <x:c r="H1754" s="1" t="str">
        <x:f>IF(ISNUMBER(F1754),F1754^4,"")</x:f>
      </x:c>
      <x:c r="I1754" s="1"/>
      <x:c r="J1754" s="1"/>
      <x:c r="K1754" s="1"/>
      <x:c r="L1754" s="1"/>
      <x:c r="M1754" s="1"/>
      <x:c r="N1754" s="1"/>
    </x:row>
    <x:row r="1755" ht="22" customHeight="1">
      <x:c r="A1755" s="14"/>
      <x:c r="B1755" s="15"/>
      <x:c r="C1755" s="16" t="str">
        <x:f>IF(AND(ISNUMBER(B1755),ISNUMBER(B1754),B1755&gt;0,B1754&gt;0),LN(B1755/B1754),"")</x:f>
      </x:c>
      <x:c r="D1755" s="16" t="str">
        <x:f>IF(ISNUMBER(C1755),ABS(C1755),"")</x:f>
      </x:c>
      <x:c r="E1755" s="16" t="str">
        <x:f>IF(ISNUMBER(C1755),C1755^2,"")</x:f>
      </x:c>
      <x:c r="F1755" s="16" t="str">
        <x:f>IF(AND(ISNUMBER(C1755),ISNUMBER($J$6),$J$6&gt;0),(C1755-$J$5)/$J$6,"")</x:f>
      </x:c>
      <x:c r="G1755" s="1" t="str">
        <x:f>IF(ISNUMBER(F1755),IF(ABS(F1755)&gt;3,1,0),"")</x:f>
      </x:c>
      <x:c r="H1755" s="1" t="str">
        <x:f>IF(ISNUMBER(F1755),F1755^4,"")</x:f>
      </x:c>
      <x:c r="I1755" s="1"/>
      <x:c r="J1755" s="1"/>
      <x:c r="K1755" s="1"/>
      <x:c r="L1755" s="1"/>
      <x:c r="M1755" s="1"/>
      <x:c r="N1755" s="1"/>
    </x:row>
    <x:row r="1756" ht="22" customHeight="1">
      <x:c r="A1756" s="14"/>
      <x:c r="B1756" s="15"/>
      <x:c r="C1756" s="16" t="str">
        <x:f>IF(AND(ISNUMBER(B1756),ISNUMBER(B1755),B1756&gt;0,B1755&gt;0),LN(B1756/B1755),"")</x:f>
      </x:c>
      <x:c r="D1756" s="16" t="str">
        <x:f>IF(ISNUMBER(C1756),ABS(C1756),"")</x:f>
      </x:c>
      <x:c r="E1756" s="16" t="str">
        <x:f>IF(ISNUMBER(C1756),C1756^2,"")</x:f>
      </x:c>
      <x:c r="F1756" s="16" t="str">
        <x:f>IF(AND(ISNUMBER(C1756),ISNUMBER($J$6),$J$6&gt;0),(C1756-$J$5)/$J$6,"")</x:f>
      </x:c>
      <x:c r="G1756" s="1" t="str">
        <x:f>IF(ISNUMBER(F1756),IF(ABS(F1756)&gt;3,1,0),"")</x:f>
      </x:c>
      <x:c r="H1756" s="1" t="str">
        <x:f>IF(ISNUMBER(F1756),F1756^4,"")</x:f>
      </x:c>
      <x:c r="I1756" s="1"/>
      <x:c r="J1756" s="1"/>
      <x:c r="K1756" s="1"/>
      <x:c r="L1756" s="1"/>
      <x:c r="M1756" s="1"/>
      <x:c r="N1756" s="1"/>
    </x:row>
    <x:row r="1757" ht="22" customHeight="1">
      <x:c r="A1757" s="14"/>
      <x:c r="B1757" s="15"/>
      <x:c r="C1757" s="16" t="str">
        <x:f>IF(AND(ISNUMBER(B1757),ISNUMBER(B1756),B1757&gt;0,B1756&gt;0),LN(B1757/B1756),"")</x:f>
      </x:c>
      <x:c r="D1757" s="16" t="str">
        <x:f>IF(ISNUMBER(C1757),ABS(C1757),"")</x:f>
      </x:c>
      <x:c r="E1757" s="16" t="str">
        <x:f>IF(ISNUMBER(C1757),C1757^2,"")</x:f>
      </x:c>
      <x:c r="F1757" s="16" t="str">
        <x:f>IF(AND(ISNUMBER(C1757),ISNUMBER($J$6),$J$6&gt;0),(C1757-$J$5)/$J$6,"")</x:f>
      </x:c>
      <x:c r="G1757" s="1" t="str">
        <x:f>IF(ISNUMBER(F1757),IF(ABS(F1757)&gt;3,1,0),"")</x:f>
      </x:c>
      <x:c r="H1757" s="1" t="str">
        <x:f>IF(ISNUMBER(F1757),F1757^4,"")</x:f>
      </x:c>
      <x:c r="I1757" s="1"/>
      <x:c r="J1757" s="1"/>
      <x:c r="K1757" s="1"/>
      <x:c r="L1757" s="1"/>
      <x:c r="M1757" s="1"/>
      <x:c r="N1757" s="1"/>
    </x:row>
    <x:row r="1758" ht="22" customHeight="1">
      <x:c r="A1758" s="14"/>
      <x:c r="B1758" s="15"/>
      <x:c r="C1758" s="16" t="str">
        <x:f>IF(AND(ISNUMBER(B1758),ISNUMBER(B1757),B1758&gt;0,B1757&gt;0),LN(B1758/B1757),"")</x:f>
      </x:c>
      <x:c r="D1758" s="16" t="str">
        <x:f>IF(ISNUMBER(C1758),ABS(C1758),"")</x:f>
      </x:c>
      <x:c r="E1758" s="16" t="str">
        <x:f>IF(ISNUMBER(C1758),C1758^2,"")</x:f>
      </x:c>
      <x:c r="F1758" s="16" t="str">
        <x:f>IF(AND(ISNUMBER(C1758),ISNUMBER($J$6),$J$6&gt;0),(C1758-$J$5)/$J$6,"")</x:f>
      </x:c>
      <x:c r="G1758" s="1" t="str">
        <x:f>IF(ISNUMBER(F1758),IF(ABS(F1758)&gt;3,1,0),"")</x:f>
      </x:c>
      <x:c r="H1758" s="1" t="str">
        <x:f>IF(ISNUMBER(F1758),F1758^4,"")</x:f>
      </x:c>
      <x:c r="I1758" s="1"/>
      <x:c r="J1758" s="1"/>
      <x:c r="K1758" s="1"/>
      <x:c r="L1758" s="1"/>
      <x:c r="M1758" s="1"/>
      <x:c r="N1758" s="1"/>
    </x:row>
    <x:row r="1759" ht="22" customHeight="1">
      <x:c r="A1759" s="14"/>
      <x:c r="B1759" s="15"/>
      <x:c r="C1759" s="16" t="str">
        <x:f>IF(AND(ISNUMBER(B1759),ISNUMBER(B1758),B1759&gt;0,B1758&gt;0),LN(B1759/B1758),"")</x:f>
      </x:c>
      <x:c r="D1759" s="16" t="str">
        <x:f>IF(ISNUMBER(C1759),ABS(C1759),"")</x:f>
      </x:c>
      <x:c r="E1759" s="16" t="str">
        <x:f>IF(ISNUMBER(C1759),C1759^2,"")</x:f>
      </x:c>
      <x:c r="F1759" s="16" t="str">
        <x:f>IF(AND(ISNUMBER(C1759),ISNUMBER($J$6),$J$6&gt;0),(C1759-$J$5)/$J$6,"")</x:f>
      </x:c>
      <x:c r="G1759" s="1" t="str">
        <x:f>IF(ISNUMBER(F1759),IF(ABS(F1759)&gt;3,1,0),"")</x:f>
      </x:c>
      <x:c r="H1759" s="1" t="str">
        <x:f>IF(ISNUMBER(F1759),F1759^4,"")</x:f>
      </x:c>
      <x:c r="I1759" s="1"/>
      <x:c r="J1759" s="1"/>
      <x:c r="K1759" s="1"/>
      <x:c r="L1759" s="1"/>
      <x:c r="M1759" s="1"/>
      <x:c r="N1759" s="1"/>
    </x:row>
    <x:row r="1760" ht="22" customHeight="1">
      <x:c r="A1760" s="14"/>
      <x:c r="B1760" s="15"/>
      <x:c r="C1760" s="16" t="str">
        <x:f>IF(AND(ISNUMBER(B1760),ISNUMBER(B1759),B1760&gt;0,B1759&gt;0),LN(B1760/B1759),"")</x:f>
      </x:c>
      <x:c r="D1760" s="16" t="str">
        <x:f>IF(ISNUMBER(C1760),ABS(C1760),"")</x:f>
      </x:c>
      <x:c r="E1760" s="16" t="str">
        <x:f>IF(ISNUMBER(C1760),C1760^2,"")</x:f>
      </x:c>
      <x:c r="F1760" s="16" t="str">
        <x:f>IF(AND(ISNUMBER(C1760),ISNUMBER($J$6),$J$6&gt;0),(C1760-$J$5)/$J$6,"")</x:f>
      </x:c>
      <x:c r="G1760" s="1" t="str">
        <x:f>IF(ISNUMBER(F1760),IF(ABS(F1760)&gt;3,1,0),"")</x:f>
      </x:c>
      <x:c r="H1760" s="1" t="str">
        <x:f>IF(ISNUMBER(F1760),F1760^4,"")</x:f>
      </x:c>
      <x:c r="I1760" s="1"/>
      <x:c r="J1760" s="1"/>
      <x:c r="K1760" s="1"/>
      <x:c r="L1760" s="1"/>
      <x:c r="M1760" s="1"/>
      <x:c r="N1760" s="1"/>
    </x:row>
    <x:row r="1761" ht="22" customHeight="1">
      <x:c r="A1761" s="14"/>
      <x:c r="B1761" s="15"/>
      <x:c r="C1761" s="16" t="str">
        <x:f>IF(AND(ISNUMBER(B1761),ISNUMBER(B1760),B1761&gt;0,B1760&gt;0),LN(B1761/B1760),"")</x:f>
      </x:c>
      <x:c r="D1761" s="16" t="str">
        <x:f>IF(ISNUMBER(C1761),ABS(C1761),"")</x:f>
      </x:c>
      <x:c r="E1761" s="16" t="str">
        <x:f>IF(ISNUMBER(C1761),C1761^2,"")</x:f>
      </x:c>
      <x:c r="F1761" s="16" t="str">
        <x:f>IF(AND(ISNUMBER(C1761),ISNUMBER($J$6),$J$6&gt;0),(C1761-$J$5)/$J$6,"")</x:f>
      </x:c>
      <x:c r="G1761" s="1" t="str">
        <x:f>IF(ISNUMBER(F1761),IF(ABS(F1761)&gt;3,1,0),"")</x:f>
      </x:c>
      <x:c r="H1761" s="1" t="str">
        <x:f>IF(ISNUMBER(F1761),F1761^4,"")</x:f>
      </x:c>
      <x:c r="I1761" s="1"/>
      <x:c r="J1761" s="1"/>
      <x:c r="K1761" s="1"/>
      <x:c r="L1761" s="1"/>
      <x:c r="M1761" s="1"/>
      <x:c r="N1761" s="1"/>
    </x:row>
    <x:row r="1762" ht="22" customHeight="1">
      <x:c r="A1762" s="14"/>
      <x:c r="B1762" s="15"/>
      <x:c r="C1762" s="16" t="str">
        <x:f>IF(AND(ISNUMBER(B1762),ISNUMBER(B1761),B1762&gt;0,B1761&gt;0),LN(B1762/B1761),"")</x:f>
      </x:c>
      <x:c r="D1762" s="16" t="str">
        <x:f>IF(ISNUMBER(C1762),ABS(C1762),"")</x:f>
      </x:c>
      <x:c r="E1762" s="16" t="str">
        <x:f>IF(ISNUMBER(C1762),C1762^2,"")</x:f>
      </x:c>
      <x:c r="F1762" s="16" t="str">
        <x:f>IF(AND(ISNUMBER(C1762),ISNUMBER($J$6),$J$6&gt;0),(C1762-$J$5)/$J$6,"")</x:f>
      </x:c>
      <x:c r="G1762" s="1" t="str">
        <x:f>IF(ISNUMBER(F1762),IF(ABS(F1762)&gt;3,1,0),"")</x:f>
      </x:c>
      <x:c r="H1762" s="1" t="str">
        <x:f>IF(ISNUMBER(F1762),F1762^4,"")</x:f>
      </x:c>
      <x:c r="I1762" s="1"/>
      <x:c r="J1762" s="1"/>
      <x:c r="K1762" s="1"/>
      <x:c r="L1762" s="1"/>
      <x:c r="M1762" s="1"/>
      <x:c r="N1762" s="1"/>
    </x:row>
    <x:row r="1763" ht="22" customHeight="1">
      <x:c r="A1763" s="14"/>
      <x:c r="B1763" s="15"/>
      <x:c r="C1763" s="16" t="str">
        <x:f>IF(AND(ISNUMBER(B1763),ISNUMBER(B1762),B1763&gt;0,B1762&gt;0),LN(B1763/B1762),"")</x:f>
      </x:c>
      <x:c r="D1763" s="16" t="str">
        <x:f>IF(ISNUMBER(C1763),ABS(C1763),"")</x:f>
      </x:c>
      <x:c r="E1763" s="16" t="str">
        <x:f>IF(ISNUMBER(C1763),C1763^2,"")</x:f>
      </x:c>
      <x:c r="F1763" s="16" t="str">
        <x:f>IF(AND(ISNUMBER(C1763),ISNUMBER($J$6),$J$6&gt;0),(C1763-$J$5)/$J$6,"")</x:f>
      </x:c>
      <x:c r="G1763" s="1" t="str">
        <x:f>IF(ISNUMBER(F1763),IF(ABS(F1763)&gt;3,1,0),"")</x:f>
      </x:c>
      <x:c r="H1763" s="1" t="str">
        <x:f>IF(ISNUMBER(F1763),F1763^4,"")</x:f>
      </x:c>
      <x:c r="I1763" s="1"/>
      <x:c r="J1763" s="1"/>
      <x:c r="K1763" s="1"/>
      <x:c r="L1763" s="1"/>
      <x:c r="M1763" s="1"/>
      <x:c r="N1763" s="1"/>
    </x:row>
    <x:row r="1764" ht="22" customHeight="1">
      <x:c r="A1764" s="14"/>
      <x:c r="B1764" s="15"/>
      <x:c r="C1764" s="16" t="str">
        <x:f>IF(AND(ISNUMBER(B1764),ISNUMBER(B1763),B1764&gt;0,B1763&gt;0),LN(B1764/B1763),"")</x:f>
      </x:c>
      <x:c r="D1764" s="16" t="str">
        <x:f>IF(ISNUMBER(C1764),ABS(C1764),"")</x:f>
      </x:c>
      <x:c r="E1764" s="16" t="str">
        <x:f>IF(ISNUMBER(C1764),C1764^2,"")</x:f>
      </x:c>
      <x:c r="F1764" s="16" t="str">
        <x:f>IF(AND(ISNUMBER(C1764),ISNUMBER($J$6),$J$6&gt;0),(C1764-$J$5)/$J$6,"")</x:f>
      </x:c>
      <x:c r="G1764" s="1" t="str">
        <x:f>IF(ISNUMBER(F1764),IF(ABS(F1764)&gt;3,1,0),"")</x:f>
      </x:c>
      <x:c r="H1764" s="1" t="str">
        <x:f>IF(ISNUMBER(F1764),F1764^4,"")</x:f>
      </x:c>
      <x:c r="I1764" s="1"/>
      <x:c r="J1764" s="1"/>
      <x:c r="K1764" s="1"/>
      <x:c r="L1764" s="1"/>
      <x:c r="M1764" s="1"/>
      <x:c r="N1764" s="1"/>
    </x:row>
    <x:row r="1765" ht="22" customHeight="1">
      <x:c r="A1765" s="14"/>
      <x:c r="B1765" s="15"/>
      <x:c r="C1765" s="16" t="str">
        <x:f>IF(AND(ISNUMBER(B1765),ISNUMBER(B1764),B1765&gt;0,B1764&gt;0),LN(B1765/B1764),"")</x:f>
      </x:c>
      <x:c r="D1765" s="16" t="str">
        <x:f>IF(ISNUMBER(C1765),ABS(C1765),"")</x:f>
      </x:c>
      <x:c r="E1765" s="16" t="str">
        <x:f>IF(ISNUMBER(C1765),C1765^2,"")</x:f>
      </x:c>
      <x:c r="F1765" s="16" t="str">
        <x:f>IF(AND(ISNUMBER(C1765),ISNUMBER($J$6),$J$6&gt;0),(C1765-$J$5)/$J$6,"")</x:f>
      </x:c>
      <x:c r="G1765" s="1" t="str">
        <x:f>IF(ISNUMBER(F1765),IF(ABS(F1765)&gt;3,1,0),"")</x:f>
      </x:c>
      <x:c r="H1765" s="1" t="str">
        <x:f>IF(ISNUMBER(F1765),F1765^4,"")</x:f>
      </x:c>
      <x:c r="I1765" s="1"/>
      <x:c r="J1765" s="1"/>
      <x:c r="K1765" s="1"/>
      <x:c r="L1765" s="1"/>
      <x:c r="M1765" s="1"/>
      <x:c r="N1765" s="1"/>
    </x:row>
    <x:row r="1766" ht="22" customHeight="1">
      <x:c r="A1766" s="14"/>
      <x:c r="B1766" s="15"/>
      <x:c r="C1766" s="16" t="str">
        <x:f>IF(AND(ISNUMBER(B1766),ISNUMBER(B1765),B1766&gt;0,B1765&gt;0),LN(B1766/B1765),"")</x:f>
      </x:c>
      <x:c r="D1766" s="16" t="str">
        <x:f>IF(ISNUMBER(C1766),ABS(C1766),"")</x:f>
      </x:c>
      <x:c r="E1766" s="16" t="str">
        <x:f>IF(ISNUMBER(C1766),C1766^2,"")</x:f>
      </x:c>
      <x:c r="F1766" s="16" t="str">
        <x:f>IF(AND(ISNUMBER(C1766),ISNUMBER($J$6),$J$6&gt;0),(C1766-$J$5)/$J$6,"")</x:f>
      </x:c>
      <x:c r="G1766" s="1" t="str">
        <x:f>IF(ISNUMBER(F1766),IF(ABS(F1766)&gt;3,1,0),"")</x:f>
      </x:c>
      <x:c r="H1766" s="1" t="str">
        <x:f>IF(ISNUMBER(F1766),F1766^4,"")</x:f>
      </x:c>
      <x:c r="I1766" s="1"/>
      <x:c r="J1766" s="1"/>
      <x:c r="K1766" s="1"/>
      <x:c r="L1766" s="1"/>
      <x:c r="M1766" s="1"/>
      <x:c r="N1766" s="1"/>
    </x:row>
    <x:row r="1767" ht="22" customHeight="1">
      <x:c r="A1767" s="14"/>
      <x:c r="B1767" s="15"/>
      <x:c r="C1767" s="16" t="str">
        <x:f>IF(AND(ISNUMBER(B1767),ISNUMBER(B1766),B1767&gt;0,B1766&gt;0),LN(B1767/B1766),"")</x:f>
      </x:c>
      <x:c r="D1767" s="16" t="str">
        <x:f>IF(ISNUMBER(C1767),ABS(C1767),"")</x:f>
      </x:c>
      <x:c r="E1767" s="16" t="str">
        <x:f>IF(ISNUMBER(C1767),C1767^2,"")</x:f>
      </x:c>
      <x:c r="F1767" s="16" t="str">
        <x:f>IF(AND(ISNUMBER(C1767),ISNUMBER($J$6),$J$6&gt;0),(C1767-$J$5)/$J$6,"")</x:f>
      </x:c>
      <x:c r="G1767" s="1" t="str">
        <x:f>IF(ISNUMBER(F1767),IF(ABS(F1767)&gt;3,1,0),"")</x:f>
      </x:c>
      <x:c r="H1767" s="1" t="str">
        <x:f>IF(ISNUMBER(F1767),F1767^4,"")</x:f>
      </x:c>
      <x:c r="I1767" s="1"/>
      <x:c r="J1767" s="1"/>
      <x:c r="K1767" s="1"/>
      <x:c r="L1767" s="1"/>
      <x:c r="M1767" s="1"/>
      <x:c r="N1767" s="1"/>
    </x:row>
    <x:row r="1768" ht="22" customHeight="1">
      <x:c r="A1768" s="14"/>
      <x:c r="B1768" s="15"/>
      <x:c r="C1768" s="16" t="str">
        <x:f>IF(AND(ISNUMBER(B1768),ISNUMBER(B1767),B1768&gt;0,B1767&gt;0),LN(B1768/B1767),"")</x:f>
      </x:c>
      <x:c r="D1768" s="16" t="str">
        <x:f>IF(ISNUMBER(C1768),ABS(C1768),"")</x:f>
      </x:c>
      <x:c r="E1768" s="16" t="str">
        <x:f>IF(ISNUMBER(C1768),C1768^2,"")</x:f>
      </x:c>
      <x:c r="F1768" s="16" t="str">
        <x:f>IF(AND(ISNUMBER(C1768),ISNUMBER($J$6),$J$6&gt;0),(C1768-$J$5)/$J$6,"")</x:f>
      </x:c>
      <x:c r="G1768" s="1" t="str">
        <x:f>IF(ISNUMBER(F1768),IF(ABS(F1768)&gt;3,1,0),"")</x:f>
      </x:c>
      <x:c r="H1768" s="1" t="str">
        <x:f>IF(ISNUMBER(F1768),F1768^4,"")</x:f>
      </x:c>
      <x:c r="I1768" s="1"/>
      <x:c r="J1768" s="1"/>
      <x:c r="K1768" s="1"/>
      <x:c r="L1768" s="1"/>
      <x:c r="M1768" s="1"/>
      <x:c r="N1768" s="1"/>
    </x:row>
    <x:row r="1769" ht="22" customHeight="1">
      <x:c r="A1769" s="14"/>
      <x:c r="B1769" s="15"/>
      <x:c r="C1769" s="16" t="str">
        <x:f>IF(AND(ISNUMBER(B1769),ISNUMBER(B1768),B1769&gt;0,B1768&gt;0),LN(B1769/B1768),"")</x:f>
      </x:c>
      <x:c r="D1769" s="16" t="str">
        <x:f>IF(ISNUMBER(C1769),ABS(C1769),"")</x:f>
      </x:c>
      <x:c r="E1769" s="16" t="str">
        <x:f>IF(ISNUMBER(C1769),C1769^2,"")</x:f>
      </x:c>
      <x:c r="F1769" s="16" t="str">
        <x:f>IF(AND(ISNUMBER(C1769),ISNUMBER($J$6),$J$6&gt;0),(C1769-$J$5)/$J$6,"")</x:f>
      </x:c>
      <x:c r="G1769" s="1" t="str">
        <x:f>IF(ISNUMBER(F1769),IF(ABS(F1769)&gt;3,1,0),"")</x:f>
      </x:c>
      <x:c r="H1769" s="1" t="str">
        <x:f>IF(ISNUMBER(F1769),F1769^4,"")</x:f>
      </x:c>
      <x:c r="I1769" s="1"/>
      <x:c r="J1769" s="1"/>
      <x:c r="K1769" s="1"/>
      <x:c r="L1769" s="1"/>
      <x:c r="M1769" s="1"/>
      <x:c r="N1769" s="1"/>
    </x:row>
    <x:row r="1770" ht="22" customHeight="1">
      <x:c r="A1770" s="14"/>
      <x:c r="B1770" s="15"/>
      <x:c r="C1770" s="16" t="str">
        <x:f>IF(AND(ISNUMBER(B1770),ISNUMBER(B1769),B1770&gt;0,B1769&gt;0),LN(B1770/B1769),"")</x:f>
      </x:c>
      <x:c r="D1770" s="16" t="str">
        <x:f>IF(ISNUMBER(C1770),ABS(C1770),"")</x:f>
      </x:c>
      <x:c r="E1770" s="16" t="str">
        <x:f>IF(ISNUMBER(C1770),C1770^2,"")</x:f>
      </x:c>
      <x:c r="F1770" s="16" t="str">
        <x:f>IF(AND(ISNUMBER(C1770),ISNUMBER($J$6),$J$6&gt;0),(C1770-$J$5)/$J$6,"")</x:f>
      </x:c>
      <x:c r="G1770" s="1" t="str">
        <x:f>IF(ISNUMBER(F1770),IF(ABS(F1770)&gt;3,1,0),"")</x:f>
      </x:c>
      <x:c r="H1770" s="1" t="str">
        <x:f>IF(ISNUMBER(F1770),F1770^4,"")</x:f>
      </x:c>
      <x:c r="I1770" s="1"/>
      <x:c r="J1770" s="1"/>
      <x:c r="K1770" s="1"/>
      <x:c r="L1770" s="1"/>
      <x:c r="M1770" s="1"/>
      <x:c r="N1770" s="1"/>
    </x:row>
    <x:row r="1771" ht="22" customHeight="1">
      <x:c r="A1771" s="14"/>
      <x:c r="B1771" s="15"/>
      <x:c r="C1771" s="16" t="str">
        <x:f>IF(AND(ISNUMBER(B1771),ISNUMBER(B1770),B1771&gt;0,B1770&gt;0),LN(B1771/B1770),"")</x:f>
      </x:c>
      <x:c r="D1771" s="16" t="str">
        <x:f>IF(ISNUMBER(C1771),ABS(C1771),"")</x:f>
      </x:c>
      <x:c r="E1771" s="16" t="str">
        <x:f>IF(ISNUMBER(C1771),C1771^2,"")</x:f>
      </x:c>
      <x:c r="F1771" s="16" t="str">
        <x:f>IF(AND(ISNUMBER(C1771),ISNUMBER($J$6),$J$6&gt;0),(C1771-$J$5)/$J$6,"")</x:f>
      </x:c>
      <x:c r="G1771" s="1" t="str">
        <x:f>IF(ISNUMBER(F1771),IF(ABS(F1771)&gt;3,1,0),"")</x:f>
      </x:c>
      <x:c r="H1771" s="1" t="str">
        <x:f>IF(ISNUMBER(F1771),F1771^4,"")</x:f>
      </x:c>
      <x:c r="I1771" s="1"/>
      <x:c r="J1771" s="1"/>
      <x:c r="K1771" s="1"/>
      <x:c r="L1771" s="1"/>
      <x:c r="M1771" s="1"/>
      <x:c r="N1771" s="1"/>
    </x:row>
    <x:row r="1772" ht="22" customHeight="1">
      <x:c r="A1772" s="14"/>
      <x:c r="B1772" s="15"/>
      <x:c r="C1772" s="16" t="str">
        <x:f>IF(AND(ISNUMBER(B1772),ISNUMBER(B1771),B1772&gt;0,B1771&gt;0),LN(B1772/B1771),"")</x:f>
      </x:c>
      <x:c r="D1772" s="16" t="str">
        <x:f>IF(ISNUMBER(C1772),ABS(C1772),"")</x:f>
      </x:c>
      <x:c r="E1772" s="16" t="str">
        <x:f>IF(ISNUMBER(C1772),C1772^2,"")</x:f>
      </x:c>
      <x:c r="F1772" s="16" t="str">
        <x:f>IF(AND(ISNUMBER(C1772),ISNUMBER($J$6),$J$6&gt;0),(C1772-$J$5)/$J$6,"")</x:f>
      </x:c>
      <x:c r="G1772" s="1" t="str">
        <x:f>IF(ISNUMBER(F1772),IF(ABS(F1772)&gt;3,1,0),"")</x:f>
      </x:c>
      <x:c r="H1772" s="1" t="str">
        <x:f>IF(ISNUMBER(F1772),F1772^4,"")</x:f>
      </x:c>
      <x:c r="I1772" s="1"/>
      <x:c r="J1772" s="1"/>
      <x:c r="K1772" s="1"/>
      <x:c r="L1772" s="1"/>
      <x:c r="M1772" s="1"/>
      <x:c r="N1772" s="1"/>
    </x:row>
    <x:row r="1773" ht="22" customHeight="1">
      <x:c r="A1773" s="14"/>
      <x:c r="B1773" s="15"/>
      <x:c r="C1773" s="16" t="str">
        <x:f>IF(AND(ISNUMBER(B1773),ISNUMBER(B1772),B1773&gt;0,B1772&gt;0),LN(B1773/B1772),"")</x:f>
      </x:c>
      <x:c r="D1773" s="16" t="str">
        <x:f>IF(ISNUMBER(C1773),ABS(C1773),"")</x:f>
      </x:c>
      <x:c r="E1773" s="16" t="str">
        <x:f>IF(ISNUMBER(C1773),C1773^2,"")</x:f>
      </x:c>
      <x:c r="F1773" s="16" t="str">
        <x:f>IF(AND(ISNUMBER(C1773),ISNUMBER($J$6),$J$6&gt;0),(C1773-$J$5)/$J$6,"")</x:f>
      </x:c>
      <x:c r="G1773" s="1" t="str">
        <x:f>IF(ISNUMBER(F1773),IF(ABS(F1773)&gt;3,1,0),"")</x:f>
      </x:c>
      <x:c r="H1773" s="1" t="str">
        <x:f>IF(ISNUMBER(F1773),F1773^4,"")</x:f>
      </x:c>
      <x:c r="I1773" s="1"/>
      <x:c r="J1773" s="1"/>
      <x:c r="K1773" s="1"/>
      <x:c r="L1773" s="1"/>
      <x:c r="M1773" s="1"/>
      <x:c r="N1773" s="1"/>
    </x:row>
    <x:row r="1774" ht="22" customHeight="1">
      <x:c r="A1774" s="14"/>
      <x:c r="B1774" s="15"/>
      <x:c r="C1774" s="16" t="str">
        <x:f>IF(AND(ISNUMBER(B1774),ISNUMBER(B1773),B1774&gt;0,B1773&gt;0),LN(B1774/B1773),"")</x:f>
      </x:c>
      <x:c r="D1774" s="16" t="str">
        <x:f>IF(ISNUMBER(C1774),ABS(C1774),"")</x:f>
      </x:c>
      <x:c r="E1774" s="16" t="str">
        <x:f>IF(ISNUMBER(C1774),C1774^2,"")</x:f>
      </x:c>
      <x:c r="F1774" s="16" t="str">
        <x:f>IF(AND(ISNUMBER(C1774),ISNUMBER($J$6),$J$6&gt;0),(C1774-$J$5)/$J$6,"")</x:f>
      </x:c>
      <x:c r="G1774" s="1" t="str">
        <x:f>IF(ISNUMBER(F1774),IF(ABS(F1774)&gt;3,1,0),"")</x:f>
      </x:c>
      <x:c r="H1774" s="1" t="str">
        <x:f>IF(ISNUMBER(F1774),F1774^4,"")</x:f>
      </x:c>
      <x:c r="I1774" s="1"/>
      <x:c r="J1774" s="1"/>
      <x:c r="K1774" s="1"/>
      <x:c r="L1774" s="1"/>
      <x:c r="M1774" s="1"/>
      <x:c r="N1774" s="1"/>
    </x:row>
    <x:row r="1775" ht="22" customHeight="1">
      <x:c r="A1775" s="14"/>
      <x:c r="B1775" s="15"/>
      <x:c r="C1775" s="16" t="str">
        <x:f>IF(AND(ISNUMBER(B1775),ISNUMBER(B1774),B1775&gt;0,B1774&gt;0),LN(B1775/B1774),"")</x:f>
      </x:c>
      <x:c r="D1775" s="16" t="str">
        <x:f>IF(ISNUMBER(C1775),ABS(C1775),"")</x:f>
      </x:c>
      <x:c r="E1775" s="16" t="str">
        <x:f>IF(ISNUMBER(C1775),C1775^2,"")</x:f>
      </x:c>
      <x:c r="F1775" s="16" t="str">
        <x:f>IF(AND(ISNUMBER(C1775),ISNUMBER($J$6),$J$6&gt;0),(C1775-$J$5)/$J$6,"")</x:f>
      </x:c>
      <x:c r="G1775" s="1" t="str">
        <x:f>IF(ISNUMBER(F1775),IF(ABS(F1775)&gt;3,1,0),"")</x:f>
      </x:c>
      <x:c r="H1775" s="1" t="str">
        <x:f>IF(ISNUMBER(F1775),F1775^4,"")</x:f>
      </x:c>
      <x:c r="I1775" s="1"/>
      <x:c r="J1775" s="1"/>
      <x:c r="K1775" s="1"/>
      <x:c r="L1775" s="1"/>
      <x:c r="M1775" s="1"/>
      <x:c r="N1775" s="1"/>
    </x:row>
    <x:row r="1776" ht="22" customHeight="1">
      <x:c r="A1776" s="14"/>
      <x:c r="B1776" s="15"/>
      <x:c r="C1776" s="16" t="str">
        <x:f>IF(AND(ISNUMBER(B1776),ISNUMBER(B1775),B1776&gt;0,B1775&gt;0),LN(B1776/B1775),"")</x:f>
      </x:c>
      <x:c r="D1776" s="16" t="str">
        <x:f>IF(ISNUMBER(C1776),ABS(C1776),"")</x:f>
      </x:c>
      <x:c r="E1776" s="16" t="str">
        <x:f>IF(ISNUMBER(C1776),C1776^2,"")</x:f>
      </x:c>
      <x:c r="F1776" s="16" t="str">
        <x:f>IF(AND(ISNUMBER(C1776),ISNUMBER($J$6),$J$6&gt;0),(C1776-$J$5)/$J$6,"")</x:f>
      </x:c>
      <x:c r="G1776" s="1" t="str">
        <x:f>IF(ISNUMBER(F1776),IF(ABS(F1776)&gt;3,1,0),"")</x:f>
      </x:c>
      <x:c r="H1776" s="1" t="str">
        <x:f>IF(ISNUMBER(F1776),F1776^4,"")</x:f>
      </x:c>
      <x:c r="I1776" s="1"/>
      <x:c r="J1776" s="1"/>
      <x:c r="K1776" s="1"/>
      <x:c r="L1776" s="1"/>
      <x:c r="M1776" s="1"/>
      <x:c r="N1776" s="1"/>
    </x:row>
    <x:row r="1777" ht="22" customHeight="1">
      <x:c r="A1777" s="14"/>
      <x:c r="B1777" s="15"/>
      <x:c r="C1777" s="16" t="str">
        <x:f>IF(AND(ISNUMBER(B1777),ISNUMBER(B1776),B1777&gt;0,B1776&gt;0),LN(B1777/B1776),"")</x:f>
      </x:c>
      <x:c r="D1777" s="16" t="str">
        <x:f>IF(ISNUMBER(C1777),ABS(C1777),"")</x:f>
      </x:c>
      <x:c r="E1777" s="16" t="str">
        <x:f>IF(ISNUMBER(C1777),C1777^2,"")</x:f>
      </x:c>
      <x:c r="F1777" s="16" t="str">
        <x:f>IF(AND(ISNUMBER(C1777),ISNUMBER($J$6),$J$6&gt;0),(C1777-$J$5)/$J$6,"")</x:f>
      </x:c>
      <x:c r="G1777" s="1" t="str">
        <x:f>IF(ISNUMBER(F1777),IF(ABS(F1777)&gt;3,1,0),"")</x:f>
      </x:c>
      <x:c r="H1777" s="1" t="str">
        <x:f>IF(ISNUMBER(F1777),F1777^4,"")</x:f>
      </x:c>
      <x:c r="I1777" s="1"/>
      <x:c r="J1777" s="1"/>
      <x:c r="K1777" s="1"/>
      <x:c r="L1777" s="1"/>
      <x:c r="M1777" s="1"/>
      <x:c r="N1777" s="1"/>
    </x:row>
    <x:row r="1778" ht="22" customHeight="1">
      <x:c r="A1778" s="14"/>
      <x:c r="B1778" s="15"/>
      <x:c r="C1778" s="16" t="str">
        <x:f>IF(AND(ISNUMBER(B1778),ISNUMBER(B1777),B1778&gt;0,B1777&gt;0),LN(B1778/B1777),"")</x:f>
      </x:c>
      <x:c r="D1778" s="16" t="str">
        <x:f>IF(ISNUMBER(C1778),ABS(C1778),"")</x:f>
      </x:c>
      <x:c r="E1778" s="16" t="str">
        <x:f>IF(ISNUMBER(C1778),C1778^2,"")</x:f>
      </x:c>
      <x:c r="F1778" s="16" t="str">
        <x:f>IF(AND(ISNUMBER(C1778),ISNUMBER($J$6),$J$6&gt;0),(C1778-$J$5)/$J$6,"")</x:f>
      </x:c>
      <x:c r="G1778" s="1" t="str">
        <x:f>IF(ISNUMBER(F1778),IF(ABS(F1778)&gt;3,1,0),"")</x:f>
      </x:c>
      <x:c r="H1778" s="1" t="str">
        <x:f>IF(ISNUMBER(F1778),F1778^4,"")</x:f>
      </x:c>
      <x:c r="I1778" s="1"/>
      <x:c r="J1778" s="1"/>
      <x:c r="K1778" s="1"/>
      <x:c r="L1778" s="1"/>
      <x:c r="M1778" s="1"/>
      <x:c r="N1778" s="1"/>
    </x:row>
    <x:row r="1779" ht="22" customHeight="1">
      <x:c r="A1779" s="14"/>
      <x:c r="B1779" s="15"/>
      <x:c r="C1779" s="16" t="str">
        <x:f>IF(AND(ISNUMBER(B1779),ISNUMBER(B1778),B1779&gt;0,B1778&gt;0),LN(B1779/B1778),"")</x:f>
      </x:c>
      <x:c r="D1779" s="16" t="str">
        <x:f>IF(ISNUMBER(C1779),ABS(C1779),"")</x:f>
      </x:c>
      <x:c r="E1779" s="16" t="str">
        <x:f>IF(ISNUMBER(C1779),C1779^2,"")</x:f>
      </x:c>
      <x:c r="F1779" s="16" t="str">
        <x:f>IF(AND(ISNUMBER(C1779),ISNUMBER($J$6),$J$6&gt;0),(C1779-$J$5)/$J$6,"")</x:f>
      </x:c>
      <x:c r="G1779" s="1" t="str">
        <x:f>IF(ISNUMBER(F1779),IF(ABS(F1779)&gt;3,1,0),"")</x:f>
      </x:c>
      <x:c r="H1779" s="1" t="str">
        <x:f>IF(ISNUMBER(F1779),F1779^4,"")</x:f>
      </x:c>
      <x:c r="I1779" s="1"/>
      <x:c r="J1779" s="1"/>
      <x:c r="K1779" s="1"/>
      <x:c r="L1779" s="1"/>
      <x:c r="M1779" s="1"/>
      <x:c r="N1779" s="1"/>
    </x:row>
    <x:row r="1780" ht="22" customHeight="1">
      <x:c r="A1780" s="14"/>
      <x:c r="B1780" s="15"/>
      <x:c r="C1780" s="16" t="str">
        <x:f>IF(AND(ISNUMBER(B1780),ISNUMBER(B1779),B1780&gt;0,B1779&gt;0),LN(B1780/B1779),"")</x:f>
      </x:c>
      <x:c r="D1780" s="16" t="str">
        <x:f>IF(ISNUMBER(C1780),ABS(C1780),"")</x:f>
      </x:c>
      <x:c r="E1780" s="16" t="str">
        <x:f>IF(ISNUMBER(C1780),C1780^2,"")</x:f>
      </x:c>
      <x:c r="F1780" s="16" t="str">
        <x:f>IF(AND(ISNUMBER(C1780),ISNUMBER($J$6),$J$6&gt;0),(C1780-$J$5)/$J$6,"")</x:f>
      </x:c>
      <x:c r="G1780" s="1" t="str">
        <x:f>IF(ISNUMBER(F1780),IF(ABS(F1780)&gt;3,1,0),"")</x:f>
      </x:c>
      <x:c r="H1780" s="1" t="str">
        <x:f>IF(ISNUMBER(F1780),F1780^4,"")</x:f>
      </x:c>
      <x:c r="I1780" s="1"/>
      <x:c r="J1780" s="1"/>
      <x:c r="K1780" s="1"/>
      <x:c r="L1780" s="1"/>
      <x:c r="M1780" s="1"/>
      <x:c r="N1780" s="1"/>
    </x:row>
    <x:row r="1781" ht="22" customHeight="1">
      <x:c r="A1781" s="14"/>
      <x:c r="B1781" s="15"/>
      <x:c r="C1781" s="16" t="str">
        <x:f>IF(AND(ISNUMBER(B1781),ISNUMBER(B1780),B1781&gt;0,B1780&gt;0),LN(B1781/B1780),"")</x:f>
      </x:c>
      <x:c r="D1781" s="16" t="str">
        <x:f>IF(ISNUMBER(C1781),ABS(C1781),"")</x:f>
      </x:c>
      <x:c r="E1781" s="16" t="str">
        <x:f>IF(ISNUMBER(C1781),C1781^2,"")</x:f>
      </x:c>
      <x:c r="F1781" s="16" t="str">
        <x:f>IF(AND(ISNUMBER(C1781),ISNUMBER($J$6),$J$6&gt;0),(C1781-$J$5)/$J$6,"")</x:f>
      </x:c>
      <x:c r="G1781" s="1" t="str">
        <x:f>IF(ISNUMBER(F1781),IF(ABS(F1781)&gt;3,1,0),"")</x:f>
      </x:c>
      <x:c r="H1781" s="1" t="str">
        <x:f>IF(ISNUMBER(F1781),F1781^4,"")</x:f>
      </x:c>
      <x:c r="I1781" s="1"/>
      <x:c r="J1781" s="1"/>
      <x:c r="K1781" s="1"/>
      <x:c r="L1781" s="1"/>
      <x:c r="M1781" s="1"/>
      <x:c r="N1781" s="1"/>
    </x:row>
    <x:row r="1782" ht="22" customHeight="1">
      <x:c r="A1782" s="14"/>
      <x:c r="B1782" s="15"/>
      <x:c r="C1782" s="16" t="str">
        <x:f>IF(AND(ISNUMBER(B1782),ISNUMBER(B1781),B1782&gt;0,B1781&gt;0),LN(B1782/B1781),"")</x:f>
      </x:c>
      <x:c r="D1782" s="16" t="str">
        <x:f>IF(ISNUMBER(C1782),ABS(C1782),"")</x:f>
      </x:c>
      <x:c r="E1782" s="16" t="str">
        <x:f>IF(ISNUMBER(C1782),C1782^2,"")</x:f>
      </x:c>
      <x:c r="F1782" s="16" t="str">
        <x:f>IF(AND(ISNUMBER(C1782),ISNUMBER($J$6),$J$6&gt;0),(C1782-$J$5)/$J$6,"")</x:f>
      </x:c>
      <x:c r="G1782" s="1" t="str">
        <x:f>IF(ISNUMBER(F1782),IF(ABS(F1782)&gt;3,1,0),"")</x:f>
      </x:c>
      <x:c r="H1782" s="1" t="str">
        <x:f>IF(ISNUMBER(F1782),F1782^4,"")</x:f>
      </x:c>
      <x:c r="I1782" s="1"/>
      <x:c r="J1782" s="1"/>
      <x:c r="K1782" s="1"/>
      <x:c r="L1782" s="1"/>
      <x:c r="M1782" s="1"/>
      <x:c r="N1782" s="1"/>
    </x:row>
    <x:row r="1783" ht="22" customHeight="1">
      <x:c r="A1783" s="14"/>
      <x:c r="B1783" s="15"/>
      <x:c r="C1783" s="16" t="str">
        <x:f>IF(AND(ISNUMBER(B1783),ISNUMBER(B1782),B1783&gt;0,B1782&gt;0),LN(B1783/B1782),"")</x:f>
      </x:c>
      <x:c r="D1783" s="16" t="str">
        <x:f>IF(ISNUMBER(C1783),ABS(C1783),"")</x:f>
      </x:c>
      <x:c r="E1783" s="16" t="str">
        <x:f>IF(ISNUMBER(C1783),C1783^2,"")</x:f>
      </x:c>
      <x:c r="F1783" s="16" t="str">
        <x:f>IF(AND(ISNUMBER(C1783),ISNUMBER($J$6),$J$6&gt;0),(C1783-$J$5)/$J$6,"")</x:f>
      </x:c>
      <x:c r="G1783" s="1" t="str">
        <x:f>IF(ISNUMBER(F1783),IF(ABS(F1783)&gt;3,1,0),"")</x:f>
      </x:c>
      <x:c r="H1783" s="1" t="str">
        <x:f>IF(ISNUMBER(F1783),F1783^4,"")</x:f>
      </x:c>
      <x:c r="I1783" s="1"/>
      <x:c r="J1783" s="1"/>
      <x:c r="K1783" s="1"/>
      <x:c r="L1783" s="1"/>
      <x:c r="M1783" s="1"/>
      <x:c r="N1783" s="1"/>
    </x:row>
    <x:row r="1784" ht="22" customHeight="1">
      <x:c r="A1784" s="14"/>
      <x:c r="B1784" s="15"/>
      <x:c r="C1784" s="16" t="str">
        <x:f>IF(AND(ISNUMBER(B1784),ISNUMBER(B1783),B1784&gt;0,B1783&gt;0),LN(B1784/B1783),"")</x:f>
      </x:c>
      <x:c r="D1784" s="16" t="str">
        <x:f>IF(ISNUMBER(C1784),ABS(C1784),"")</x:f>
      </x:c>
      <x:c r="E1784" s="16" t="str">
        <x:f>IF(ISNUMBER(C1784),C1784^2,"")</x:f>
      </x:c>
      <x:c r="F1784" s="16" t="str">
        <x:f>IF(AND(ISNUMBER(C1784),ISNUMBER($J$6),$J$6&gt;0),(C1784-$J$5)/$J$6,"")</x:f>
      </x:c>
      <x:c r="G1784" s="1" t="str">
        <x:f>IF(ISNUMBER(F1784),IF(ABS(F1784)&gt;3,1,0),"")</x:f>
      </x:c>
      <x:c r="H1784" s="1" t="str">
        <x:f>IF(ISNUMBER(F1784),F1784^4,"")</x:f>
      </x:c>
      <x:c r="I1784" s="1"/>
      <x:c r="J1784" s="1"/>
      <x:c r="K1784" s="1"/>
      <x:c r="L1784" s="1"/>
      <x:c r="M1784" s="1"/>
      <x:c r="N1784" s="1"/>
    </x:row>
    <x:row r="1785" ht="22" customHeight="1">
      <x:c r="A1785" s="14"/>
      <x:c r="B1785" s="15"/>
      <x:c r="C1785" s="16" t="str">
        <x:f>IF(AND(ISNUMBER(B1785),ISNUMBER(B1784),B1785&gt;0,B1784&gt;0),LN(B1785/B1784),"")</x:f>
      </x:c>
      <x:c r="D1785" s="16" t="str">
        <x:f>IF(ISNUMBER(C1785),ABS(C1785),"")</x:f>
      </x:c>
      <x:c r="E1785" s="16" t="str">
        <x:f>IF(ISNUMBER(C1785),C1785^2,"")</x:f>
      </x:c>
      <x:c r="F1785" s="16" t="str">
        <x:f>IF(AND(ISNUMBER(C1785),ISNUMBER($J$6),$J$6&gt;0),(C1785-$J$5)/$J$6,"")</x:f>
      </x:c>
      <x:c r="G1785" s="1" t="str">
        <x:f>IF(ISNUMBER(F1785),IF(ABS(F1785)&gt;3,1,0),"")</x:f>
      </x:c>
      <x:c r="H1785" s="1" t="str">
        <x:f>IF(ISNUMBER(F1785),F1785^4,"")</x:f>
      </x:c>
      <x:c r="I1785" s="1"/>
      <x:c r="J1785" s="1"/>
      <x:c r="K1785" s="1"/>
      <x:c r="L1785" s="1"/>
      <x:c r="M1785" s="1"/>
      <x:c r="N1785" s="1"/>
    </x:row>
    <x:row r="1786" ht="22" customHeight="1">
      <x:c r="A1786" s="14"/>
      <x:c r="B1786" s="15"/>
      <x:c r="C1786" s="16" t="str">
        <x:f>IF(AND(ISNUMBER(B1786),ISNUMBER(B1785),B1786&gt;0,B1785&gt;0),LN(B1786/B1785),"")</x:f>
      </x:c>
      <x:c r="D1786" s="16" t="str">
        <x:f>IF(ISNUMBER(C1786),ABS(C1786),"")</x:f>
      </x:c>
      <x:c r="E1786" s="16" t="str">
        <x:f>IF(ISNUMBER(C1786),C1786^2,"")</x:f>
      </x:c>
      <x:c r="F1786" s="16" t="str">
        <x:f>IF(AND(ISNUMBER(C1786),ISNUMBER($J$6),$J$6&gt;0),(C1786-$J$5)/$J$6,"")</x:f>
      </x:c>
      <x:c r="G1786" s="1" t="str">
        <x:f>IF(ISNUMBER(F1786),IF(ABS(F1786)&gt;3,1,0),"")</x:f>
      </x:c>
      <x:c r="H1786" s="1" t="str">
        <x:f>IF(ISNUMBER(F1786),F1786^4,"")</x:f>
      </x:c>
      <x:c r="I1786" s="1"/>
      <x:c r="J1786" s="1"/>
      <x:c r="K1786" s="1"/>
      <x:c r="L1786" s="1"/>
      <x:c r="M1786" s="1"/>
      <x:c r="N1786" s="1"/>
    </x:row>
    <x:row r="1787" ht="22" customHeight="1">
      <x:c r="A1787" s="14"/>
      <x:c r="B1787" s="15"/>
      <x:c r="C1787" s="16" t="str">
        <x:f>IF(AND(ISNUMBER(B1787),ISNUMBER(B1786),B1787&gt;0,B1786&gt;0),LN(B1787/B1786),"")</x:f>
      </x:c>
      <x:c r="D1787" s="16" t="str">
        <x:f>IF(ISNUMBER(C1787),ABS(C1787),"")</x:f>
      </x:c>
      <x:c r="E1787" s="16" t="str">
        <x:f>IF(ISNUMBER(C1787),C1787^2,"")</x:f>
      </x:c>
      <x:c r="F1787" s="16" t="str">
        <x:f>IF(AND(ISNUMBER(C1787),ISNUMBER($J$6),$J$6&gt;0),(C1787-$J$5)/$J$6,"")</x:f>
      </x:c>
      <x:c r="G1787" s="1" t="str">
        <x:f>IF(ISNUMBER(F1787),IF(ABS(F1787)&gt;3,1,0),"")</x:f>
      </x:c>
      <x:c r="H1787" s="1" t="str">
        <x:f>IF(ISNUMBER(F1787),F1787^4,"")</x:f>
      </x:c>
      <x:c r="I1787" s="1"/>
      <x:c r="J1787" s="1"/>
      <x:c r="K1787" s="1"/>
      <x:c r="L1787" s="1"/>
      <x:c r="M1787" s="1"/>
      <x:c r="N1787" s="1"/>
    </x:row>
    <x:row r="1788" ht="22" customHeight="1">
      <x:c r="A1788" s="14"/>
      <x:c r="B1788" s="15"/>
      <x:c r="C1788" s="16" t="str">
        <x:f>IF(AND(ISNUMBER(B1788),ISNUMBER(B1787),B1788&gt;0,B1787&gt;0),LN(B1788/B1787),"")</x:f>
      </x:c>
      <x:c r="D1788" s="16" t="str">
        <x:f>IF(ISNUMBER(C1788),ABS(C1788),"")</x:f>
      </x:c>
      <x:c r="E1788" s="16" t="str">
        <x:f>IF(ISNUMBER(C1788),C1788^2,"")</x:f>
      </x:c>
      <x:c r="F1788" s="16" t="str">
        <x:f>IF(AND(ISNUMBER(C1788),ISNUMBER($J$6),$J$6&gt;0),(C1788-$J$5)/$J$6,"")</x:f>
      </x:c>
      <x:c r="G1788" s="1" t="str">
        <x:f>IF(ISNUMBER(F1788),IF(ABS(F1788)&gt;3,1,0),"")</x:f>
      </x:c>
      <x:c r="H1788" s="1" t="str">
        <x:f>IF(ISNUMBER(F1788),F1788^4,"")</x:f>
      </x:c>
      <x:c r="I1788" s="1"/>
      <x:c r="J1788" s="1"/>
      <x:c r="K1788" s="1"/>
      <x:c r="L1788" s="1"/>
      <x:c r="M1788" s="1"/>
      <x:c r="N1788" s="1"/>
    </x:row>
    <x:row r="1789" ht="22" customHeight="1">
      <x:c r="A1789" s="14"/>
      <x:c r="B1789" s="15"/>
      <x:c r="C1789" s="16" t="str">
        <x:f>IF(AND(ISNUMBER(B1789),ISNUMBER(B1788),B1789&gt;0,B1788&gt;0),LN(B1789/B1788),"")</x:f>
      </x:c>
      <x:c r="D1789" s="16" t="str">
        <x:f>IF(ISNUMBER(C1789),ABS(C1789),"")</x:f>
      </x:c>
      <x:c r="E1789" s="16" t="str">
        <x:f>IF(ISNUMBER(C1789),C1789^2,"")</x:f>
      </x:c>
      <x:c r="F1789" s="16" t="str">
        <x:f>IF(AND(ISNUMBER(C1789),ISNUMBER($J$6),$J$6&gt;0),(C1789-$J$5)/$J$6,"")</x:f>
      </x:c>
      <x:c r="G1789" s="1" t="str">
        <x:f>IF(ISNUMBER(F1789),IF(ABS(F1789)&gt;3,1,0),"")</x:f>
      </x:c>
      <x:c r="H1789" s="1" t="str">
        <x:f>IF(ISNUMBER(F1789),F1789^4,"")</x:f>
      </x:c>
      <x:c r="I1789" s="1"/>
      <x:c r="J1789" s="1"/>
      <x:c r="K1789" s="1"/>
      <x:c r="L1789" s="1"/>
      <x:c r="M1789" s="1"/>
      <x:c r="N1789" s="1"/>
    </x:row>
    <x:row r="1790" ht="22" customHeight="1">
      <x:c r="A1790" s="14"/>
      <x:c r="B1790" s="15"/>
      <x:c r="C1790" s="16" t="str">
        <x:f>IF(AND(ISNUMBER(B1790),ISNUMBER(B1789),B1790&gt;0,B1789&gt;0),LN(B1790/B1789),"")</x:f>
      </x:c>
      <x:c r="D1790" s="16" t="str">
        <x:f>IF(ISNUMBER(C1790),ABS(C1790),"")</x:f>
      </x:c>
      <x:c r="E1790" s="16" t="str">
        <x:f>IF(ISNUMBER(C1790),C1790^2,"")</x:f>
      </x:c>
      <x:c r="F1790" s="16" t="str">
        <x:f>IF(AND(ISNUMBER(C1790),ISNUMBER($J$6),$J$6&gt;0),(C1790-$J$5)/$J$6,"")</x:f>
      </x:c>
      <x:c r="G1790" s="1" t="str">
        <x:f>IF(ISNUMBER(F1790),IF(ABS(F1790)&gt;3,1,0),"")</x:f>
      </x:c>
      <x:c r="H1790" s="1" t="str">
        <x:f>IF(ISNUMBER(F1790),F1790^4,"")</x:f>
      </x:c>
      <x:c r="I1790" s="1"/>
      <x:c r="J1790" s="1"/>
      <x:c r="K1790" s="1"/>
      <x:c r="L1790" s="1"/>
      <x:c r="M1790" s="1"/>
      <x:c r="N1790" s="1"/>
    </x:row>
    <x:row r="1791" ht="22" customHeight="1">
      <x:c r="A1791" s="14"/>
      <x:c r="B1791" s="15"/>
      <x:c r="C1791" s="16" t="str">
        <x:f>IF(AND(ISNUMBER(B1791),ISNUMBER(B1790),B1791&gt;0,B1790&gt;0),LN(B1791/B1790),"")</x:f>
      </x:c>
      <x:c r="D1791" s="16" t="str">
        <x:f>IF(ISNUMBER(C1791),ABS(C1791),"")</x:f>
      </x:c>
      <x:c r="E1791" s="16" t="str">
        <x:f>IF(ISNUMBER(C1791),C1791^2,"")</x:f>
      </x:c>
      <x:c r="F1791" s="16" t="str">
        <x:f>IF(AND(ISNUMBER(C1791),ISNUMBER($J$6),$J$6&gt;0),(C1791-$J$5)/$J$6,"")</x:f>
      </x:c>
      <x:c r="G1791" s="1" t="str">
        <x:f>IF(ISNUMBER(F1791),IF(ABS(F1791)&gt;3,1,0),"")</x:f>
      </x:c>
      <x:c r="H1791" s="1" t="str">
        <x:f>IF(ISNUMBER(F1791),F1791^4,"")</x:f>
      </x:c>
      <x:c r="I1791" s="1"/>
      <x:c r="J1791" s="1"/>
      <x:c r="K1791" s="1"/>
      <x:c r="L1791" s="1"/>
      <x:c r="M1791" s="1"/>
      <x:c r="N1791" s="1"/>
    </x:row>
    <x:row r="1792" ht="22" customHeight="1">
      <x:c r="A1792" s="14"/>
      <x:c r="B1792" s="15"/>
      <x:c r="C1792" s="16" t="str">
        <x:f>IF(AND(ISNUMBER(B1792),ISNUMBER(B1791),B1792&gt;0,B1791&gt;0),LN(B1792/B1791),"")</x:f>
      </x:c>
      <x:c r="D1792" s="16" t="str">
        <x:f>IF(ISNUMBER(C1792),ABS(C1792),"")</x:f>
      </x:c>
      <x:c r="E1792" s="16" t="str">
        <x:f>IF(ISNUMBER(C1792),C1792^2,"")</x:f>
      </x:c>
      <x:c r="F1792" s="16" t="str">
        <x:f>IF(AND(ISNUMBER(C1792),ISNUMBER($J$6),$J$6&gt;0),(C1792-$J$5)/$J$6,"")</x:f>
      </x:c>
      <x:c r="G1792" s="1" t="str">
        <x:f>IF(ISNUMBER(F1792),IF(ABS(F1792)&gt;3,1,0),"")</x:f>
      </x:c>
      <x:c r="H1792" s="1" t="str">
        <x:f>IF(ISNUMBER(F1792),F1792^4,"")</x:f>
      </x:c>
      <x:c r="I1792" s="1"/>
      <x:c r="J1792" s="1"/>
      <x:c r="K1792" s="1"/>
      <x:c r="L1792" s="1"/>
      <x:c r="M1792" s="1"/>
      <x:c r="N1792" s="1"/>
    </x:row>
    <x:row r="1793" ht="22" customHeight="1">
      <x:c r="A1793" s="14"/>
      <x:c r="B1793" s="15"/>
      <x:c r="C1793" s="16" t="str">
        <x:f>IF(AND(ISNUMBER(B1793),ISNUMBER(B1792),B1793&gt;0,B1792&gt;0),LN(B1793/B1792),"")</x:f>
      </x:c>
      <x:c r="D1793" s="16" t="str">
        <x:f>IF(ISNUMBER(C1793),ABS(C1793),"")</x:f>
      </x:c>
      <x:c r="E1793" s="16" t="str">
        <x:f>IF(ISNUMBER(C1793),C1793^2,"")</x:f>
      </x:c>
      <x:c r="F1793" s="16" t="str">
        <x:f>IF(AND(ISNUMBER(C1793),ISNUMBER($J$6),$J$6&gt;0),(C1793-$J$5)/$J$6,"")</x:f>
      </x:c>
      <x:c r="G1793" s="1" t="str">
        <x:f>IF(ISNUMBER(F1793),IF(ABS(F1793)&gt;3,1,0),"")</x:f>
      </x:c>
      <x:c r="H1793" s="1" t="str">
        <x:f>IF(ISNUMBER(F1793),F1793^4,"")</x:f>
      </x:c>
      <x:c r="I1793" s="1"/>
      <x:c r="J1793" s="1"/>
      <x:c r="K1793" s="1"/>
      <x:c r="L1793" s="1"/>
      <x:c r="M1793" s="1"/>
      <x:c r="N1793" s="1"/>
    </x:row>
    <x:row r="1794" ht="22" customHeight="1">
      <x:c r="A1794" s="14"/>
      <x:c r="B1794" s="15"/>
      <x:c r="C1794" s="16" t="str">
        <x:f>IF(AND(ISNUMBER(B1794),ISNUMBER(B1793),B1794&gt;0,B1793&gt;0),LN(B1794/B1793),"")</x:f>
      </x:c>
      <x:c r="D1794" s="16" t="str">
        <x:f>IF(ISNUMBER(C1794),ABS(C1794),"")</x:f>
      </x:c>
      <x:c r="E1794" s="16" t="str">
        <x:f>IF(ISNUMBER(C1794),C1794^2,"")</x:f>
      </x:c>
      <x:c r="F1794" s="16" t="str">
        <x:f>IF(AND(ISNUMBER(C1794),ISNUMBER($J$6),$J$6&gt;0),(C1794-$J$5)/$J$6,"")</x:f>
      </x:c>
      <x:c r="G1794" s="1" t="str">
        <x:f>IF(ISNUMBER(F1794),IF(ABS(F1794)&gt;3,1,0),"")</x:f>
      </x:c>
      <x:c r="H1794" s="1" t="str">
        <x:f>IF(ISNUMBER(F1794),F1794^4,"")</x:f>
      </x:c>
      <x:c r="I1794" s="1"/>
      <x:c r="J1794" s="1"/>
      <x:c r="K1794" s="1"/>
      <x:c r="L1794" s="1"/>
      <x:c r="M1794" s="1"/>
      <x:c r="N1794" s="1"/>
    </x:row>
    <x:row r="1795" ht="22" customHeight="1">
      <x:c r="A1795" s="14"/>
      <x:c r="B1795" s="15"/>
      <x:c r="C1795" s="16" t="str">
        <x:f>IF(AND(ISNUMBER(B1795),ISNUMBER(B1794),B1795&gt;0,B1794&gt;0),LN(B1795/B1794),"")</x:f>
      </x:c>
      <x:c r="D1795" s="16" t="str">
        <x:f>IF(ISNUMBER(C1795),ABS(C1795),"")</x:f>
      </x:c>
      <x:c r="E1795" s="16" t="str">
        <x:f>IF(ISNUMBER(C1795),C1795^2,"")</x:f>
      </x:c>
      <x:c r="F1795" s="16" t="str">
        <x:f>IF(AND(ISNUMBER(C1795),ISNUMBER($J$6),$J$6&gt;0),(C1795-$J$5)/$J$6,"")</x:f>
      </x:c>
      <x:c r="G1795" s="1" t="str">
        <x:f>IF(ISNUMBER(F1795),IF(ABS(F1795)&gt;3,1,0),"")</x:f>
      </x:c>
      <x:c r="H1795" s="1" t="str">
        <x:f>IF(ISNUMBER(F1795),F1795^4,"")</x:f>
      </x:c>
      <x:c r="I1795" s="1"/>
      <x:c r="J1795" s="1"/>
      <x:c r="K1795" s="1"/>
      <x:c r="L1795" s="1"/>
      <x:c r="M1795" s="1"/>
      <x:c r="N1795" s="1"/>
    </x:row>
    <x:row r="1796" ht="22" customHeight="1">
      <x:c r="A1796" s="14"/>
      <x:c r="B1796" s="15"/>
      <x:c r="C1796" s="16" t="str">
        <x:f>IF(AND(ISNUMBER(B1796),ISNUMBER(B1795),B1796&gt;0,B1795&gt;0),LN(B1796/B1795),"")</x:f>
      </x:c>
      <x:c r="D1796" s="16" t="str">
        <x:f>IF(ISNUMBER(C1796),ABS(C1796),"")</x:f>
      </x:c>
      <x:c r="E1796" s="16" t="str">
        <x:f>IF(ISNUMBER(C1796),C1796^2,"")</x:f>
      </x:c>
      <x:c r="F1796" s="16" t="str">
        <x:f>IF(AND(ISNUMBER(C1796),ISNUMBER($J$6),$J$6&gt;0),(C1796-$J$5)/$J$6,"")</x:f>
      </x:c>
      <x:c r="G1796" s="1" t="str">
        <x:f>IF(ISNUMBER(F1796),IF(ABS(F1796)&gt;3,1,0),"")</x:f>
      </x:c>
      <x:c r="H1796" s="1" t="str">
        <x:f>IF(ISNUMBER(F1796),F1796^4,"")</x:f>
      </x:c>
      <x:c r="I1796" s="1"/>
      <x:c r="J1796" s="1"/>
      <x:c r="K1796" s="1"/>
      <x:c r="L1796" s="1"/>
      <x:c r="M1796" s="1"/>
      <x:c r="N1796" s="1"/>
    </x:row>
    <x:row r="1797" ht="22" customHeight="1">
      <x:c r="A1797" s="14"/>
      <x:c r="B1797" s="15"/>
      <x:c r="C1797" s="16" t="str">
        <x:f>IF(AND(ISNUMBER(B1797),ISNUMBER(B1796),B1797&gt;0,B1796&gt;0),LN(B1797/B1796),"")</x:f>
      </x:c>
      <x:c r="D1797" s="16" t="str">
        <x:f>IF(ISNUMBER(C1797),ABS(C1797),"")</x:f>
      </x:c>
      <x:c r="E1797" s="16" t="str">
        <x:f>IF(ISNUMBER(C1797),C1797^2,"")</x:f>
      </x:c>
      <x:c r="F1797" s="16" t="str">
        <x:f>IF(AND(ISNUMBER(C1797),ISNUMBER($J$6),$J$6&gt;0),(C1797-$J$5)/$J$6,"")</x:f>
      </x:c>
      <x:c r="G1797" s="1" t="str">
        <x:f>IF(ISNUMBER(F1797),IF(ABS(F1797)&gt;3,1,0),"")</x:f>
      </x:c>
      <x:c r="H1797" s="1" t="str">
        <x:f>IF(ISNUMBER(F1797),F1797^4,"")</x:f>
      </x:c>
      <x:c r="I1797" s="1"/>
      <x:c r="J1797" s="1"/>
      <x:c r="K1797" s="1"/>
      <x:c r="L1797" s="1"/>
      <x:c r="M1797" s="1"/>
      <x:c r="N1797" s="1"/>
    </x:row>
    <x:row r="1798" ht="22" customHeight="1">
      <x:c r="A1798" s="14"/>
      <x:c r="B1798" s="15"/>
      <x:c r="C1798" s="16" t="str">
        <x:f>IF(AND(ISNUMBER(B1798),ISNUMBER(B1797),B1798&gt;0,B1797&gt;0),LN(B1798/B1797),"")</x:f>
      </x:c>
      <x:c r="D1798" s="16" t="str">
        <x:f>IF(ISNUMBER(C1798),ABS(C1798),"")</x:f>
      </x:c>
      <x:c r="E1798" s="16" t="str">
        <x:f>IF(ISNUMBER(C1798),C1798^2,"")</x:f>
      </x:c>
      <x:c r="F1798" s="16" t="str">
        <x:f>IF(AND(ISNUMBER(C1798),ISNUMBER($J$6),$J$6&gt;0),(C1798-$J$5)/$J$6,"")</x:f>
      </x:c>
      <x:c r="G1798" s="1" t="str">
        <x:f>IF(ISNUMBER(F1798),IF(ABS(F1798)&gt;3,1,0),"")</x:f>
      </x:c>
      <x:c r="H1798" s="1" t="str">
        <x:f>IF(ISNUMBER(F1798),F1798^4,"")</x:f>
      </x:c>
      <x:c r="I1798" s="1"/>
      <x:c r="J1798" s="1"/>
      <x:c r="K1798" s="1"/>
      <x:c r="L1798" s="1"/>
      <x:c r="M1798" s="1"/>
      <x:c r="N1798" s="1"/>
    </x:row>
    <x:row r="1799" ht="22" customHeight="1">
      <x:c r="A1799" s="14"/>
      <x:c r="B1799" s="15"/>
      <x:c r="C1799" s="16" t="str">
        <x:f>IF(AND(ISNUMBER(B1799),ISNUMBER(B1798),B1799&gt;0,B1798&gt;0),LN(B1799/B1798),"")</x:f>
      </x:c>
      <x:c r="D1799" s="16" t="str">
        <x:f>IF(ISNUMBER(C1799),ABS(C1799),"")</x:f>
      </x:c>
      <x:c r="E1799" s="16" t="str">
        <x:f>IF(ISNUMBER(C1799),C1799^2,"")</x:f>
      </x:c>
      <x:c r="F1799" s="16" t="str">
        <x:f>IF(AND(ISNUMBER(C1799),ISNUMBER($J$6),$J$6&gt;0),(C1799-$J$5)/$J$6,"")</x:f>
      </x:c>
      <x:c r="G1799" s="1" t="str">
        <x:f>IF(ISNUMBER(F1799),IF(ABS(F1799)&gt;3,1,0),"")</x:f>
      </x:c>
      <x:c r="H1799" s="1" t="str">
        <x:f>IF(ISNUMBER(F1799),F1799^4,"")</x:f>
      </x:c>
      <x:c r="I1799" s="1"/>
      <x:c r="J1799" s="1"/>
      <x:c r="K1799" s="1"/>
      <x:c r="L1799" s="1"/>
      <x:c r="M1799" s="1"/>
      <x:c r="N1799" s="1"/>
    </x:row>
    <x:row r="1800" ht="22" customHeight="1">
      <x:c r="A1800" s="14"/>
      <x:c r="B1800" s="15"/>
      <x:c r="C1800" s="16" t="str">
        <x:f>IF(AND(ISNUMBER(B1800),ISNUMBER(B1799),B1800&gt;0,B1799&gt;0),LN(B1800/B1799),"")</x:f>
      </x:c>
      <x:c r="D1800" s="16" t="str">
        <x:f>IF(ISNUMBER(C1800),ABS(C1800),"")</x:f>
      </x:c>
      <x:c r="E1800" s="16" t="str">
        <x:f>IF(ISNUMBER(C1800),C1800^2,"")</x:f>
      </x:c>
      <x:c r="F1800" s="16" t="str">
        <x:f>IF(AND(ISNUMBER(C1800),ISNUMBER($J$6),$J$6&gt;0),(C1800-$J$5)/$J$6,"")</x:f>
      </x:c>
      <x:c r="G1800" s="1" t="str">
        <x:f>IF(ISNUMBER(F1800),IF(ABS(F1800)&gt;3,1,0),"")</x:f>
      </x:c>
      <x:c r="H1800" s="1" t="str">
        <x:f>IF(ISNUMBER(F1800),F1800^4,"")</x:f>
      </x:c>
      <x:c r="I1800" s="1"/>
      <x:c r="J1800" s="1"/>
      <x:c r="K1800" s="1"/>
      <x:c r="L1800" s="1"/>
      <x:c r="M1800" s="1"/>
      <x:c r="N1800" s="1"/>
    </x:row>
    <x:row r="1801" ht="22" customHeight="1">
      <x:c r="A1801" s="14"/>
      <x:c r="B1801" s="15"/>
      <x:c r="C1801" s="16" t="str">
        <x:f>IF(AND(ISNUMBER(B1801),ISNUMBER(B1800),B1801&gt;0,B1800&gt;0),LN(B1801/B1800),"")</x:f>
      </x:c>
      <x:c r="D1801" s="16" t="str">
        <x:f>IF(ISNUMBER(C1801),ABS(C1801),"")</x:f>
      </x:c>
      <x:c r="E1801" s="16" t="str">
        <x:f>IF(ISNUMBER(C1801),C1801^2,"")</x:f>
      </x:c>
      <x:c r="F1801" s="16" t="str">
        <x:f>IF(AND(ISNUMBER(C1801),ISNUMBER($J$6),$J$6&gt;0),(C1801-$J$5)/$J$6,"")</x:f>
      </x:c>
      <x:c r="G1801" s="1" t="str">
        <x:f>IF(ISNUMBER(F1801),IF(ABS(F1801)&gt;3,1,0),"")</x:f>
      </x:c>
      <x:c r="H1801" s="1" t="str">
        <x:f>IF(ISNUMBER(F1801),F1801^4,"")</x:f>
      </x:c>
      <x:c r="I1801" s="1"/>
      <x:c r="J1801" s="1"/>
      <x:c r="K1801" s="1"/>
      <x:c r="L1801" s="1"/>
      <x:c r="M1801" s="1"/>
      <x:c r="N1801" s="1"/>
    </x:row>
    <x:row r="1802" ht="22" customHeight="1">
      <x:c r="A1802" s="14"/>
      <x:c r="B1802" s="15"/>
      <x:c r="C1802" s="16" t="str">
        <x:f>IF(AND(ISNUMBER(B1802),ISNUMBER(B1801),B1802&gt;0,B1801&gt;0),LN(B1802/B1801),"")</x:f>
      </x:c>
      <x:c r="D1802" s="16" t="str">
        <x:f>IF(ISNUMBER(C1802),ABS(C1802),"")</x:f>
      </x:c>
      <x:c r="E1802" s="16" t="str">
        <x:f>IF(ISNUMBER(C1802),C1802^2,"")</x:f>
      </x:c>
      <x:c r="F1802" s="16" t="str">
        <x:f>IF(AND(ISNUMBER(C1802),ISNUMBER($J$6),$J$6&gt;0),(C1802-$J$5)/$J$6,"")</x:f>
      </x:c>
      <x:c r="G1802" s="1" t="str">
        <x:f>IF(ISNUMBER(F1802),IF(ABS(F1802)&gt;3,1,0),"")</x:f>
      </x:c>
      <x:c r="H1802" s="1" t="str">
        <x:f>IF(ISNUMBER(F1802),F1802^4,"")</x:f>
      </x:c>
      <x:c r="I1802" s="1"/>
      <x:c r="J1802" s="1"/>
      <x:c r="K1802" s="1"/>
      <x:c r="L1802" s="1"/>
      <x:c r="M1802" s="1"/>
      <x:c r="N1802" s="1"/>
    </x:row>
    <x:row r="1803" ht="22" customHeight="1">
      <x:c r="A1803" s="14"/>
      <x:c r="B1803" s="15"/>
      <x:c r="C1803" s="16" t="str">
        <x:f>IF(AND(ISNUMBER(B1803),ISNUMBER(B1802),B1803&gt;0,B1802&gt;0),LN(B1803/B1802),"")</x:f>
      </x:c>
      <x:c r="D1803" s="16" t="str">
        <x:f>IF(ISNUMBER(C1803),ABS(C1803),"")</x:f>
      </x:c>
      <x:c r="E1803" s="16" t="str">
        <x:f>IF(ISNUMBER(C1803),C1803^2,"")</x:f>
      </x:c>
      <x:c r="F1803" s="16" t="str">
        <x:f>IF(AND(ISNUMBER(C1803),ISNUMBER($J$6),$J$6&gt;0),(C1803-$J$5)/$J$6,"")</x:f>
      </x:c>
      <x:c r="G1803" s="1" t="str">
        <x:f>IF(ISNUMBER(F1803),IF(ABS(F1803)&gt;3,1,0),"")</x:f>
      </x:c>
      <x:c r="H1803" s="1" t="str">
        <x:f>IF(ISNUMBER(F1803),F1803^4,"")</x:f>
      </x:c>
      <x:c r="I1803" s="1"/>
      <x:c r="J1803" s="1"/>
      <x:c r="K1803" s="1"/>
      <x:c r="L1803" s="1"/>
      <x:c r="M1803" s="1"/>
      <x:c r="N1803" s="1"/>
    </x:row>
    <x:row r="1804" ht="22" customHeight="1">
      <x:c r="A1804" s="14"/>
      <x:c r="B1804" s="15"/>
      <x:c r="C1804" s="16" t="str">
        <x:f>IF(AND(ISNUMBER(B1804),ISNUMBER(B1803),B1804&gt;0,B1803&gt;0),LN(B1804/B1803),"")</x:f>
      </x:c>
      <x:c r="D1804" s="16" t="str">
        <x:f>IF(ISNUMBER(C1804),ABS(C1804),"")</x:f>
      </x:c>
      <x:c r="E1804" s="16" t="str">
        <x:f>IF(ISNUMBER(C1804),C1804^2,"")</x:f>
      </x:c>
      <x:c r="F1804" s="16" t="str">
        <x:f>IF(AND(ISNUMBER(C1804),ISNUMBER($J$6),$J$6&gt;0),(C1804-$J$5)/$J$6,"")</x:f>
      </x:c>
      <x:c r="G1804" s="1" t="str">
        <x:f>IF(ISNUMBER(F1804),IF(ABS(F1804)&gt;3,1,0),"")</x:f>
      </x:c>
      <x:c r="H1804" s="1" t="str">
        <x:f>IF(ISNUMBER(F1804),F1804^4,"")</x:f>
      </x:c>
      <x:c r="I1804" s="1"/>
      <x:c r="J1804" s="1"/>
      <x:c r="K1804" s="1"/>
      <x:c r="L1804" s="1"/>
      <x:c r="M1804" s="1"/>
      <x:c r="N1804" s="1"/>
    </x:row>
    <x:row r="1805" ht="22" customHeight="1">
      <x:c r="A1805" s="14"/>
      <x:c r="B1805" s="15"/>
      <x:c r="C1805" s="16" t="str">
        <x:f>IF(AND(ISNUMBER(B1805),ISNUMBER(B1804),B1805&gt;0,B1804&gt;0),LN(B1805/B1804),"")</x:f>
      </x:c>
      <x:c r="D1805" s="16" t="str">
        <x:f>IF(ISNUMBER(C1805),ABS(C1805),"")</x:f>
      </x:c>
      <x:c r="E1805" s="16" t="str">
        <x:f>IF(ISNUMBER(C1805),C1805^2,"")</x:f>
      </x:c>
      <x:c r="F1805" s="16" t="str">
        <x:f>IF(AND(ISNUMBER(C1805),ISNUMBER($J$6),$J$6&gt;0),(C1805-$J$5)/$J$6,"")</x:f>
      </x:c>
      <x:c r="G1805" s="1" t="str">
        <x:f>IF(ISNUMBER(F1805),IF(ABS(F1805)&gt;3,1,0),"")</x:f>
      </x:c>
      <x:c r="H1805" s="1" t="str">
        <x:f>IF(ISNUMBER(F1805),F1805^4,"")</x:f>
      </x:c>
      <x:c r="I1805" s="1"/>
      <x:c r="J1805" s="1"/>
      <x:c r="K1805" s="1"/>
      <x:c r="L1805" s="1"/>
      <x:c r="M1805" s="1"/>
      <x:c r="N1805" s="1"/>
    </x:row>
    <x:row r="1806" ht="22" customHeight="1">
      <x:c r="A1806" s="14"/>
      <x:c r="B1806" s="15"/>
      <x:c r="C1806" s="16" t="str">
        <x:f>IF(AND(ISNUMBER(B1806),ISNUMBER(B1805),B1806&gt;0,B1805&gt;0),LN(B1806/B1805),"")</x:f>
      </x:c>
      <x:c r="D1806" s="16" t="str">
        <x:f>IF(ISNUMBER(C1806),ABS(C1806),"")</x:f>
      </x:c>
      <x:c r="E1806" s="16" t="str">
        <x:f>IF(ISNUMBER(C1806),C1806^2,"")</x:f>
      </x:c>
      <x:c r="F1806" s="16" t="str">
        <x:f>IF(AND(ISNUMBER(C1806),ISNUMBER($J$6),$J$6&gt;0),(C1806-$J$5)/$J$6,"")</x:f>
      </x:c>
      <x:c r="G1806" s="1" t="str">
        <x:f>IF(ISNUMBER(F1806),IF(ABS(F1806)&gt;3,1,0),"")</x:f>
      </x:c>
      <x:c r="H1806" s="1" t="str">
        <x:f>IF(ISNUMBER(F1806),F1806^4,"")</x:f>
      </x:c>
      <x:c r="I1806" s="1"/>
      <x:c r="J1806" s="1"/>
      <x:c r="K1806" s="1"/>
      <x:c r="L1806" s="1"/>
      <x:c r="M1806" s="1"/>
      <x:c r="N1806" s="1"/>
    </x:row>
    <x:row r="1807" ht="22" customHeight="1">
      <x:c r="A1807" s="14"/>
      <x:c r="B1807" s="15"/>
      <x:c r="C1807" s="16" t="str">
        <x:f>IF(AND(ISNUMBER(B1807),ISNUMBER(B1806),B1807&gt;0,B1806&gt;0),LN(B1807/B1806),"")</x:f>
      </x:c>
      <x:c r="D1807" s="16" t="str">
        <x:f>IF(ISNUMBER(C1807),ABS(C1807),"")</x:f>
      </x:c>
      <x:c r="E1807" s="16" t="str">
        <x:f>IF(ISNUMBER(C1807),C1807^2,"")</x:f>
      </x:c>
      <x:c r="F1807" s="16" t="str">
        <x:f>IF(AND(ISNUMBER(C1807),ISNUMBER($J$6),$J$6&gt;0),(C1807-$J$5)/$J$6,"")</x:f>
      </x:c>
      <x:c r="G1807" s="1" t="str">
        <x:f>IF(ISNUMBER(F1807),IF(ABS(F1807)&gt;3,1,0),"")</x:f>
      </x:c>
      <x:c r="H1807" s="1" t="str">
        <x:f>IF(ISNUMBER(F1807),F1807^4,"")</x:f>
      </x:c>
      <x:c r="I1807" s="1"/>
      <x:c r="J1807" s="1"/>
      <x:c r="K1807" s="1"/>
      <x:c r="L1807" s="1"/>
      <x:c r="M1807" s="1"/>
      <x:c r="N1807" s="1"/>
    </x:row>
    <x:row r="1808" ht="22" customHeight="1">
      <x:c r="A1808" s="14"/>
      <x:c r="B1808" s="15"/>
      <x:c r="C1808" s="16" t="str">
        <x:f>IF(AND(ISNUMBER(B1808),ISNUMBER(B1807),B1808&gt;0,B1807&gt;0),LN(B1808/B1807),"")</x:f>
      </x:c>
      <x:c r="D1808" s="16" t="str">
        <x:f>IF(ISNUMBER(C1808),ABS(C1808),"")</x:f>
      </x:c>
      <x:c r="E1808" s="16" t="str">
        <x:f>IF(ISNUMBER(C1808),C1808^2,"")</x:f>
      </x:c>
      <x:c r="F1808" s="16" t="str">
        <x:f>IF(AND(ISNUMBER(C1808),ISNUMBER($J$6),$J$6&gt;0),(C1808-$J$5)/$J$6,"")</x:f>
      </x:c>
      <x:c r="G1808" s="1" t="str">
        <x:f>IF(ISNUMBER(F1808),IF(ABS(F1808)&gt;3,1,0),"")</x:f>
      </x:c>
      <x:c r="H1808" s="1" t="str">
        <x:f>IF(ISNUMBER(F1808),F1808^4,"")</x:f>
      </x:c>
      <x:c r="I1808" s="1"/>
      <x:c r="J1808" s="1"/>
      <x:c r="K1808" s="1"/>
      <x:c r="L1808" s="1"/>
      <x:c r="M1808" s="1"/>
      <x:c r="N1808" s="1"/>
    </x:row>
    <x:row r="1809" ht="22" customHeight="1">
      <x:c r="A1809" s="14"/>
      <x:c r="B1809" s="15"/>
      <x:c r="C1809" s="16" t="str">
        <x:f>IF(AND(ISNUMBER(B1809),ISNUMBER(B1808),B1809&gt;0,B1808&gt;0),LN(B1809/B1808),"")</x:f>
      </x:c>
      <x:c r="D1809" s="16" t="str">
        <x:f>IF(ISNUMBER(C1809),ABS(C1809),"")</x:f>
      </x:c>
      <x:c r="E1809" s="16" t="str">
        <x:f>IF(ISNUMBER(C1809),C1809^2,"")</x:f>
      </x:c>
      <x:c r="F1809" s="16" t="str">
        <x:f>IF(AND(ISNUMBER(C1809),ISNUMBER($J$6),$J$6&gt;0),(C1809-$J$5)/$J$6,"")</x:f>
      </x:c>
      <x:c r="G1809" s="1" t="str">
        <x:f>IF(ISNUMBER(F1809),IF(ABS(F1809)&gt;3,1,0),"")</x:f>
      </x:c>
      <x:c r="H1809" s="1" t="str">
        <x:f>IF(ISNUMBER(F1809),F1809^4,"")</x:f>
      </x:c>
      <x:c r="I1809" s="1"/>
      <x:c r="J1809" s="1"/>
      <x:c r="K1809" s="1"/>
      <x:c r="L1809" s="1"/>
      <x:c r="M1809" s="1"/>
      <x:c r="N1809" s="1"/>
    </x:row>
    <x:row r="1810" ht="22" customHeight="1">
      <x:c r="A1810" s="14"/>
      <x:c r="B1810" s="15"/>
      <x:c r="C1810" s="16" t="str">
        <x:f>IF(AND(ISNUMBER(B1810),ISNUMBER(B1809),B1810&gt;0,B1809&gt;0),LN(B1810/B1809),"")</x:f>
      </x:c>
      <x:c r="D1810" s="16" t="str">
        <x:f>IF(ISNUMBER(C1810),ABS(C1810),"")</x:f>
      </x:c>
      <x:c r="E1810" s="16" t="str">
        <x:f>IF(ISNUMBER(C1810),C1810^2,"")</x:f>
      </x:c>
      <x:c r="F1810" s="16" t="str">
        <x:f>IF(AND(ISNUMBER(C1810),ISNUMBER($J$6),$J$6&gt;0),(C1810-$J$5)/$J$6,"")</x:f>
      </x:c>
      <x:c r="G1810" s="1" t="str">
        <x:f>IF(ISNUMBER(F1810),IF(ABS(F1810)&gt;3,1,0),"")</x:f>
      </x:c>
      <x:c r="H1810" s="1" t="str">
        <x:f>IF(ISNUMBER(F1810),F1810^4,"")</x:f>
      </x:c>
      <x:c r="I1810" s="1"/>
      <x:c r="J1810" s="1"/>
      <x:c r="K1810" s="1"/>
      <x:c r="L1810" s="1"/>
      <x:c r="M1810" s="1"/>
      <x:c r="N1810" s="1"/>
    </x:row>
    <x:row r="1811" ht="22" customHeight="1">
      <x:c r="A1811" s="14"/>
      <x:c r="B1811" s="15"/>
      <x:c r="C1811" s="16" t="str">
        <x:f>IF(AND(ISNUMBER(B1811),ISNUMBER(B1810),B1811&gt;0,B1810&gt;0),LN(B1811/B1810),"")</x:f>
      </x:c>
      <x:c r="D1811" s="16" t="str">
        <x:f>IF(ISNUMBER(C1811),ABS(C1811),"")</x:f>
      </x:c>
      <x:c r="E1811" s="16" t="str">
        <x:f>IF(ISNUMBER(C1811),C1811^2,"")</x:f>
      </x:c>
      <x:c r="F1811" s="16" t="str">
        <x:f>IF(AND(ISNUMBER(C1811),ISNUMBER($J$6),$J$6&gt;0),(C1811-$J$5)/$J$6,"")</x:f>
      </x:c>
      <x:c r="G1811" s="1" t="str">
        <x:f>IF(ISNUMBER(F1811),IF(ABS(F1811)&gt;3,1,0),"")</x:f>
      </x:c>
      <x:c r="H1811" s="1" t="str">
        <x:f>IF(ISNUMBER(F1811),F1811^4,"")</x:f>
      </x:c>
      <x:c r="I1811" s="1"/>
      <x:c r="J1811" s="1"/>
      <x:c r="K1811" s="1"/>
      <x:c r="L1811" s="1"/>
      <x:c r="M1811" s="1"/>
      <x:c r="N1811" s="1"/>
    </x:row>
    <x:row r="1812" ht="22" customHeight="1">
      <x:c r="A1812" s="14"/>
      <x:c r="B1812" s="15"/>
      <x:c r="C1812" s="16" t="str">
        <x:f>IF(AND(ISNUMBER(B1812),ISNUMBER(B1811),B1812&gt;0,B1811&gt;0),LN(B1812/B1811),"")</x:f>
      </x:c>
      <x:c r="D1812" s="16" t="str">
        <x:f>IF(ISNUMBER(C1812),ABS(C1812),"")</x:f>
      </x:c>
      <x:c r="E1812" s="16" t="str">
        <x:f>IF(ISNUMBER(C1812),C1812^2,"")</x:f>
      </x:c>
      <x:c r="F1812" s="16" t="str">
        <x:f>IF(AND(ISNUMBER(C1812),ISNUMBER($J$6),$J$6&gt;0),(C1812-$J$5)/$J$6,"")</x:f>
      </x:c>
      <x:c r="G1812" s="1" t="str">
        <x:f>IF(ISNUMBER(F1812),IF(ABS(F1812)&gt;3,1,0),"")</x:f>
      </x:c>
      <x:c r="H1812" s="1" t="str">
        <x:f>IF(ISNUMBER(F1812),F1812^4,"")</x:f>
      </x:c>
      <x:c r="I1812" s="1"/>
      <x:c r="J1812" s="1"/>
      <x:c r="K1812" s="1"/>
      <x:c r="L1812" s="1"/>
      <x:c r="M1812" s="1"/>
      <x:c r="N1812" s="1"/>
    </x:row>
    <x:row r="1813" ht="22" customHeight="1">
      <x:c r="A1813" s="14"/>
      <x:c r="B1813" s="15"/>
      <x:c r="C1813" s="16" t="str">
        <x:f>IF(AND(ISNUMBER(B1813),ISNUMBER(B1812),B1813&gt;0,B1812&gt;0),LN(B1813/B1812),"")</x:f>
      </x:c>
      <x:c r="D1813" s="16" t="str">
        <x:f>IF(ISNUMBER(C1813),ABS(C1813),"")</x:f>
      </x:c>
      <x:c r="E1813" s="16" t="str">
        <x:f>IF(ISNUMBER(C1813),C1813^2,"")</x:f>
      </x:c>
      <x:c r="F1813" s="16" t="str">
        <x:f>IF(AND(ISNUMBER(C1813),ISNUMBER($J$6),$J$6&gt;0),(C1813-$J$5)/$J$6,"")</x:f>
      </x:c>
      <x:c r="G1813" s="1" t="str">
        <x:f>IF(ISNUMBER(F1813),IF(ABS(F1813)&gt;3,1,0),"")</x:f>
      </x:c>
      <x:c r="H1813" s="1" t="str">
        <x:f>IF(ISNUMBER(F1813),F1813^4,"")</x:f>
      </x:c>
      <x:c r="I1813" s="1"/>
      <x:c r="J1813" s="1"/>
      <x:c r="K1813" s="1"/>
      <x:c r="L1813" s="1"/>
      <x:c r="M1813" s="1"/>
      <x:c r="N1813" s="1"/>
    </x:row>
    <x:row r="1814" ht="22" customHeight="1">
      <x:c r="A1814" s="14"/>
      <x:c r="B1814" s="15"/>
      <x:c r="C1814" s="16" t="str">
        <x:f>IF(AND(ISNUMBER(B1814),ISNUMBER(B1813),B1814&gt;0,B1813&gt;0),LN(B1814/B1813),"")</x:f>
      </x:c>
      <x:c r="D1814" s="16" t="str">
        <x:f>IF(ISNUMBER(C1814),ABS(C1814),"")</x:f>
      </x:c>
      <x:c r="E1814" s="16" t="str">
        <x:f>IF(ISNUMBER(C1814),C1814^2,"")</x:f>
      </x:c>
      <x:c r="F1814" s="16" t="str">
        <x:f>IF(AND(ISNUMBER(C1814),ISNUMBER($J$6),$J$6&gt;0),(C1814-$J$5)/$J$6,"")</x:f>
      </x:c>
      <x:c r="G1814" s="1" t="str">
        <x:f>IF(ISNUMBER(F1814),IF(ABS(F1814)&gt;3,1,0),"")</x:f>
      </x:c>
      <x:c r="H1814" s="1" t="str">
        <x:f>IF(ISNUMBER(F1814),F1814^4,"")</x:f>
      </x:c>
      <x:c r="I1814" s="1"/>
      <x:c r="J1814" s="1"/>
      <x:c r="K1814" s="1"/>
      <x:c r="L1814" s="1"/>
      <x:c r="M1814" s="1"/>
      <x:c r="N1814" s="1"/>
    </x:row>
    <x:row r="1815" ht="22" customHeight="1">
      <x:c r="A1815" s="14"/>
      <x:c r="B1815" s="15"/>
      <x:c r="C1815" s="16" t="str">
        <x:f>IF(AND(ISNUMBER(B1815),ISNUMBER(B1814),B1815&gt;0,B1814&gt;0),LN(B1815/B1814),"")</x:f>
      </x:c>
      <x:c r="D1815" s="16" t="str">
        <x:f>IF(ISNUMBER(C1815),ABS(C1815),"")</x:f>
      </x:c>
      <x:c r="E1815" s="16" t="str">
        <x:f>IF(ISNUMBER(C1815),C1815^2,"")</x:f>
      </x:c>
      <x:c r="F1815" s="16" t="str">
        <x:f>IF(AND(ISNUMBER(C1815),ISNUMBER($J$6),$J$6&gt;0),(C1815-$J$5)/$J$6,"")</x:f>
      </x:c>
      <x:c r="G1815" s="1" t="str">
        <x:f>IF(ISNUMBER(F1815),IF(ABS(F1815)&gt;3,1,0),"")</x:f>
      </x:c>
      <x:c r="H1815" s="1" t="str">
        <x:f>IF(ISNUMBER(F1815),F1815^4,"")</x:f>
      </x:c>
      <x:c r="I1815" s="1"/>
      <x:c r="J1815" s="1"/>
      <x:c r="K1815" s="1"/>
      <x:c r="L1815" s="1"/>
      <x:c r="M1815" s="1"/>
      <x:c r="N1815" s="1"/>
    </x:row>
    <x:row r="1816" ht="22" customHeight="1">
      <x:c r="A1816" s="14"/>
      <x:c r="B1816" s="15"/>
      <x:c r="C1816" s="16" t="str">
        <x:f>IF(AND(ISNUMBER(B1816),ISNUMBER(B1815),B1816&gt;0,B1815&gt;0),LN(B1816/B1815),"")</x:f>
      </x:c>
      <x:c r="D1816" s="16" t="str">
        <x:f>IF(ISNUMBER(C1816),ABS(C1816),"")</x:f>
      </x:c>
      <x:c r="E1816" s="16" t="str">
        <x:f>IF(ISNUMBER(C1816),C1816^2,"")</x:f>
      </x:c>
      <x:c r="F1816" s="16" t="str">
        <x:f>IF(AND(ISNUMBER(C1816),ISNUMBER($J$6),$J$6&gt;0),(C1816-$J$5)/$J$6,"")</x:f>
      </x:c>
      <x:c r="G1816" s="1" t="str">
        <x:f>IF(ISNUMBER(F1816),IF(ABS(F1816)&gt;3,1,0),"")</x:f>
      </x:c>
      <x:c r="H1816" s="1" t="str">
        <x:f>IF(ISNUMBER(F1816),F1816^4,"")</x:f>
      </x:c>
      <x:c r="I1816" s="1"/>
      <x:c r="J1816" s="1"/>
      <x:c r="K1816" s="1"/>
      <x:c r="L1816" s="1"/>
      <x:c r="M1816" s="1"/>
      <x:c r="N1816" s="1"/>
    </x:row>
    <x:row r="1817" ht="22" customHeight="1">
      <x:c r="A1817" s="14"/>
      <x:c r="B1817" s="15"/>
      <x:c r="C1817" s="16" t="str">
        <x:f>IF(AND(ISNUMBER(B1817),ISNUMBER(B1816),B1817&gt;0,B1816&gt;0),LN(B1817/B1816),"")</x:f>
      </x:c>
      <x:c r="D1817" s="16" t="str">
        <x:f>IF(ISNUMBER(C1817),ABS(C1817),"")</x:f>
      </x:c>
      <x:c r="E1817" s="16" t="str">
        <x:f>IF(ISNUMBER(C1817),C1817^2,"")</x:f>
      </x:c>
      <x:c r="F1817" s="16" t="str">
        <x:f>IF(AND(ISNUMBER(C1817),ISNUMBER($J$6),$J$6&gt;0),(C1817-$J$5)/$J$6,"")</x:f>
      </x:c>
      <x:c r="G1817" s="1" t="str">
        <x:f>IF(ISNUMBER(F1817),IF(ABS(F1817)&gt;3,1,0),"")</x:f>
      </x:c>
      <x:c r="H1817" s="1" t="str">
        <x:f>IF(ISNUMBER(F1817),F1817^4,"")</x:f>
      </x:c>
      <x:c r="I1817" s="1"/>
      <x:c r="J1817" s="1"/>
      <x:c r="K1817" s="1"/>
      <x:c r="L1817" s="1"/>
      <x:c r="M1817" s="1"/>
      <x:c r="N1817" s="1"/>
    </x:row>
    <x:row r="1818" ht="22" customHeight="1">
      <x:c r="A1818" s="14"/>
      <x:c r="B1818" s="15"/>
      <x:c r="C1818" s="16" t="str">
        <x:f>IF(AND(ISNUMBER(B1818),ISNUMBER(B1817),B1818&gt;0,B1817&gt;0),LN(B1818/B1817),"")</x:f>
      </x:c>
      <x:c r="D1818" s="16" t="str">
        <x:f>IF(ISNUMBER(C1818),ABS(C1818),"")</x:f>
      </x:c>
      <x:c r="E1818" s="16" t="str">
        <x:f>IF(ISNUMBER(C1818),C1818^2,"")</x:f>
      </x:c>
      <x:c r="F1818" s="16" t="str">
        <x:f>IF(AND(ISNUMBER(C1818),ISNUMBER($J$6),$J$6&gt;0),(C1818-$J$5)/$J$6,"")</x:f>
      </x:c>
      <x:c r="G1818" s="1" t="str">
        <x:f>IF(ISNUMBER(F1818),IF(ABS(F1818)&gt;3,1,0),"")</x:f>
      </x:c>
      <x:c r="H1818" s="1" t="str">
        <x:f>IF(ISNUMBER(F1818),F1818^4,"")</x:f>
      </x:c>
      <x:c r="I1818" s="1"/>
      <x:c r="J1818" s="1"/>
      <x:c r="K1818" s="1"/>
      <x:c r="L1818" s="1"/>
      <x:c r="M1818" s="1"/>
      <x:c r="N1818" s="1"/>
    </x:row>
    <x:row r="1819" ht="22" customHeight="1">
      <x:c r="A1819" s="14"/>
      <x:c r="B1819" s="15"/>
      <x:c r="C1819" s="16" t="str">
        <x:f>IF(AND(ISNUMBER(B1819),ISNUMBER(B1818),B1819&gt;0,B1818&gt;0),LN(B1819/B1818),"")</x:f>
      </x:c>
      <x:c r="D1819" s="16" t="str">
        <x:f>IF(ISNUMBER(C1819),ABS(C1819),"")</x:f>
      </x:c>
      <x:c r="E1819" s="16" t="str">
        <x:f>IF(ISNUMBER(C1819),C1819^2,"")</x:f>
      </x:c>
      <x:c r="F1819" s="16" t="str">
        <x:f>IF(AND(ISNUMBER(C1819),ISNUMBER($J$6),$J$6&gt;0),(C1819-$J$5)/$J$6,"")</x:f>
      </x:c>
      <x:c r="G1819" s="1" t="str">
        <x:f>IF(ISNUMBER(F1819),IF(ABS(F1819)&gt;3,1,0),"")</x:f>
      </x:c>
      <x:c r="H1819" s="1" t="str">
        <x:f>IF(ISNUMBER(F1819),F1819^4,"")</x:f>
      </x:c>
      <x:c r="I1819" s="1"/>
      <x:c r="J1819" s="1"/>
      <x:c r="K1819" s="1"/>
      <x:c r="L1819" s="1"/>
      <x:c r="M1819" s="1"/>
      <x:c r="N1819" s="1"/>
    </x:row>
    <x:row r="1820" ht="22" customHeight="1">
      <x:c r="A1820" s="14"/>
      <x:c r="B1820" s="15"/>
      <x:c r="C1820" s="16" t="str">
        <x:f>IF(AND(ISNUMBER(B1820),ISNUMBER(B1819),B1820&gt;0,B1819&gt;0),LN(B1820/B1819),"")</x:f>
      </x:c>
      <x:c r="D1820" s="16" t="str">
        <x:f>IF(ISNUMBER(C1820),ABS(C1820),"")</x:f>
      </x:c>
      <x:c r="E1820" s="16" t="str">
        <x:f>IF(ISNUMBER(C1820),C1820^2,"")</x:f>
      </x:c>
      <x:c r="F1820" s="16" t="str">
        <x:f>IF(AND(ISNUMBER(C1820),ISNUMBER($J$6),$J$6&gt;0),(C1820-$J$5)/$J$6,"")</x:f>
      </x:c>
      <x:c r="G1820" s="1" t="str">
        <x:f>IF(ISNUMBER(F1820),IF(ABS(F1820)&gt;3,1,0),"")</x:f>
      </x:c>
      <x:c r="H1820" s="1" t="str">
        <x:f>IF(ISNUMBER(F1820),F1820^4,"")</x:f>
      </x:c>
      <x:c r="I1820" s="1"/>
      <x:c r="J1820" s="1"/>
      <x:c r="K1820" s="1"/>
      <x:c r="L1820" s="1"/>
      <x:c r="M1820" s="1"/>
      <x:c r="N1820" s="1"/>
    </x:row>
    <x:row r="1821" ht="22" customHeight="1">
      <x:c r="A1821" s="14"/>
      <x:c r="B1821" s="15"/>
      <x:c r="C1821" s="16" t="str">
        <x:f>IF(AND(ISNUMBER(B1821),ISNUMBER(B1820),B1821&gt;0,B1820&gt;0),LN(B1821/B1820),"")</x:f>
      </x:c>
      <x:c r="D1821" s="16" t="str">
        <x:f>IF(ISNUMBER(C1821),ABS(C1821),"")</x:f>
      </x:c>
      <x:c r="E1821" s="16" t="str">
        <x:f>IF(ISNUMBER(C1821),C1821^2,"")</x:f>
      </x:c>
      <x:c r="F1821" s="16" t="str">
        <x:f>IF(AND(ISNUMBER(C1821),ISNUMBER($J$6),$J$6&gt;0),(C1821-$J$5)/$J$6,"")</x:f>
      </x:c>
      <x:c r="G1821" s="1" t="str">
        <x:f>IF(ISNUMBER(F1821),IF(ABS(F1821)&gt;3,1,0),"")</x:f>
      </x:c>
      <x:c r="H1821" s="1" t="str">
        <x:f>IF(ISNUMBER(F1821),F1821^4,"")</x:f>
      </x:c>
      <x:c r="I1821" s="1"/>
      <x:c r="J1821" s="1"/>
      <x:c r="K1821" s="1"/>
      <x:c r="L1821" s="1"/>
      <x:c r="M1821" s="1"/>
      <x:c r="N1821" s="1"/>
    </x:row>
    <x:row r="1822" ht="22" customHeight="1">
      <x:c r="A1822" s="14"/>
      <x:c r="B1822" s="15"/>
      <x:c r="C1822" s="16" t="str">
        <x:f>IF(AND(ISNUMBER(B1822),ISNUMBER(B1821),B1822&gt;0,B1821&gt;0),LN(B1822/B1821),"")</x:f>
      </x:c>
      <x:c r="D1822" s="16" t="str">
        <x:f>IF(ISNUMBER(C1822),ABS(C1822),"")</x:f>
      </x:c>
      <x:c r="E1822" s="16" t="str">
        <x:f>IF(ISNUMBER(C1822),C1822^2,"")</x:f>
      </x:c>
      <x:c r="F1822" s="16" t="str">
        <x:f>IF(AND(ISNUMBER(C1822),ISNUMBER($J$6),$J$6&gt;0),(C1822-$J$5)/$J$6,"")</x:f>
      </x:c>
      <x:c r="G1822" s="1" t="str">
        <x:f>IF(ISNUMBER(F1822),IF(ABS(F1822)&gt;3,1,0),"")</x:f>
      </x:c>
      <x:c r="H1822" s="1" t="str">
        <x:f>IF(ISNUMBER(F1822),F1822^4,"")</x:f>
      </x:c>
      <x:c r="I1822" s="1"/>
      <x:c r="J1822" s="1"/>
      <x:c r="K1822" s="1"/>
      <x:c r="L1822" s="1"/>
      <x:c r="M1822" s="1"/>
      <x:c r="N1822" s="1"/>
    </x:row>
    <x:row r="1823" ht="22" customHeight="1">
      <x:c r="A1823" s="14"/>
      <x:c r="B1823" s="15"/>
      <x:c r="C1823" s="16" t="str">
        <x:f>IF(AND(ISNUMBER(B1823),ISNUMBER(B1822),B1823&gt;0,B1822&gt;0),LN(B1823/B1822),"")</x:f>
      </x:c>
      <x:c r="D1823" s="16" t="str">
        <x:f>IF(ISNUMBER(C1823),ABS(C1823),"")</x:f>
      </x:c>
      <x:c r="E1823" s="16" t="str">
        <x:f>IF(ISNUMBER(C1823),C1823^2,"")</x:f>
      </x:c>
      <x:c r="F1823" s="16" t="str">
        <x:f>IF(AND(ISNUMBER(C1823),ISNUMBER($J$6),$J$6&gt;0),(C1823-$J$5)/$J$6,"")</x:f>
      </x:c>
      <x:c r="G1823" s="1" t="str">
        <x:f>IF(ISNUMBER(F1823),IF(ABS(F1823)&gt;3,1,0),"")</x:f>
      </x:c>
      <x:c r="H1823" s="1" t="str">
        <x:f>IF(ISNUMBER(F1823),F1823^4,"")</x:f>
      </x:c>
      <x:c r="I1823" s="1"/>
      <x:c r="J1823" s="1"/>
      <x:c r="K1823" s="1"/>
      <x:c r="L1823" s="1"/>
      <x:c r="M1823" s="1"/>
      <x:c r="N1823" s="1"/>
    </x:row>
    <x:row r="1824" ht="22" customHeight="1">
      <x:c r="A1824" s="14"/>
      <x:c r="B1824" s="15"/>
      <x:c r="C1824" s="16" t="str">
        <x:f>IF(AND(ISNUMBER(B1824),ISNUMBER(B1823),B1824&gt;0,B1823&gt;0),LN(B1824/B1823),"")</x:f>
      </x:c>
      <x:c r="D1824" s="16" t="str">
        <x:f>IF(ISNUMBER(C1824),ABS(C1824),"")</x:f>
      </x:c>
      <x:c r="E1824" s="16" t="str">
        <x:f>IF(ISNUMBER(C1824),C1824^2,"")</x:f>
      </x:c>
      <x:c r="F1824" s="16" t="str">
        <x:f>IF(AND(ISNUMBER(C1824),ISNUMBER($J$6),$J$6&gt;0),(C1824-$J$5)/$J$6,"")</x:f>
      </x:c>
      <x:c r="G1824" s="1" t="str">
        <x:f>IF(ISNUMBER(F1824),IF(ABS(F1824)&gt;3,1,0),"")</x:f>
      </x:c>
      <x:c r="H1824" s="1" t="str">
        <x:f>IF(ISNUMBER(F1824),F1824^4,"")</x:f>
      </x:c>
      <x:c r="I1824" s="1"/>
      <x:c r="J1824" s="1"/>
      <x:c r="K1824" s="1"/>
      <x:c r="L1824" s="1"/>
      <x:c r="M1824" s="1"/>
      <x:c r="N1824" s="1"/>
    </x:row>
    <x:row r="1825" ht="22" customHeight="1">
      <x:c r="A1825" s="14"/>
      <x:c r="B1825" s="15"/>
      <x:c r="C1825" s="16" t="str">
        <x:f>IF(AND(ISNUMBER(B1825),ISNUMBER(B1824),B1825&gt;0,B1824&gt;0),LN(B1825/B1824),"")</x:f>
      </x:c>
      <x:c r="D1825" s="16" t="str">
        <x:f>IF(ISNUMBER(C1825),ABS(C1825),"")</x:f>
      </x:c>
      <x:c r="E1825" s="16" t="str">
        <x:f>IF(ISNUMBER(C1825),C1825^2,"")</x:f>
      </x:c>
      <x:c r="F1825" s="16" t="str">
        <x:f>IF(AND(ISNUMBER(C1825),ISNUMBER($J$6),$J$6&gt;0),(C1825-$J$5)/$J$6,"")</x:f>
      </x:c>
      <x:c r="G1825" s="1" t="str">
        <x:f>IF(ISNUMBER(F1825),IF(ABS(F1825)&gt;3,1,0),"")</x:f>
      </x:c>
      <x:c r="H1825" s="1" t="str">
        <x:f>IF(ISNUMBER(F1825),F1825^4,"")</x:f>
      </x:c>
      <x:c r="I1825" s="1"/>
      <x:c r="J1825" s="1"/>
      <x:c r="K1825" s="1"/>
      <x:c r="L1825" s="1"/>
      <x:c r="M1825" s="1"/>
      <x:c r="N1825" s="1"/>
    </x:row>
    <x:row r="1826" ht="22" customHeight="1">
      <x:c r="A1826" s="14"/>
      <x:c r="B1826" s="15"/>
      <x:c r="C1826" s="16" t="str">
        <x:f>IF(AND(ISNUMBER(B1826),ISNUMBER(B1825),B1826&gt;0,B1825&gt;0),LN(B1826/B1825),"")</x:f>
      </x:c>
      <x:c r="D1826" s="16" t="str">
        <x:f>IF(ISNUMBER(C1826),ABS(C1826),"")</x:f>
      </x:c>
      <x:c r="E1826" s="16" t="str">
        <x:f>IF(ISNUMBER(C1826),C1826^2,"")</x:f>
      </x:c>
      <x:c r="F1826" s="16" t="str">
        <x:f>IF(AND(ISNUMBER(C1826),ISNUMBER($J$6),$J$6&gt;0),(C1826-$J$5)/$J$6,"")</x:f>
      </x:c>
      <x:c r="G1826" s="1" t="str">
        <x:f>IF(ISNUMBER(F1826),IF(ABS(F1826)&gt;3,1,0),"")</x:f>
      </x:c>
      <x:c r="H1826" s="1" t="str">
        <x:f>IF(ISNUMBER(F1826),F1826^4,"")</x:f>
      </x:c>
      <x:c r="I1826" s="1"/>
      <x:c r="J1826" s="1"/>
      <x:c r="K1826" s="1"/>
      <x:c r="L1826" s="1"/>
      <x:c r="M1826" s="1"/>
      <x:c r="N1826" s="1"/>
    </x:row>
    <x:row r="1827" ht="22" customHeight="1">
      <x:c r="A1827" s="14"/>
      <x:c r="B1827" s="15"/>
      <x:c r="C1827" s="16" t="str">
        <x:f>IF(AND(ISNUMBER(B1827),ISNUMBER(B1826),B1827&gt;0,B1826&gt;0),LN(B1827/B1826),"")</x:f>
      </x:c>
      <x:c r="D1827" s="16" t="str">
        <x:f>IF(ISNUMBER(C1827),ABS(C1827),"")</x:f>
      </x:c>
      <x:c r="E1827" s="16" t="str">
        <x:f>IF(ISNUMBER(C1827),C1827^2,"")</x:f>
      </x:c>
      <x:c r="F1827" s="16" t="str">
        <x:f>IF(AND(ISNUMBER(C1827),ISNUMBER($J$6),$J$6&gt;0),(C1827-$J$5)/$J$6,"")</x:f>
      </x:c>
      <x:c r="G1827" s="1" t="str">
        <x:f>IF(ISNUMBER(F1827),IF(ABS(F1827)&gt;3,1,0),"")</x:f>
      </x:c>
      <x:c r="H1827" s="1" t="str">
        <x:f>IF(ISNUMBER(F1827),F1827^4,"")</x:f>
      </x:c>
      <x:c r="I1827" s="1"/>
      <x:c r="J1827" s="1"/>
      <x:c r="K1827" s="1"/>
      <x:c r="L1827" s="1"/>
      <x:c r="M1827" s="1"/>
      <x:c r="N1827" s="1"/>
    </x:row>
    <x:row r="1828" ht="22" customHeight="1">
      <x:c r="A1828" s="14"/>
      <x:c r="B1828" s="15"/>
      <x:c r="C1828" s="16" t="str">
        <x:f>IF(AND(ISNUMBER(B1828),ISNUMBER(B1827),B1828&gt;0,B1827&gt;0),LN(B1828/B1827),"")</x:f>
      </x:c>
      <x:c r="D1828" s="16" t="str">
        <x:f>IF(ISNUMBER(C1828),ABS(C1828),"")</x:f>
      </x:c>
      <x:c r="E1828" s="16" t="str">
        <x:f>IF(ISNUMBER(C1828),C1828^2,"")</x:f>
      </x:c>
      <x:c r="F1828" s="16" t="str">
        <x:f>IF(AND(ISNUMBER(C1828),ISNUMBER($J$6),$J$6&gt;0),(C1828-$J$5)/$J$6,"")</x:f>
      </x:c>
      <x:c r="G1828" s="1" t="str">
        <x:f>IF(ISNUMBER(F1828),IF(ABS(F1828)&gt;3,1,0),"")</x:f>
      </x:c>
      <x:c r="H1828" s="1" t="str">
        <x:f>IF(ISNUMBER(F1828),F1828^4,"")</x:f>
      </x:c>
      <x:c r="I1828" s="1"/>
      <x:c r="J1828" s="1"/>
      <x:c r="K1828" s="1"/>
      <x:c r="L1828" s="1"/>
      <x:c r="M1828" s="1"/>
      <x:c r="N1828" s="1"/>
    </x:row>
    <x:row r="1829" ht="22" customHeight="1">
      <x:c r="A1829" s="14"/>
      <x:c r="B1829" s="15"/>
      <x:c r="C1829" s="16" t="str">
        <x:f>IF(AND(ISNUMBER(B1829),ISNUMBER(B1828),B1829&gt;0,B1828&gt;0),LN(B1829/B1828),"")</x:f>
      </x:c>
      <x:c r="D1829" s="16" t="str">
        <x:f>IF(ISNUMBER(C1829),ABS(C1829),"")</x:f>
      </x:c>
      <x:c r="E1829" s="16" t="str">
        <x:f>IF(ISNUMBER(C1829),C1829^2,"")</x:f>
      </x:c>
      <x:c r="F1829" s="16" t="str">
        <x:f>IF(AND(ISNUMBER(C1829),ISNUMBER($J$6),$J$6&gt;0),(C1829-$J$5)/$J$6,"")</x:f>
      </x:c>
      <x:c r="G1829" s="1" t="str">
        <x:f>IF(ISNUMBER(F1829),IF(ABS(F1829)&gt;3,1,0),"")</x:f>
      </x:c>
      <x:c r="H1829" s="1" t="str">
        <x:f>IF(ISNUMBER(F1829),F1829^4,"")</x:f>
      </x:c>
      <x:c r="I1829" s="1"/>
      <x:c r="J1829" s="1"/>
      <x:c r="K1829" s="1"/>
      <x:c r="L1829" s="1"/>
      <x:c r="M1829" s="1"/>
      <x:c r="N1829" s="1"/>
    </x:row>
    <x:row r="1830" ht="22" customHeight="1">
      <x:c r="A1830" s="14"/>
      <x:c r="B1830" s="15"/>
      <x:c r="C1830" s="16" t="str">
        <x:f>IF(AND(ISNUMBER(B1830),ISNUMBER(B1829),B1830&gt;0,B1829&gt;0),LN(B1830/B1829),"")</x:f>
      </x:c>
      <x:c r="D1830" s="16" t="str">
        <x:f>IF(ISNUMBER(C1830),ABS(C1830),"")</x:f>
      </x:c>
      <x:c r="E1830" s="16" t="str">
        <x:f>IF(ISNUMBER(C1830),C1830^2,"")</x:f>
      </x:c>
      <x:c r="F1830" s="16" t="str">
        <x:f>IF(AND(ISNUMBER(C1830),ISNUMBER($J$6),$J$6&gt;0),(C1830-$J$5)/$J$6,"")</x:f>
      </x:c>
      <x:c r="G1830" s="1" t="str">
        <x:f>IF(ISNUMBER(F1830),IF(ABS(F1830)&gt;3,1,0),"")</x:f>
      </x:c>
      <x:c r="H1830" s="1" t="str">
        <x:f>IF(ISNUMBER(F1830),F1830^4,"")</x:f>
      </x:c>
      <x:c r="I1830" s="1"/>
      <x:c r="J1830" s="1"/>
      <x:c r="K1830" s="1"/>
      <x:c r="L1830" s="1"/>
      <x:c r="M1830" s="1"/>
      <x:c r="N1830" s="1"/>
    </x:row>
    <x:row r="1831" ht="22" customHeight="1">
      <x:c r="A1831" s="14"/>
      <x:c r="B1831" s="15"/>
      <x:c r="C1831" s="16" t="str">
        <x:f>IF(AND(ISNUMBER(B1831),ISNUMBER(B1830),B1831&gt;0,B1830&gt;0),LN(B1831/B1830),"")</x:f>
      </x:c>
      <x:c r="D1831" s="16" t="str">
        <x:f>IF(ISNUMBER(C1831),ABS(C1831),"")</x:f>
      </x:c>
      <x:c r="E1831" s="16" t="str">
        <x:f>IF(ISNUMBER(C1831),C1831^2,"")</x:f>
      </x:c>
      <x:c r="F1831" s="16" t="str">
        <x:f>IF(AND(ISNUMBER(C1831),ISNUMBER($J$6),$J$6&gt;0),(C1831-$J$5)/$J$6,"")</x:f>
      </x:c>
      <x:c r="G1831" s="1" t="str">
        <x:f>IF(ISNUMBER(F1831),IF(ABS(F1831)&gt;3,1,0),"")</x:f>
      </x:c>
      <x:c r="H1831" s="1" t="str">
        <x:f>IF(ISNUMBER(F1831),F1831^4,"")</x:f>
      </x:c>
      <x:c r="I1831" s="1"/>
      <x:c r="J1831" s="1"/>
      <x:c r="K1831" s="1"/>
      <x:c r="L1831" s="1"/>
      <x:c r="M1831" s="1"/>
      <x:c r="N1831" s="1"/>
    </x:row>
    <x:row r="1832" ht="22" customHeight="1">
      <x:c r="A1832" s="14"/>
      <x:c r="B1832" s="15"/>
      <x:c r="C1832" s="16" t="str">
        <x:f>IF(AND(ISNUMBER(B1832),ISNUMBER(B1831),B1832&gt;0,B1831&gt;0),LN(B1832/B1831),"")</x:f>
      </x:c>
      <x:c r="D1832" s="16" t="str">
        <x:f>IF(ISNUMBER(C1832),ABS(C1832),"")</x:f>
      </x:c>
      <x:c r="E1832" s="16" t="str">
        <x:f>IF(ISNUMBER(C1832),C1832^2,"")</x:f>
      </x:c>
      <x:c r="F1832" s="16" t="str">
        <x:f>IF(AND(ISNUMBER(C1832),ISNUMBER($J$6),$J$6&gt;0),(C1832-$J$5)/$J$6,"")</x:f>
      </x:c>
      <x:c r="G1832" s="1" t="str">
        <x:f>IF(ISNUMBER(F1832),IF(ABS(F1832)&gt;3,1,0),"")</x:f>
      </x:c>
      <x:c r="H1832" s="1" t="str">
        <x:f>IF(ISNUMBER(F1832),F1832^4,"")</x:f>
      </x:c>
      <x:c r="I1832" s="1"/>
      <x:c r="J1832" s="1"/>
      <x:c r="K1832" s="1"/>
      <x:c r="L1832" s="1"/>
      <x:c r="M1832" s="1"/>
      <x:c r="N1832" s="1"/>
    </x:row>
    <x:row r="1833" ht="22" customHeight="1">
      <x:c r="A1833" s="14"/>
      <x:c r="B1833" s="15"/>
      <x:c r="C1833" s="16" t="str">
        <x:f>IF(AND(ISNUMBER(B1833),ISNUMBER(B1832),B1833&gt;0,B1832&gt;0),LN(B1833/B1832),"")</x:f>
      </x:c>
      <x:c r="D1833" s="16" t="str">
        <x:f>IF(ISNUMBER(C1833),ABS(C1833),"")</x:f>
      </x:c>
      <x:c r="E1833" s="16" t="str">
        <x:f>IF(ISNUMBER(C1833),C1833^2,"")</x:f>
      </x:c>
      <x:c r="F1833" s="16" t="str">
        <x:f>IF(AND(ISNUMBER(C1833),ISNUMBER($J$6),$J$6&gt;0),(C1833-$J$5)/$J$6,"")</x:f>
      </x:c>
      <x:c r="G1833" s="1" t="str">
        <x:f>IF(ISNUMBER(F1833),IF(ABS(F1833)&gt;3,1,0),"")</x:f>
      </x:c>
      <x:c r="H1833" s="1" t="str">
        <x:f>IF(ISNUMBER(F1833),F1833^4,"")</x:f>
      </x:c>
      <x:c r="I1833" s="1"/>
      <x:c r="J1833" s="1"/>
      <x:c r="K1833" s="1"/>
      <x:c r="L1833" s="1"/>
      <x:c r="M1833" s="1"/>
      <x:c r="N1833" s="1"/>
    </x:row>
    <x:row r="1834" ht="22" customHeight="1">
      <x:c r="A1834" s="14"/>
      <x:c r="B1834" s="15"/>
      <x:c r="C1834" s="16" t="str">
        <x:f>IF(AND(ISNUMBER(B1834),ISNUMBER(B1833),B1834&gt;0,B1833&gt;0),LN(B1834/B1833),"")</x:f>
      </x:c>
      <x:c r="D1834" s="16" t="str">
        <x:f>IF(ISNUMBER(C1834),ABS(C1834),"")</x:f>
      </x:c>
      <x:c r="E1834" s="16" t="str">
        <x:f>IF(ISNUMBER(C1834),C1834^2,"")</x:f>
      </x:c>
      <x:c r="F1834" s="16" t="str">
        <x:f>IF(AND(ISNUMBER(C1834),ISNUMBER($J$6),$J$6&gt;0),(C1834-$J$5)/$J$6,"")</x:f>
      </x:c>
      <x:c r="G1834" s="1" t="str">
        <x:f>IF(ISNUMBER(F1834),IF(ABS(F1834)&gt;3,1,0),"")</x:f>
      </x:c>
      <x:c r="H1834" s="1" t="str">
        <x:f>IF(ISNUMBER(F1834),F1834^4,"")</x:f>
      </x:c>
      <x:c r="I1834" s="1"/>
      <x:c r="J1834" s="1"/>
      <x:c r="K1834" s="1"/>
      <x:c r="L1834" s="1"/>
      <x:c r="M1834" s="1"/>
      <x:c r="N1834" s="1"/>
    </x:row>
    <x:row r="1835" ht="22" customHeight="1">
      <x:c r="A1835" s="14"/>
      <x:c r="B1835" s="15"/>
      <x:c r="C1835" s="16" t="str">
        <x:f>IF(AND(ISNUMBER(B1835),ISNUMBER(B1834),B1835&gt;0,B1834&gt;0),LN(B1835/B1834),"")</x:f>
      </x:c>
      <x:c r="D1835" s="16" t="str">
        <x:f>IF(ISNUMBER(C1835),ABS(C1835),"")</x:f>
      </x:c>
      <x:c r="E1835" s="16" t="str">
        <x:f>IF(ISNUMBER(C1835),C1835^2,"")</x:f>
      </x:c>
      <x:c r="F1835" s="16" t="str">
        <x:f>IF(AND(ISNUMBER(C1835),ISNUMBER($J$6),$J$6&gt;0),(C1835-$J$5)/$J$6,"")</x:f>
      </x:c>
      <x:c r="G1835" s="1" t="str">
        <x:f>IF(ISNUMBER(F1835),IF(ABS(F1835)&gt;3,1,0),"")</x:f>
      </x:c>
      <x:c r="H1835" s="1" t="str">
        <x:f>IF(ISNUMBER(F1835),F1835^4,"")</x:f>
      </x:c>
      <x:c r="I1835" s="1"/>
      <x:c r="J1835" s="1"/>
      <x:c r="K1835" s="1"/>
      <x:c r="L1835" s="1"/>
      <x:c r="M1835" s="1"/>
      <x:c r="N1835" s="1"/>
    </x:row>
    <x:row r="1836" ht="22" customHeight="1">
      <x:c r="A1836" s="14"/>
      <x:c r="B1836" s="15"/>
      <x:c r="C1836" s="16" t="str">
        <x:f>IF(AND(ISNUMBER(B1836),ISNUMBER(B1835),B1836&gt;0,B1835&gt;0),LN(B1836/B1835),"")</x:f>
      </x:c>
      <x:c r="D1836" s="16" t="str">
        <x:f>IF(ISNUMBER(C1836),ABS(C1836),"")</x:f>
      </x:c>
      <x:c r="E1836" s="16" t="str">
        <x:f>IF(ISNUMBER(C1836),C1836^2,"")</x:f>
      </x:c>
      <x:c r="F1836" s="16" t="str">
        <x:f>IF(AND(ISNUMBER(C1836),ISNUMBER($J$6),$J$6&gt;0),(C1836-$J$5)/$J$6,"")</x:f>
      </x:c>
      <x:c r="G1836" s="1" t="str">
        <x:f>IF(ISNUMBER(F1836),IF(ABS(F1836)&gt;3,1,0),"")</x:f>
      </x:c>
      <x:c r="H1836" s="1" t="str">
        <x:f>IF(ISNUMBER(F1836),F1836^4,"")</x:f>
      </x:c>
      <x:c r="I1836" s="1"/>
      <x:c r="J1836" s="1"/>
      <x:c r="K1836" s="1"/>
      <x:c r="L1836" s="1"/>
      <x:c r="M1836" s="1"/>
      <x:c r="N1836" s="1"/>
    </x:row>
    <x:row r="1837" ht="22" customHeight="1">
      <x:c r="A1837" s="14"/>
      <x:c r="B1837" s="15"/>
      <x:c r="C1837" s="16" t="str">
        <x:f>IF(AND(ISNUMBER(B1837),ISNUMBER(B1836),B1837&gt;0,B1836&gt;0),LN(B1837/B1836),"")</x:f>
      </x:c>
      <x:c r="D1837" s="16" t="str">
        <x:f>IF(ISNUMBER(C1837),ABS(C1837),"")</x:f>
      </x:c>
      <x:c r="E1837" s="16" t="str">
        <x:f>IF(ISNUMBER(C1837),C1837^2,"")</x:f>
      </x:c>
      <x:c r="F1837" s="16" t="str">
        <x:f>IF(AND(ISNUMBER(C1837),ISNUMBER($J$6),$J$6&gt;0),(C1837-$J$5)/$J$6,"")</x:f>
      </x:c>
      <x:c r="G1837" s="1" t="str">
        <x:f>IF(ISNUMBER(F1837),IF(ABS(F1837)&gt;3,1,0),"")</x:f>
      </x:c>
      <x:c r="H1837" s="1" t="str">
        <x:f>IF(ISNUMBER(F1837),F1837^4,"")</x:f>
      </x:c>
      <x:c r="I1837" s="1"/>
      <x:c r="J1837" s="1"/>
      <x:c r="K1837" s="1"/>
      <x:c r="L1837" s="1"/>
      <x:c r="M1837" s="1"/>
      <x:c r="N1837" s="1"/>
    </x:row>
    <x:row r="1838" ht="22" customHeight="1">
      <x:c r="A1838" s="14"/>
      <x:c r="B1838" s="15"/>
      <x:c r="C1838" s="16" t="str">
        <x:f>IF(AND(ISNUMBER(B1838),ISNUMBER(B1837),B1838&gt;0,B1837&gt;0),LN(B1838/B1837),"")</x:f>
      </x:c>
      <x:c r="D1838" s="16" t="str">
        <x:f>IF(ISNUMBER(C1838),ABS(C1838),"")</x:f>
      </x:c>
      <x:c r="E1838" s="16" t="str">
        <x:f>IF(ISNUMBER(C1838),C1838^2,"")</x:f>
      </x:c>
      <x:c r="F1838" s="16" t="str">
        <x:f>IF(AND(ISNUMBER(C1838),ISNUMBER($J$6),$J$6&gt;0),(C1838-$J$5)/$J$6,"")</x:f>
      </x:c>
      <x:c r="G1838" s="1" t="str">
        <x:f>IF(ISNUMBER(F1838),IF(ABS(F1838)&gt;3,1,0),"")</x:f>
      </x:c>
      <x:c r="H1838" s="1" t="str">
        <x:f>IF(ISNUMBER(F1838),F1838^4,"")</x:f>
      </x:c>
      <x:c r="I1838" s="1"/>
      <x:c r="J1838" s="1"/>
      <x:c r="K1838" s="1"/>
      <x:c r="L1838" s="1"/>
      <x:c r="M1838" s="1"/>
      <x:c r="N1838" s="1"/>
    </x:row>
    <x:row r="1839" ht="22" customHeight="1">
      <x:c r="A1839" s="14"/>
      <x:c r="B1839" s="15"/>
      <x:c r="C1839" s="16" t="str">
        <x:f>IF(AND(ISNUMBER(B1839),ISNUMBER(B1838),B1839&gt;0,B1838&gt;0),LN(B1839/B1838),"")</x:f>
      </x:c>
      <x:c r="D1839" s="16" t="str">
        <x:f>IF(ISNUMBER(C1839),ABS(C1839),"")</x:f>
      </x:c>
      <x:c r="E1839" s="16" t="str">
        <x:f>IF(ISNUMBER(C1839),C1839^2,"")</x:f>
      </x:c>
      <x:c r="F1839" s="16" t="str">
        <x:f>IF(AND(ISNUMBER(C1839),ISNUMBER($J$6),$J$6&gt;0),(C1839-$J$5)/$J$6,"")</x:f>
      </x:c>
      <x:c r="G1839" s="1" t="str">
        <x:f>IF(ISNUMBER(F1839),IF(ABS(F1839)&gt;3,1,0),"")</x:f>
      </x:c>
      <x:c r="H1839" s="1" t="str">
        <x:f>IF(ISNUMBER(F1839),F1839^4,"")</x:f>
      </x:c>
      <x:c r="I1839" s="1"/>
      <x:c r="J1839" s="1"/>
      <x:c r="K1839" s="1"/>
      <x:c r="L1839" s="1"/>
      <x:c r="M1839" s="1"/>
      <x:c r="N1839" s="1"/>
    </x:row>
    <x:row r="1840" ht="22" customHeight="1">
      <x:c r="A1840" s="14"/>
      <x:c r="B1840" s="15"/>
      <x:c r="C1840" s="16" t="str">
        <x:f>IF(AND(ISNUMBER(B1840),ISNUMBER(B1839),B1840&gt;0,B1839&gt;0),LN(B1840/B1839),"")</x:f>
      </x:c>
      <x:c r="D1840" s="16" t="str">
        <x:f>IF(ISNUMBER(C1840),ABS(C1840),"")</x:f>
      </x:c>
      <x:c r="E1840" s="16" t="str">
        <x:f>IF(ISNUMBER(C1840),C1840^2,"")</x:f>
      </x:c>
      <x:c r="F1840" s="16" t="str">
        <x:f>IF(AND(ISNUMBER(C1840),ISNUMBER($J$6),$J$6&gt;0),(C1840-$J$5)/$J$6,"")</x:f>
      </x:c>
      <x:c r="G1840" s="1" t="str">
        <x:f>IF(ISNUMBER(F1840),IF(ABS(F1840)&gt;3,1,0),"")</x:f>
      </x:c>
      <x:c r="H1840" s="1" t="str">
        <x:f>IF(ISNUMBER(F1840),F1840^4,"")</x:f>
      </x:c>
      <x:c r="I1840" s="1"/>
      <x:c r="J1840" s="1"/>
      <x:c r="K1840" s="1"/>
      <x:c r="L1840" s="1"/>
      <x:c r="M1840" s="1"/>
      <x:c r="N1840" s="1"/>
    </x:row>
    <x:row r="1841" ht="22" customHeight="1">
      <x:c r="A1841" s="14"/>
      <x:c r="B1841" s="15"/>
      <x:c r="C1841" s="16" t="str">
        <x:f>IF(AND(ISNUMBER(B1841),ISNUMBER(B1840),B1841&gt;0,B1840&gt;0),LN(B1841/B1840),"")</x:f>
      </x:c>
      <x:c r="D1841" s="16" t="str">
        <x:f>IF(ISNUMBER(C1841),ABS(C1841),"")</x:f>
      </x:c>
      <x:c r="E1841" s="16" t="str">
        <x:f>IF(ISNUMBER(C1841),C1841^2,"")</x:f>
      </x:c>
      <x:c r="F1841" s="16" t="str">
        <x:f>IF(AND(ISNUMBER(C1841),ISNUMBER($J$6),$J$6&gt;0),(C1841-$J$5)/$J$6,"")</x:f>
      </x:c>
      <x:c r="G1841" s="1" t="str">
        <x:f>IF(ISNUMBER(F1841),IF(ABS(F1841)&gt;3,1,0),"")</x:f>
      </x:c>
      <x:c r="H1841" s="1" t="str">
        <x:f>IF(ISNUMBER(F1841),F1841^4,"")</x:f>
      </x:c>
      <x:c r="I1841" s="1"/>
      <x:c r="J1841" s="1"/>
      <x:c r="K1841" s="1"/>
      <x:c r="L1841" s="1"/>
      <x:c r="M1841" s="1"/>
      <x:c r="N1841" s="1"/>
    </x:row>
    <x:row r="1842" ht="22" customHeight="1">
      <x:c r="A1842" s="14"/>
      <x:c r="B1842" s="15"/>
      <x:c r="C1842" s="16" t="str">
        <x:f>IF(AND(ISNUMBER(B1842),ISNUMBER(B1841),B1842&gt;0,B1841&gt;0),LN(B1842/B1841),"")</x:f>
      </x:c>
      <x:c r="D1842" s="16" t="str">
        <x:f>IF(ISNUMBER(C1842),ABS(C1842),"")</x:f>
      </x:c>
      <x:c r="E1842" s="16" t="str">
        <x:f>IF(ISNUMBER(C1842),C1842^2,"")</x:f>
      </x:c>
      <x:c r="F1842" s="16" t="str">
        <x:f>IF(AND(ISNUMBER(C1842),ISNUMBER($J$6),$J$6&gt;0),(C1842-$J$5)/$J$6,"")</x:f>
      </x:c>
      <x:c r="G1842" s="1" t="str">
        <x:f>IF(ISNUMBER(F1842),IF(ABS(F1842)&gt;3,1,0),"")</x:f>
      </x:c>
      <x:c r="H1842" s="1" t="str">
        <x:f>IF(ISNUMBER(F1842),F1842^4,"")</x:f>
      </x:c>
      <x:c r="I1842" s="1"/>
      <x:c r="J1842" s="1"/>
      <x:c r="K1842" s="1"/>
      <x:c r="L1842" s="1"/>
      <x:c r="M1842" s="1"/>
      <x:c r="N1842" s="1"/>
    </x:row>
    <x:row r="1843" ht="22" customHeight="1">
      <x:c r="A1843" s="14"/>
      <x:c r="B1843" s="15"/>
      <x:c r="C1843" s="16" t="str">
        <x:f>IF(AND(ISNUMBER(B1843),ISNUMBER(B1842),B1843&gt;0,B1842&gt;0),LN(B1843/B1842),"")</x:f>
      </x:c>
      <x:c r="D1843" s="16" t="str">
        <x:f>IF(ISNUMBER(C1843),ABS(C1843),"")</x:f>
      </x:c>
      <x:c r="E1843" s="16" t="str">
        <x:f>IF(ISNUMBER(C1843),C1843^2,"")</x:f>
      </x:c>
      <x:c r="F1843" s="16" t="str">
        <x:f>IF(AND(ISNUMBER(C1843),ISNUMBER($J$6),$J$6&gt;0),(C1843-$J$5)/$J$6,"")</x:f>
      </x:c>
      <x:c r="G1843" s="1" t="str">
        <x:f>IF(ISNUMBER(F1843),IF(ABS(F1843)&gt;3,1,0),"")</x:f>
      </x:c>
      <x:c r="H1843" s="1" t="str">
        <x:f>IF(ISNUMBER(F1843),F1843^4,"")</x:f>
      </x:c>
      <x:c r="I1843" s="1"/>
      <x:c r="J1843" s="1"/>
      <x:c r="K1843" s="1"/>
      <x:c r="L1843" s="1"/>
      <x:c r="M1843" s="1"/>
      <x:c r="N1843" s="1"/>
    </x:row>
    <x:row r="1844" ht="22" customHeight="1">
      <x:c r="A1844" s="14"/>
      <x:c r="B1844" s="15"/>
      <x:c r="C1844" s="16" t="str">
        <x:f>IF(AND(ISNUMBER(B1844),ISNUMBER(B1843),B1844&gt;0,B1843&gt;0),LN(B1844/B1843),"")</x:f>
      </x:c>
      <x:c r="D1844" s="16" t="str">
        <x:f>IF(ISNUMBER(C1844),ABS(C1844),"")</x:f>
      </x:c>
      <x:c r="E1844" s="16" t="str">
        <x:f>IF(ISNUMBER(C1844),C1844^2,"")</x:f>
      </x:c>
      <x:c r="F1844" s="16" t="str">
        <x:f>IF(AND(ISNUMBER(C1844),ISNUMBER($J$6),$J$6&gt;0),(C1844-$J$5)/$J$6,"")</x:f>
      </x:c>
      <x:c r="G1844" s="1" t="str">
        <x:f>IF(ISNUMBER(F1844),IF(ABS(F1844)&gt;3,1,0),"")</x:f>
      </x:c>
      <x:c r="H1844" s="1" t="str">
        <x:f>IF(ISNUMBER(F1844),F1844^4,"")</x:f>
      </x:c>
      <x:c r="I1844" s="1"/>
      <x:c r="J1844" s="1"/>
      <x:c r="K1844" s="1"/>
      <x:c r="L1844" s="1"/>
      <x:c r="M1844" s="1"/>
      <x:c r="N1844" s="1"/>
    </x:row>
    <x:row r="1845" ht="22" customHeight="1">
      <x:c r="A1845" s="14"/>
      <x:c r="B1845" s="15"/>
      <x:c r="C1845" s="16" t="str">
        <x:f>IF(AND(ISNUMBER(B1845),ISNUMBER(B1844),B1845&gt;0,B1844&gt;0),LN(B1845/B1844),"")</x:f>
      </x:c>
      <x:c r="D1845" s="16" t="str">
        <x:f>IF(ISNUMBER(C1845),ABS(C1845),"")</x:f>
      </x:c>
      <x:c r="E1845" s="16" t="str">
        <x:f>IF(ISNUMBER(C1845),C1845^2,"")</x:f>
      </x:c>
      <x:c r="F1845" s="16" t="str">
        <x:f>IF(AND(ISNUMBER(C1845),ISNUMBER($J$6),$J$6&gt;0),(C1845-$J$5)/$J$6,"")</x:f>
      </x:c>
      <x:c r="G1845" s="1" t="str">
        <x:f>IF(ISNUMBER(F1845),IF(ABS(F1845)&gt;3,1,0),"")</x:f>
      </x:c>
      <x:c r="H1845" s="1" t="str">
        <x:f>IF(ISNUMBER(F1845),F1845^4,"")</x:f>
      </x:c>
      <x:c r="I1845" s="1"/>
      <x:c r="J1845" s="1"/>
      <x:c r="K1845" s="1"/>
      <x:c r="L1845" s="1"/>
      <x:c r="M1845" s="1"/>
      <x:c r="N1845" s="1"/>
    </x:row>
    <x:row r="1846" ht="22" customHeight="1">
      <x:c r="A1846" s="14"/>
      <x:c r="B1846" s="15"/>
      <x:c r="C1846" s="16" t="str">
        <x:f>IF(AND(ISNUMBER(B1846),ISNUMBER(B1845),B1846&gt;0,B1845&gt;0),LN(B1846/B1845),"")</x:f>
      </x:c>
      <x:c r="D1846" s="16" t="str">
        <x:f>IF(ISNUMBER(C1846),ABS(C1846),"")</x:f>
      </x:c>
      <x:c r="E1846" s="16" t="str">
        <x:f>IF(ISNUMBER(C1846),C1846^2,"")</x:f>
      </x:c>
      <x:c r="F1846" s="16" t="str">
        <x:f>IF(AND(ISNUMBER(C1846),ISNUMBER($J$6),$J$6&gt;0),(C1846-$J$5)/$J$6,"")</x:f>
      </x:c>
      <x:c r="G1846" s="1" t="str">
        <x:f>IF(ISNUMBER(F1846),IF(ABS(F1846)&gt;3,1,0),"")</x:f>
      </x:c>
      <x:c r="H1846" s="1" t="str">
        <x:f>IF(ISNUMBER(F1846),F1846^4,"")</x:f>
      </x:c>
      <x:c r="I1846" s="1"/>
      <x:c r="J1846" s="1"/>
      <x:c r="K1846" s="1"/>
      <x:c r="L1846" s="1"/>
      <x:c r="M1846" s="1"/>
      <x:c r="N1846" s="1"/>
    </x:row>
    <x:row r="1847" ht="22" customHeight="1">
      <x:c r="A1847" s="14"/>
      <x:c r="B1847" s="15"/>
      <x:c r="C1847" s="16" t="str">
        <x:f>IF(AND(ISNUMBER(B1847),ISNUMBER(B1846),B1847&gt;0,B1846&gt;0),LN(B1847/B1846),"")</x:f>
      </x:c>
      <x:c r="D1847" s="16" t="str">
        <x:f>IF(ISNUMBER(C1847),ABS(C1847),"")</x:f>
      </x:c>
      <x:c r="E1847" s="16" t="str">
        <x:f>IF(ISNUMBER(C1847),C1847^2,"")</x:f>
      </x:c>
      <x:c r="F1847" s="16" t="str">
        <x:f>IF(AND(ISNUMBER(C1847),ISNUMBER($J$6),$J$6&gt;0),(C1847-$J$5)/$J$6,"")</x:f>
      </x:c>
      <x:c r="G1847" s="1" t="str">
        <x:f>IF(ISNUMBER(F1847),IF(ABS(F1847)&gt;3,1,0),"")</x:f>
      </x:c>
      <x:c r="H1847" s="1" t="str">
        <x:f>IF(ISNUMBER(F1847),F1847^4,"")</x:f>
      </x:c>
      <x:c r="I1847" s="1"/>
      <x:c r="J1847" s="1"/>
      <x:c r="K1847" s="1"/>
      <x:c r="L1847" s="1"/>
      <x:c r="M1847" s="1"/>
      <x:c r="N1847" s="1"/>
    </x:row>
    <x:row r="1848" ht="22" customHeight="1">
      <x:c r="A1848" s="14"/>
      <x:c r="B1848" s="15"/>
      <x:c r="C1848" s="16" t="str">
        <x:f>IF(AND(ISNUMBER(B1848),ISNUMBER(B1847),B1848&gt;0,B1847&gt;0),LN(B1848/B1847),"")</x:f>
      </x:c>
      <x:c r="D1848" s="16" t="str">
        <x:f>IF(ISNUMBER(C1848),ABS(C1848),"")</x:f>
      </x:c>
      <x:c r="E1848" s="16" t="str">
        <x:f>IF(ISNUMBER(C1848),C1848^2,"")</x:f>
      </x:c>
      <x:c r="F1848" s="16" t="str">
        <x:f>IF(AND(ISNUMBER(C1848),ISNUMBER($J$6),$J$6&gt;0),(C1848-$J$5)/$J$6,"")</x:f>
      </x:c>
      <x:c r="G1848" s="1" t="str">
        <x:f>IF(ISNUMBER(F1848),IF(ABS(F1848)&gt;3,1,0),"")</x:f>
      </x:c>
      <x:c r="H1848" s="1" t="str">
        <x:f>IF(ISNUMBER(F1848),F1848^4,"")</x:f>
      </x:c>
      <x:c r="I1848" s="1"/>
      <x:c r="J1848" s="1"/>
      <x:c r="K1848" s="1"/>
      <x:c r="L1848" s="1"/>
      <x:c r="M1848" s="1"/>
      <x:c r="N1848" s="1"/>
    </x:row>
    <x:row r="1849" ht="22" customHeight="1">
      <x:c r="A1849" s="14"/>
      <x:c r="B1849" s="15"/>
      <x:c r="C1849" s="16" t="str">
        <x:f>IF(AND(ISNUMBER(B1849),ISNUMBER(B1848),B1849&gt;0,B1848&gt;0),LN(B1849/B1848),"")</x:f>
      </x:c>
      <x:c r="D1849" s="16" t="str">
        <x:f>IF(ISNUMBER(C1849),ABS(C1849),"")</x:f>
      </x:c>
      <x:c r="E1849" s="16" t="str">
        <x:f>IF(ISNUMBER(C1849),C1849^2,"")</x:f>
      </x:c>
      <x:c r="F1849" s="16" t="str">
        <x:f>IF(AND(ISNUMBER(C1849),ISNUMBER($J$6),$J$6&gt;0),(C1849-$J$5)/$J$6,"")</x:f>
      </x:c>
      <x:c r="G1849" s="1" t="str">
        <x:f>IF(ISNUMBER(F1849),IF(ABS(F1849)&gt;3,1,0),"")</x:f>
      </x:c>
      <x:c r="H1849" s="1" t="str">
        <x:f>IF(ISNUMBER(F1849),F1849^4,"")</x:f>
      </x:c>
      <x:c r="I1849" s="1"/>
      <x:c r="J1849" s="1"/>
      <x:c r="K1849" s="1"/>
      <x:c r="L1849" s="1"/>
      <x:c r="M1849" s="1"/>
      <x:c r="N1849" s="1"/>
    </x:row>
    <x:row r="1850" ht="22" customHeight="1">
      <x:c r="A1850" s="14"/>
      <x:c r="B1850" s="15"/>
      <x:c r="C1850" s="16" t="str">
        <x:f>IF(AND(ISNUMBER(B1850),ISNUMBER(B1849),B1850&gt;0,B1849&gt;0),LN(B1850/B1849),"")</x:f>
      </x:c>
      <x:c r="D1850" s="16" t="str">
        <x:f>IF(ISNUMBER(C1850),ABS(C1850),"")</x:f>
      </x:c>
      <x:c r="E1850" s="16" t="str">
        <x:f>IF(ISNUMBER(C1850),C1850^2,"")</x:f>
      </x:c>
      <x:c r="F1850" s="16" t="str">
        <x:f>IF(AND(ISNUMBER(C1850),ISNUMBER($J$6),$J$6&gt;0),(C1850-$J$5)/$J$6,"")</x:f>
      </x:c>
      <x:c r="G1850" s="1" t="str">
        <x:f>IF(ISNUMBER(F1850),IF(ABS(F1850)&gt;3,1,0),"")</x:f>
      </x:c>
      <x:c r="H1850" s="1" t="str">
        <x:f>IF(ISNUMBER(F1850),F1850^4,"")</x:f>
      </x:c>
      <x:c r="I1850" s="1"/>
      <x:c r="J1850" s="1"/>
      <x:c r="K1850" s="1"/>
      <x:c r="L1850" s="1"/>
      <x:c r="M1850" s="1"/>
      <x:c r="N1850" s="1"/>
    </x:row>
    <x:row r="1851" ht="22" customHeight="1">
      <x:c r="A1851" s="14"/>
      <x:c r="B1851" s="15"/>
      <x:c r="C1851" s="16" t="str">
        <x:f>IF(AND(ISNUMBER(B1851),ISNUMBER(B1850),B1851&gt;0,B1850&gt;0),LN(B1851/B1850),"")</x:f>
      </x:c>
      <x:c r="D1851" s="16" t="str">
        <x:f>IF(ISNUMBER(C1851),ABS(C1851),"")</x:f>
      </x:c>
      <x:c r="E1851" s="16" t="str">
        <x:f>IF(ISNUMBER(C1851),C1851^2,"")</x:f>
      </x:c>
      <x:c r="F1851" s="16" t="str">
        <x:f>IF(AND(ISNUMBER(C1851),ISNUMBER($J$6),$J$6&gt;0),(C1851-$J$5)/$J$6,"")</x:f>
      </x:c>
      <x:c r="G1851" s="1" t="str">
        <x:f>IF(ISNUMBER(F1851),IF(ABS(F1851)&gt;3,1,0),"")</x:f>
      </x:c>
      <x:c r="H1851" s="1" t="str">
        <x:f>IF(ISNUMBER(F1851),F1851^4,"")</x:f>
      </x:c>
      <x:c r="I1851" s="1"/>
      <x:c r="J1851" s="1"/>
      <x:c r="K1851" s="1"/>
      <x:c r="L1851" s="1"/>
      <x:c r="M1851" s="1"/>
      <x:c r="N1851" s="1"/>
    </x:row>
    <x:row r="1852" ht="22" customHeight="1">
      <x:c r="A1852" s="14"/>
      <x:c r="B1852" s="15"/>
      <x:c r="C1852" s="16" t="str">
        <x:f>IF(AND(ISNUMBER(B1852),ISNUMBER(B1851),B1852&gt;0,B1851&gt;0),LN(B1852/B1851),"")</x:f>
      </x:c>
      <x:c r="D1852" s="16" t="str">
        <x:f>IF(ISNUMBER(C1852),ABS(C1852),"")</x:f>
      </x:c>
      <x:c r="E1852" s="16" t="str">
        <x:f>IF(ISNUMBER(C1852),C1852^2,"")</x:f>
      </x:c>
      <x:c r="F1852" s="16" t="str">
        <x:f>IF(AND(ISNUMBER(C1852),ISNUMBER($J$6),$J$6&gt;0),(C1852-$J$5)/$J$6,"")</x:f>
      </x:c>
      <x:c r="G1852" s="1" t="str">
        <x:f>IF(ISNUMBER(F1852),IF(ABS(F1852)&gt;3,1,0),"")</x:f>
      </x:c>
      <x:c r="H1852" s="1" t="str">
        <x:f>IF(ISNUMBER(F1852),F1852^4,"")</x:f>
      </x:c>
      <x:c r="I1852" s="1"/>
      <x:c r="J1852" s="1"/>
      <x:c r="K1852" s="1"/>
      <x:c r="L1852" s="1"/>
      <x:c r="M1852" s="1"/>
      <x:c r="N1852" s="1"/>
    </x:row>
    <x:row r="1853" ht="22" customHeight="1">
      <x:c r="A1853" s="14"/>
      <x:c r="B1853" s="15"/>
      <x:c r="C1853" s="16" t="str">
        <x:f>IF(AND(ISNUMBER(B1853),ISNUMBER(B1852),B1853&gt;0,B1852&gt;0),LN(B1853/B1852),"")</x:f>
      </x:c>
      <x:c r="D1853" s="16" t="str">
        <x:f>IF(ISNUMBER(C1853),ABS(C1853),"")</x:f>
      </x:c>
      <x:c r="E1853" s="16" t="str">
        <x:f>IF(ISNUMBER(C1853),C1853^2,"")</x:f>
      </x:c>
      <x:c r="F1853" s="16" t="str">
        <x:f>IF(AND(ISNUMBER(C1853),ISNUMBER($J$6),$J$6&gt;0),(C1853-$J$5)/$J$6,"")</x:f>
      </x:c>
      <x:c r="G1853" s="1" t="str">
        <x:f>IF(ISNUMBER(F1853),IF(ABS(F1853)&gt;3,1,0),"")</x:f>
      </x:c>
      <x:c r="H1853" s="1" t="str">
        <x:f>IF(ISNUMBER(F1853),F1853^4,"")</x:f>
      </x:c>
      <x:c r="I1853" s="1"/>
      <x:c r="J1853" s="1"/>
      <x:c r="K1853" s="1"/>
      <x:c r="L1853" s="1"/>
      <x:c r="M1853" s="1"/>
      <x:c r="N1853" s="1"/>
    </x:row>
    <x:row r="1854" ht="22" customHeight="1">
      <x:c r="A1854" s="14"/>
      <x:c r="B1854" s="15"/>
      <x:c r="C1854" s="16" t="str">
        <x:f>IF(AND(ISNUMBER(B1854),ISNUMBER(B1853),B1854&gt;0,B1853&gt;0),LN(B1854/B1853),"")</x:f>
      </x:c>
      <x:c r="D1854" s="16" t="str">
        <x:f>IF(ISNUMBER(C1854),ABS(C1854),"")</x:f>
      </x:c>
      <x:c r="E1854" s="16" t="str">
        <x:f>IF(ISNUMBER(C1854),C1854^2,"")</x:f>
      </x:c>
      <x:c r="F1854" s="16" t="str">
        <x:f>IF(AND(ISNUMBER(C1854),ISNUMBER($J$6),$J$6&gt;0),(C1854-$J$5)/$J$6,"")</x:f>
      </x:c>
      <x:c r="G1854" s="1" t="str">
        <x:f>IF(ISNUMBER(F1854),IF(ABS(F1854)&gt;3,1,0),"")</x:f>
      </x:c>
      <x:c r="H1854" s="1" t="str">
        <x:f>IF(ISNUMBER(F1854),F1854^4,"")</x:f>
      </x:c>
      <x:c r="I1854" s="1"/>
      <x:c r="J1854" s="1"/>
      <x:c r="K1854" s="1"/>
      <x:c r="L1854" s="1"/>
      <x:c r="M1854" s="1"/>
      <x:c r="N1854" s="1"/>
    </x:row>
    <x:row r="1855" ht="22" customHeight="1">
      <x:c r="A1855" s="14"/>
      <x:c r="B1855" s="15"/>
      <x:c r="C1855" s="16" t="str">
        <x:f>IF(AND(ISNUMBER(B1855),ISNUMBER(B1854),B1855&gt;0,B1854&gt;0),LN(B1855/B1854),"")</x:f>
      </x:c>
      <x:c r="D1855" s="16" t="str">
        <x:f>IF(ISNUMBER(C1855),ABS(C1855),"")</x:f>
      </x:c>
      <x:c r="E1855" s="16" t="str">
        <x:f>IF(ISNUMBER(C1855),C1855^2,"")</x:f>
      </x:c>
      <x:c r="F1855" s="16" t="str">
        <x:f>IF(AND(ISNUMBER(C1855),ISNUMBER($J$6),$J$6&gt;0),(C1855-$J$5)/$J$6,"")</x:f>
      </x:c>
      <x:c r="G1855" s="1" t="str">
        <x:f>IF(ISNUMBER(F1855),IF(ABS(F1855)&gt;3,1,0),"")</x:f>
      </x:c>
      <x:c r="H1855" s="1" t="str">
        <x:f>IF(ISNUMBER(F1855),F1855^4,"")</x:f>
      </x:c>
      <x:c r="I1855" s="1"/>
      <x:c r="J1855" s="1"/>
      <x:c r="K1855" s="1"/>
      <x:c r="L1855" s="1"/>
      <x:c r="M1855" s="1"/>
      <x:c r="N1855" s="1"/>
    </x:row>
    <x:row r="1856" ht="22" customHeight="1">
      <x:c r="A1856" s="14"/>
      <x:c r="B1856" s="15"/>
      <x:c r="C1856" s="16" t="str">
        <x:f>IF(AND(ISNUMBER(B1856),ISNUMBER(B1855),B1856&gt;0,B1855&gt;0),LN(B1856/B1855),"")</x:f>
      </x:c>
      <x:c r="D1856" s="16" t="str">
        <x:f>IF(ISNUMBER(C1856),ABS(C1856),"")</x:f>
      </x:c>
      <x:c r="E1856" s="16" t="str">
        <x:f>IF(ISNUMBER(C1856),C1856^2,"")</x:f>
      </x:c>
      <x:c r="F1856" s="16" t="str">
        <x:f>IF(AND(ISNUMBER(C1856),ISNUMBER($J$6),$J$6&gt;0),(C1856-$J$5)/$J$6,"")</x:f>
      </x:c>
      <x:c r="G1856" s="1" t="str">
        <x:f>IF(ISNUMBER(F1856),IF(ABS(F1856)&gt;3,1,0),"")</x:f>
      </x:c>
      <x:c r="H1856" s="1" t="str">
        <x:f>IF(ISNUMBER(F1856),F1856^4,"")</x:f>
      </x:c>
      <x:c r="I1856" s="1"/>
      <x:c r="J1856" s="1"/>
      <x:c r="K1856" s="1"/>
      <x:c r="L1856" s="1"/>
      <x:c r="M1856" s="1"/>
      <x:c r="N1856" s="1"/>
    </x:row>
    <x:row r="1857" ht="22" customHeight="1">
      <x:c r="A1857" s="14"/>
      <x:c r="B1857" s="15"/>
      <x:c r="C1857" s="16" t="str">
        <x:f>IF(AND(ISNUMBER(B1857),ISNUMBER(B1856),B1857&gt;0,B1856&gt;0),LN(B1857/B1856),"")</x:f>
      </x:c>
      <x:c r="D1857" s="16" t="str">
        <x:f>IF(ISNUMBER(C1857),ABS(C1857),"")</x:f>
      </x:c>
      <x:c r="E1857" s="16" t="str">
        <x:f>IF(ISNUMBER(C1857),C1857^2,"")</x:f>
      </x:c>
      <x:c r="F1857" s="16" t="str">
        <x:f>IF(AND(ISNUMBER(C1857),ISNUMBER($J$6),$J$6&gt;0),(C1857-$J$5)/$J$6,"")</x:f>
      </x:c>
      <x:c r="G1857" s="1" t="str">
        <x:f>IF(ISNUMBER(F1857),IF(ABS(F1857)&gt;3,1,0),"")</x:f>
      </x:c>
      <x:c r="H1857" s="1" t="str">
        <x:f>IF(ISNUMBER(F1857),F1857^4,"")</x:f>
      </x:c>
      <x:c r="I1857" s="1"/>
      <x:c r="J1857" s="1"/>
      <x:c r="K1857" s="1"/>
      <x:c r="L1857" s="1"/>
      <x:c r="M1857" s="1"/>
      <x:c r="N1857" s="1"/>
    </x:row>
    <x:row r="1858" ht="22" customHeight="1">
      <x:c r="A1858" s="14"/>
      <x:c r="B1858" s="15"/>
      <x:c r="C1858" s="16" t="str">
        <x:f>IF(AND(ISNUMBER(B1858),ISNUMBER(B1857),B1858&gt;0,B1857&gt;0),LN(B1858/B1857),"")</x:f>
      </x:c>
      <x:c r="D1858" s="16" t="str">
        <x:f>IF(ISNUMBER(C1858),ABS(C1858),"")</x:f>
      </x:c>
      <x:c r="E1858" s="16" t="str">
        <x:f>IF(ISNUMBER(C1858),C1858^2,"")</x:f>
      </x:c>
      <x:c r="F1858" s="16" t="str">
        <x:f>IF(AND(ISNUMBER(C1858),ISNUMBER($J$6),$J$6&gt;0),(C1858-$J$5)/$J$6,"")</x:f>
      </x:c>
      <x:c r="G1858" s="1" t="str">
        <x:f>IF(ISNUMBER(F1858),IF(ABS(F1858)&gt;3,1,0),"")</x:f>
      </x:c>
      <x:c r="H1858" s="1" t="str">
        <x:f>IF(ISNUMBER(F1858),F1858^4,"")</x:f>
      </x:c>
      <x:c r="I1858" s="1"/>
      <x:c r="J1858" s="1"/>
      <x:c r="K1858" s="1"/>
      <x:c r="L1858" s="1"/>
      <x:c r="M1858" s="1"/>
      <x:c r="N1858" s="1"/>
    </x:row>
    <x:row r="1859" ht="22" customHeight="1">
      <x:c r="A1859" s="14"/>
      <x:c r="B1859" s="15"/>
      <x:c r="C1859" s="16" t="str">
        <x:f>IF(AND(ISNUMBER(B1859),ISNUMBER(B1858),B1859&gt;0,B1858&gt;0),LN(B1859/B1858),"")</x:f>
      </x:c>
      <x:c r="D1859" s="16" t="str">
        <x:f>IF(ISNUMBER(C1859),ABS(C1859),"")</x:f>
      </x:c>
      <x:c r="E1859" s="16" t="str">
        <x:f>IF(ISNUMBER(C1859),C1859^2,"")</x:f>
      </x:c>
      <x:c r="F1859" s="16" t="str">
        <x:f>IF(AND(ISNUMBER(C1859),ISNUMBER($J$6),$J$6&gt;0),(C1859-$J$5)/$J$6,"")</x:f>
      </x:c>
      <x:c r="G1859" s="1" t="str">
        <x:f>IF(ISNUMBER(F1859),IF(ABS(F1859)&gt;3,1,0),"")</x:f>
      </x:c>
      <x:c r="H1859" s="1" t="str">
        <x:f>IF(ISNUMBER(F1859),F1859^4,"")</x:f>
      </x:c>
      <x:c r="I1859" s="1"/>
      <x:c r="J1859" s="1"/>
      <x:c r="K1859" s="1"/>
      <x:c r="L1859" s="1"/>
      <x:c r="M1859" s="1"/>
      <x:c r="N1859" s="1"/>
    </x:row>
    <x:row r="1860" ht="22" customHeight="1">
      <x:c r="A1860" s="14"/>
      <x:c r="B1860" s="15"/>
      <x:c r="C1860" s="16" t="str">
        <x:f>IF(AND(ISNUMBER(B1860),ISNUMBER(B1859),B1860&gt;0,B1859&gt;0),LN(B1860/B1859),"")</x:f>
      </x:c>
      <x:c r="D1860" s="16" t="str">
        <x:f>IF(ISNUMBER(C1860),ABS(C1860),"")</x:f>
      </x:c>
      <x:c r="E1860" s="16" t="str">
        <x:f>IF(ISNUMBER(C1860),C1860^2,"")</x:f>
      </x:c>
      <x:c r="F1860" s="16" t="str">
        <x:f>IF(AND(ISNUMBER(C1860),ISNUMBER($J$6),$J$6&gt;0),(C1860-$J$5)/$J$6,"")</x:f>
      </x:c>
      <x:c r="G1860" s="1" t="str">
        <x:f>IF(ISNUMBER(F1860),IF(ABS(F1860)&gt;3,1,0),"")</x:f>
      </x:c>
      <x:c r="H1860" s="1" t="str">
        <x:f>IF(ISNUMBER(F1860),F1860^4,"")</x:f>
      </x:c>
      <x:c r="I1860" s="1"/>
      <x:c r="J1860" s="1"/>
      <x:c r="K1860" s="1"/>
      <x:c r="L1860" s="1"/>
      <x:c r="M1860" s="1"/>
      <x:c r="N1860" s="1"/>
    </x:row>
    <x:row r="1861" ht="22" customHeight="1">
      <x:c r="A1861" s="14"/>
      <x:c r="B1861" s="15"/>
      <x:c r="C1861" s="16" t="str">
        <x:f>IF(AND(ISNUMBER(B1861),ISNUMBER(B1860),B1861&gt;0,B1860&gt;0),LN(B1861/B1860),"")</x:f>
      </x:c>
      <x:c r="D1861" s="16" t="str">
        <x:f>IF(ISNUMBER(C1861),ABS(C1861),"")</x:f>
      </x:c>
      <x:c r="E1861" s="16" t="str">
        <x:f>IF(ISNUMBER(C1861),C1861^2,"")</x:f>
      </x:c>
      <x:c r="F1861" s="16" t="str">
        <x:f>IF(AND(ISNUMBER(C1861),ISNUMBER($J$6),$J$6&gt;0),(C1861-$J$5)/$J$6,"")</x:f>
      </x:c>
      <x:c r="G1861" s="1" t="str">
        <x:f>IF(ISNUMBER(F1861),IF(ABS(F1861)&gt;3,1,0),"")</x:f>
      </x:c>
      <x:c r="H1861" s="1" t="str">
        <x:f>IF(ISNUMBER(F1861),F1861^4,"")</x:f>
      </x:c>
      <x:c r="I1861" s="1"/>
      <x:c r="J1861" s="1"/>
      <x:c r="K1861" s="1"/>
      <x:c r="L1861" s="1"/>
      <x:c r="M1861" s="1"/>
      <x:c r="N1861" s="1"/>
    </x:row>
    <x:row r="1862" ht="22" customHeight="1">
      <x:c r="A1862" s="14"/>
      <x:c r="B1862" s="15"/>
      <x:c r="C1862" s="16" t="str">
        <x:f>IF(AND(ISNUMBER(B1862),ISNUMBER(B1861),B1862&gt;0,B1861&gt;0),LN(B1862/B1861),"")</x:f>
      </x:c>
      <x:c r="D1862" s="16" t="str">
        <x:f>IF(ISNUMBER(C1862),ABS(C1862),"")</x:f>
      </x:c>
      <x:c r="E1862" s="16" t="str">
        <x:f>IF(ISNUMBER(C1862),C1862^2,"")</x:f>
      </x:c>
      <x:c r="F1862" s="16" t="str">
        <x:f>IF(AND(ISNUMBER(C1862),ISNUMBER($J$6),$J$6&gt;0),(C1862-$J$5)/$J$6,"")</x:f>
      </x:c>
      <x:c r="G1862" s="1" t="str">
        <x:f>IF(ISNUMBER(F1862),IF(ABS(F1862)&gt;3,1,0),"")</x:f>
      </x:c>
      <x:c r="H1862" s="1" t="str">
        <x:f>IF(ISNUMBER(F1862),F1862^4,"")</x:f>
      </x:c>
      <x:c r="I1862" s="1"/>
      <x:c r="J1862" s="1"/>
      <x:c r="K1862" s="1"/>
      <x:c r="L1862" s="1"/>
      <x:c r="M1862" s="1"/>
      <x:c r="N1862" s="1"/>
    </x:row>
    <x:row r="1863" ht="22" customHeight="1">
      <x:c r="A1863" s="14"/>
      <x:c r="B1863" s="15"/>
      <x:c r="C1863" s="16" t="str">
        <x:f>IF(AND(ISNUMBER(B1863),ISNUMBER(B1862),B1863&gt;0,B1862&gt;0),LN(B1863/B1862),"")</x:f>
      </x:c>
      <x:c r="D1863" s="16" t="str">
        <x:f>IF(ISNUMBER(C1863),ABS(C1863),"")</x:f>
      </x:c>
      <x:c r="E1863" s="16" t="str">
        <x:f>IF(ISNUMBER(C1863),C1863^2,"")</x:f>
      </x:c>
      <x:c r="F1863" s="16" t="str">
        <x:f>IF(AND(ISNUMBER(C1863),ISNUMBER($J$6),$J$6&gt;0),(C1863-$J$5)/$J$6,"")</x:f>
      </x:c>
      <x:c r="G1863" s="1" t="str">
        <x:f>IF(ISNUMBER(F1863),IF(ABS(F1863)&gt;3,1,0),"")</x:f>
      </x:c>
      <x:c r="H1863" s="1" t="str">
        <x:f>IF(ISNUMBER(F1863),F1863^4,"")</x:f>
      </x:c>
      <x:c r="I1863" s="1"/>
      <x:c r="J1863" s="1"/>
      <x:c r="K1863" s="1"/>
      <x:c r="L1863" s="1"/>
      <x:c r="M1863" s="1"/>
      <x:c r="N1863" s="1"/>
    </x:row>
    <x:row r="1864" ht="22" customHeight="1">
      <x:c r="A1864" s="14"/>
      <x:c r="B1864" s="15"/>
      <x:c r="C1864" s="16" t="str">
        <x:f>IF(AND(ISNUMBER(B1864),ISNUMBER(B1863),B1864&gt;0,B1863&gt;0),LN(B1864/B1863),"")</x:f>
      </x:c>
      <x:c r="D1864" s="16" t="str">
        <x:f>IF(ISNUMBER(C1864),ABS(C1864),"")</x:f>
      </x:c>
      <x:c r="E1864" s="16" t="str">
        <x:f>IF(ISNUMBER(C1864),C1864^2,"")</x:f>
      </x:c>
      <x:c r="F1864" s="16" t="str">
        <x:f>IF(AND(ISNUMBER(C1864),ISNUMBER($J$6),$J$6&gt;0),(C1864-$J$5)/$J$6,"")</x:f>
      </x:c>
      <x:c r="G1864" s="1" t="str">
        <x:f>IF(ISNUMBER(F1864),IF(ABS(F1864)&gt;3,1,0),"")</x:f>
      </x:c>
      <x:c r="H1864" s="1" t="str">
        <x:f>IF(ISNUMBER(F1864),F1864^4,"")</x:f>
      </x:c>
      <x:c r="I1864" s="1"/>
      <x:c r="J1864" s="1"/>
      <x:c r="K1864" s="1"/>
      <x:c r="L1864" s="1"/>
      <x:c r="M1864" s="1"/>
      <x:c r="N1864" s="1"/>
    </x:row>
    <x:row r="1865" ht="22" customHeight="1">
      <x:c r="A1865" s="14"/>
      <x:c r="B1865" s="15"/>
      <x:c r="C1865" s="16" t="str">
        <x:f>IF(AND(ISNUMBER(B1865),ISNUMBER(B1864),B1865&gt;0,B1864&gt;0),LN(B1865/B1864),"")</x:f>
      </x:c>
      <x:c r="D1865" s="16" t="str">
        <x:f>IF(ISNUMBER(C1865),ABS(C1865),"")</x:f>
      </x:c>
      <x:c r="E1865" s="16" t="str">
        <x:f>IF(ISNUMBER(C1865),C1865^2,"")</x:f>
      </x:c>
      <x:c r="F1865" s="16" t="str">
        <x:f>IF(AND(ISNUMBER(C1865),ISNUMBER($J$6),$J$6&gt;0),(C1865-$J$5)/$J$6,"")</x:f>
      </x:c>
      <x:c r="G1865" s="1" t="str">
        <x:f>IF(ISNUMBER(F1865),IF(ABS(F1865)&gt;3,1,0),"")</x:f>
      </x:c>
      <x:c r="H1865" s="1" t="str">
        <x:f>IF(ISNUMBER(F1865),F1865^4,"")</x:f>
      </x:c>
      <x:c r="I1865" s="1"/>
      <x:c r="J1865" s="1"/>
      <x:c r="K1865" s="1"/>
      <x:c r="L1865" s="1"/>
      <x:c r="M1865" s="1"/>
      <x:c r="N1865" s="1"/>
    </x:row>
    <x:row r="1866" ht="22" customHeight="1">
      <x:c r="A1866" s="14"/>
      <x:c r="B1866" s="15"/>
      <x:c r="C1866" s="16" t="str">
        <x:f>IF(AND(ISNUMBER(B1866),ISNUMBER(B1865),B1866&gt;0,B1865&gt;0),LN(B1866/B1865),"")</x:f>
      </x:c>
      <x:c r="D1866" s="16" t="str">
        <x:f>IF(ISNUMBER(C1866),ABS(C1866),"")</x:f>
      </x:c>
      <x:c r="E1866" s="16" t="str">
        <x:f>IF(ISNUMBER(C1866),C1866^2,"")</x:f>
      </x:c>
      <x:c r="F1866" s="16" t="str">
        <x:f>IF(AND(ISNUMBER(C1866),ISNUMBER($J$6),$J$6&gt;0),(C1866-$J$5)/$J$6,"")</x:f>
      </x:c>
      <x:c r="G1866" s="1" t="str">
        <x:f>IF(ISNUMBER(F1866),IF(ABS(F1866)&gt;3,1,0),"")</x:f>
      </x:c>
      <x:c r="H1866" s="1" t="str">
        <x:f>IF(ISNUMBER(F1866),F1866^4,"")</x:f>
      </x:c>
      <x:c r="I1866" s="1"/>
      <x:c r="J1866" s="1"/>
      <x:c r="K1866" s="1"/>
      <x:c r="L1866" s="1"/>
      <x:c r="M1866" s="1"/>
      <x:c r="N1866" s="1"/>
    </x:row>
    <x:row r="1867" ht="22" customHeight="1">
      <x:c r="A1867" s="14"/>
      <x:c r="B1867" s="15"/>
      <x:c r="C1867" s="16" t="str">
        <x:f>IF(AND(ISNUMBER(B1867),ISNUMBER(B1866),B1867&gt;0,B1866&gt;0),LN(B1867/B1866),"")</x:f>
      </x:c>
      <x:c r="D1867" s="16" t="str">
        <x:f>IF(ISNUMBER(C1867),ABS(C1867),"")</x:f>
      </x:c>
      <x:c r="E1867" s="16" t="str">
        <x:f>IF(ISNUMBER(C1867),C1867^2,"")</x:f>
      </x:c>
      <x:c r="F1867" s="16" t="str">
        <x:f>IF(AND(ISNUMBER(C1867),ISNUMBER($J$6),$J$6&gt;0),(C1867-$J$5)/$J$6,"")</x:f>
      </x:c>
      <x:c r="G1867" s="1" t="str">
        <x:f>IF(ISNUMBER(F1867),IF(ABS(F1867)&gt;3,1,0),"")</x:f>
      </x:c>
      <x:c r="H1867" s="1" t="str">
        <x:f>IF(ISNUMBER(F1867),F1867^4,"")</x:f>
      </x:c>
      <x:c r="I1867" s="1"/>
      <x:c r="J1867" s="1"/>
      <x:c r="K1867" s="1"/>
      <x:c r="L1867" s="1"/>
      <x:c r="M1867" s="1"/>
      <x:c r="N1867" s="1"/>
    </x:row>
    <x:row r="1868" ht="22" customHeight="1">
      <x:c r="A1868" s="14"/>
      <x:c r="B1868" s="15"/>
      <x:c r="C1868" s="16" t="str">
        <x:f>IF(AND(ISNUMBER(B1868),ISNUMBER(B1867),B1868&gt;0,B1867&gt;0),LN(B1868/B1867),"")</x:f>
      </x:c>
      <x:c r="D1868" s="16" t="str">
        <x:f>IF(ISNUMBER(C1868),ABS(C1868),"")</x:f>
      </x:c>
      <x:c r="E1868" s="16" t="str">
        <x:f>IF(ISNUMBER(C1868),C1868^2,"")</x:f>
      </x:c>
      <x:c r="F1868" s="16" t="str">
        <x:f>IF(AND(ISNUMBER(C1868),ISNUMBER($J$6),$J$6&gt;0),(C1868-$J$5)/$J$6,"")</x:f>
      </x:c>
      <x:c r="G1868" s="1" t="str">
        <x:f>IF(ISNUMBER(F1868),IF(ABS(F1868)&gt;3,1,0),"")</x:f>
      </x:c>
      <x:c r="H1868" s="1" t="str">
        <x:f>IF(ISNUMBER(F1868),F1868^4,"")</x:f>
      </x:c>
      <x:c r="I1868" s="1"/>
      <x:c r="J1868" s="1"/>
      <x:c r="K1868" s="1"/>
      <x:c r="L1868" s="1"/>
      <x:c r="M1868" s="1"/>
      <x:c r="N1868" s="1"/>
    </x:row>
    <x:row r="1869" ht="22" customHeight="1">
      <x:c r="A1869" s="14"/>
      <x:c r="B1869" s="15"/>
      <x:c r="C1869" s="16" t="str">
        <x:f>IF(AND(ISNUMBER(B1869),ISNUMBER(B1868),B1869&gt;0,B1868&gt;0),LN(B1869/B1868),"")</x:f>
      </x:c>
      <x:c r="D1869" s="16" t="str">
        <x:f>IF(ISNUMBER(C1869),ABS(C1869),"")</x:f>
      </x:c>
      <x:c r="E1869" s="16" t="str">
        <x:f>IF(ISNUMBER(C1869),C1869^2,"")</x:f>
      </x:c>
      <x:c r="F1869" s="16" t="str">
        <x:f>IF(AND(ISNUMBER(C1869),ISNUMBER($J$6),$J$6&gt;0),(C1869-$J$5)/$J$6,"")</x:f>
      </x:c>
      <x:c r="G1869" s="1" t="str">
        <x:f>IF(ISNUMBER(F1869),IF(ABS(F1869)&gt;3,1,0),"")</x:f>
      </x:c>
      <x:c r="H1869" s="1" t="str">
        <x:f>IF(ISNUMBER(F1869),F1869^4,"")</x:f>
      </x:c>
      <x:c r="I1869" s="1"/>
      <x:c r="J1869" s="1"/>
      <x:c r="K1869" s="1"/>
      <x:c r="L1869" s="1"/>
      <x:c r="M1869" s="1"/>
      <x:c r="N1869" s="1"/>
    </x:row>
    <x:row r="1870" ht="22" customHeight="1">
      <x:c r="A1870" s="14"/>
      <x:c r="B1870" s="15"/>
      <x:c r="C1870" s="16" t="str">
        <x:f>IF(AND(ISNUMBER(B1870),ISNUMBER(B1869),B1870&gt;0,B1869&gt;0),LN(B1870/B1869),"")</x:f>
      </x:c>
      <x:c r="D1870" s="16" t="str">
        <x:f>IF(ISNUMBER(C1870),ABS(C1870),"")</x:f>
      </x:c>
      <x:c r="E1870" s="16" t="str">
        <x:f>IF(ISNUMBER(C1870),C1870^2,"")</x:f>
      </x:c>
      <x:c r="F1870" s="16" t="str">
        <x:f>IF(AND(ISNUMBER(C1870),ISNUMBER($J$6),$J$6&gt;0),(C1870-$J$5)/$J$6,"")</x:f>
      </x:c>
      <x:c r="G1870" s="1" t="str">
        <x:f>IF(ISNUMBER(F1870),IF(ABS(F1870)&gt;3,1,0),"")</x:f>
      </x:c>
      <x:c r="H1870" s="1" t="str">
        <x:f>IF(ISNUMBER(F1870),F1870^4,"")</x:f>
      </x:c>
      <x:c r="I1870" s="1"/>
      <x:c r="J1870" s="1"/>
      <x:c r="K1870" s="1"/>
      <x:c r="L1870" s="1"/>
      <x:c r="M1870" s="1"/>
      <x:c r="N1870" s="1"/>
    </x:row>
    <x:row r="1871" ht="22" customHeight="1">
      <x:c r="A1871" s="14"/>
      <x:c r="B1871" s="15"/>
      <x:c r="C1871" s="16" t="str">
        <x:f>IF(AND(ISNUMBER(B1871),ISNUMBER(B1870),B1871&gt;0,B1870&gt;0),LN(B1871/B1870),"")</x:f>
      </x:c>
      <x:c r="D1871" s="16" t="str">
        <x:f>IF(ISNUMBER(C1871),ABS(C1871),"")</x:f>
      </x:c>
      <x:c r="E1871" s="16" t="str">
        <x:f>IF(ISNUMBER(C1871),C1871^2,"")</x:f>
      </x:c>
      <x:c r="F1871" s="16" t="str">
        <x:f>IF(AND(ISNUMBER(C1871),ISNUMBER($J$6),$J$6&gt;0),(C1871-$J$5)/$J$6,"")</x:f>
      </x:c>
      <x:c r="G1871" s="1" t="str">
        <x:f>IF(ISNUMBER(F1871),IF(ABS(F1871)&gt;3,1,0),"")</x:f>
      </x:c>
      <x:c r="H1871" s="1" t="str">
        <x:f>IF(ISNUMBER(F1871),F1871^4,"")</x:f>
      </x:c>
      <x:c r="I1871" s="1"/>
      <x:c r="J1871" s="1"/>
      <x:c r="K1871" s="1"/>
      <x:c r="L1871" s="1"/>
      <x:c r="M1871" s="1"/>
      <x:c r="N1871" s="1"/>
    </x:row>
    <x:row r="1872" ht="22" customHeight="1">
      <x:c r="A1872" s="14"/>
      <x:c r="B1872" s="15"/>
      <x:c r="C1872" s="16" t="str">
        <x:f>IF(AND(ISNUMBER(B1872),ISNUMBER(B1871),B1872&gt;0,B1871&gt;0),LN(B1872/B1871),"")</x:f>
      </x:c>
      <x:c r="D1872" s="16" t="str">
        <x:f>IF(ISNUMBER(C1872),ABS(C1872),"")</x:f>
      </x:c>
      <x:c r="E1872" s="16" t="str">
        <x:f>IF(ISNUMBER(C1872),C1872^2,"")</x:f>
      </x:c>
      <x:c r="F1872" s="16" t="str">
        <x:f>IF(AND(ISNUMBER(C1872),ISNUMBER($J$6),$J$6&gt;0),(C1872-$J$5)/$J$6,"")</x:f>
      </x:c>
      <x:c r="G1872" s="1" t="str">
        <x:f>IF(ISNUMBER(F1872),IF(ABS(F1872)&gt;3,1,0),"")</x:f>
      </x:c>
      <x:c r="H1872" s="1" t="str">
        <x:f>IF(ISNUMBER(F1872),F1872^4,"")</x:f>
      </x:c>
      <x:c r="I1872" s="1"/>
      <x:c r="J1872" s="1"/>
      <x:c r="K1872" s="1"/>
      <x:c r="L1872" s="1"/>
      <x:c r="M1872" s="1"/>
      <x:c r="N1872" s="1"/>
    </x:row>
    <x:row r="1873" ht="22" customHeight="1">
      <x:c r="A1873" s="14"/>
      <x:c r="B1873" s="15"/>
      <x:c r="C1873" s="16" t="str">
        <x:f>IF(AND(ISNUMBER(B1873),ISNUMBER(B1872),B1873&gt;0,B1872&gt;0),LN(B1873/B1872),"")</x:f>
      </x:c>
      <x:c r="D1873" s="16" t="str">
        <x:f>IF(ISNUMBER(C1873),ABS(C1873),"")</x:f>
      </x:c>
      <x:c r="E1873" s="16" t="str">
        <x:f>IF(ISNUMBER(C1873),C1873^2,"")</x:f>
      </x:c>
      <x:c r="F1873" s="16" t="str">
        <x:f>IF(AND(ISNUMBER(C1873),ISNUMBER($J$6),$J$6&gt;0),(C1873-$J$5)/$J$6,"")</x:f>
      </x:c>
      <x:c r="G1873" s="1" t="str">
        <x:f>IF(ISNUMBER(F1873),IF(ABS(F1873)&gt;3,1,0),"")</x:f>
      </x:c>
      <x:c r="H1873" s="1" t="str">
        <x:f>IF(ISNUMBER(F1873),F1873^4,"")</x:f>
      </x:c>
      <x:c r="I1873" s="1"/>
      <x:c r="J1873" s="1"/>
      <x:c r="K1873" s="1"/>
      <x:c r="L1873" s="1"/>
      <x:c r="M1873" s="1"/>
      <x:c r="N1873" s="1"/>
    </x:row>
    <x:row r="1874" ht="22" customHeight="1">
      <x:c r="A1874" s="14"/>
      <x:c r="B1874" s="15"/>
      <x:c r="C1874" s="16" t="str">
        <x:f>IF(AND(ISNUMBER(B1874),ISNUMBER(B1873),B1874&gt;0,B1873&gt;0),LN(B1874/B1873),"")</x:f>
      </x:c>
      <x:c r="D1874" s="16" t="str">
        <x:f>IF(ISNUMBER(C1874),ABS(C1874),"")</x:f>
      </x:c>
      <x:c r="E1874" s="16" t="str">
        <x:f>IF(ISNUMBER(C1874),C1874^2,"")</x:f>
      </x:c>
      <x:c r="F1874" s="16" t="str">
        <x:f>IF(AND(ISNUMBER(C1874),ISNUMBER($J$6),$J$6&gt;0),(C1874-$J$5)/$J$6,"")</x:f>
      </x:c>
      <x:c r="G1874" s="1" t="str">
        <x:f>IF(ISNUMBER(F1874),IF(ABS(F1874)&gt;3,1,0),"")</x:f>
      </x:c>
      <x:c r="H1874" s="1" t="str">
        <x:f>IF(ISNUMBER(F1874),F1874^4,"")</x:f>
      </x:c>
      <x:c r="I1874" s="1"/>
      <x:c r="J1874" s="1"/>
      <x:c r="K1874" s="1"/>
      <x:c r="L1874" s="1"/>
      <x:c r="M1874" s="1"/>
      <x:c r="N1874" s="1"/>
    </x:row>
    <x:row r="1875" ht="22" customHeight="1">
      <x:c r="A1875" s="14"/>
      <x:c r="B1875" s="15"/>
      <x:c r="C1875" s="16" t="str">
        <x:f>IF(AND(ISNUMBER(B1875),ISNUMBER(B1874),B1875&gt;0,B1874&gt;0),LN(B1875/B1874),"")</x:f>
      </x:c>
      <x:c r="D1875" s="16" t="str">
        <x:f>IF(ISNUMBER(C1875),ABS(C1875),"")</x:f>
      </x:c>
      <x:c r="E1875" s="16" t="str">
        <x:f>IF(ISNUMBER(C1875),C1875^2,"")</x:f>
      </x:c>
      <x:c r="F1875" s="16" t="str">
        <x:f>IF(AND(ISNUMBER(C1875),ISNUMBER($J$6),$J$6&gt;0),(C1875-$J$5)/$J$6,"")</x:f>
      </x:c>
      <x:c r="G1875" s="1" t="str">
        <x:f>IF(ISNUMBER(F1875),IF(ABS(F1875)&gt;3,1,0),"")</x:f>
      </x:c>
      <x:c r="H1875" s="1" t="str">
        <x:f>IF(ISNUMBER(F1875),F1875^4,"")</x:f>
      </x:c>
      <x:c r="I1875" s="1"/>
      <x:c r="J1875" s="1"/>
      <x:c r="K1875" s="1"/>
      <x:c r="L1875" s="1"/>
      <x:c r="M1875" s="1"/>
      <x:c r="N1875" s="1"/>
    </x:row>
    <x:row r="1876" ht="22" customHeight="1">
      <x:c r="A1876" s="14"/>
      <x:c r="B1876" s="15"/>
      <x:c r="C1876" s="16" t="str">
        <x:f>IF(AND(ISNUMBER(B1876),ISNUMBER(B1875),B1876&gt;0,B1875&gt;0),LN(B1876/B1875),"")</x:f>
      </x:c>
      <x:c r="D1876" s="16" t="str">
        <x:f>IF(ISNUMBER(C1876),ABS(C1876),"")</x:f>
      </x:c>
      <x:c r="E1876" s="16" t="str">
        <x:f>IF(ISNUMBER(C1876),C1876^2,"")</x:f>
      </x:c>
      <x:c r="F1876" s="16" t="str">
        <x:f>IF(AND(ISNUMBER(C1876),ISNUMBER($J$6),$J$6&gt;0),(C1876-$J$5)/$J$6,"")</x:f>
      </x:c>
      <x:c r="G1876" s="1" t="str">
        <x:f>IF(ISNUMBER(F1876),IF(ABS(F1876)&gt;3,1,0),"")</x:f>
      </x:c>
      <x:c r="H1876" s="1" t="str">
        <x:f>IF(ISNUMBER(F1876),F1876^4,"")</x:f>
      </x:c>
      <x:c r="I1876" s="1"/>
      <x:c r="J1876" s="1"/>
      <x:c r="K1876" s="1"/>
      <x:c r="L1876" s="1"/>
      <x:c r="M1876" s="1"/>
      <x:c r="N1876" s="1"/>
    </x:row>
    <x:row r="1877" ht="22" customHeight="1">
      <x:c r="A1877" s="14"/>
      <x:c r="B1877" s="15"/>
      <x:c r="C1877" s="16" t="str">
        <x:f>IF(AND(ISNUMBER(B1877),ISNUMBER(B1876),B1877&gt;0,B1876&gt;0),LN(B1877/B1876),"")</x:f>
      </x:c>
      <x:c r="D1877" s="16" t="str">
        <x:f>IF(ISNUMBER(C1877),ABS(C1877),"")</x:f>
      </x:c>
      <x:c r="E1877" s="16" t="str">
        <x:f>IF(ISNUMBER(C1877),C1877^2,"")</x:f>
      </x:c>
      <x:c r="F1877" s="16" t="str">
        <x:f>IF(AND(ISNUMBER(C1877),ISNUMBER($J$6),$J$6&gt;0),(C1877-$J$5)/$J$6,"")</x:f>
      </x:c>
      <x:c r="G1877" s="1" t="str">
        <x:f>IF(ISNUMBER(F1877),IF(ABS(F1877)&gt;3,1,0),"")</x:f>
      </x:c>
      <x:c r="H1877" s="1" t="str">
        <x:f>IF(ISNUMBER(F1877),F1877^4,"")</x:f>
      </x:c>
      <x:c r="I1877" s="1"/>
      <x:c r="J1877" s="1"/>
      <x:c r="K1877" s="1"/>
      <x:c r="L1877" s="1"/>
      <x:c r="M1877" s="1"/>
      <x:c r="N1877" s="1"/>
    </x:row>
    <x:row r="1878" ht="22" customHeight="1">
      <x:c r="A1878" s="14"/>
      <x:c r="B1878" s="15"/>
      <x:c r="C1878" s="16" t="str">
        <x:f>IF(AND(ISNUMBER(B1878),ISNUMBER(B1877),B1878&gt;0,B1877&gt;0),LN(B1878/B1877),"")</x:f>
      </x:c>
      <x:c r="D1878" s="16" t="str">
        <x:f>IF(ISNUMBER(C1878),ABS(C1878),"")</x:f>
      </x:c>
      <x:c r="E1878" s="16" t="str">
        <x:f>IF(ISNUMBER(C1878),C1878^2,"")</x:f>
      </x:c>
      <x:c r="F1878" s="16" t="str">
        <x:f>IF(AND(ISNUMBER(C1878),ISNUMBER($J$6),$J$6&gt;0),(C1878-$J$5)/$J$6,"")</x:f>
      </x:c>
      <x:c r="G1878" s="1" t="str">
        <x:f>IF(ISNUMBER(F1878),IF(ABS(F1878)&gt;3,1,0),"")</x:f>
      </x:c>
      <x:c r="H1878" s="1" t="str">
        <x:f>IF(ISNUMBER(F1878),F1878^4,"")</x:f>
      </x:c>
      <x:c r="I1878" s="1"/>
      <x:c r="J1878" s="1"/>
      <x:c r="K1878" s="1"/>
      <x:c r="L1878" s="1"/>
      <x:c r="M1878" s="1"/>
      <x:c r="N1878" s="1"/>
    </x:row>
    <x:row r="1879" ht="22" customHeight="1">
      <x:c r="A1879" s="14"/>
      <x:c r="B1879" s="15"/>
      <x:c r="C1879" s="16" t="str">
        <x:f>IF(AND(ISNUMBER(B1879),ISNUMBER(B1878),B1879&gt;0,B1878&gt;0),LN(B1879/B1878),"")</x:f>
      </x:c>
      <x:c r="D1879" s="16" t="str">
        <x:f>IF(ISNUMBER(C1879),ABS(C1879),"")</x:f>
      </x:c>
      <x:c r="E1879" s="16" t="str">
        <x:f>IF(ISNUMBER(C1879),C1879^2,"")</x:f>
      </x:c>
      <x:c r="F1879" s="16" t="str">
        <x:f>IF(AND(ISNUMBER(C1879),ISNUMBER($J$6),$J$6&gt;0),(C1879-$J$5)/$J$6,"")</x:f>
      </x:c>
      <x:c r="G1879" s="1" t="str">
        <x:f>IF(ISNUMBER(F1879),IF(ABS(F1879)&gt;3,1,0),"")</x:f>
      </x:c>
      <x:c r="H1879" s="1" t="str">
        <x:f>IF(ISNUMBER(F1879),F1879^4,"")</x:f>
      </x:c>
      <x:c r="I1879" s="1"/>
      <x:c r="J1879" s="1"/>
      <x:c r="K1879" s="1"/>
      <x:c r="L1879" s="1"/>
      <x:c r="M1879" s="1"/>
      <x:c r="N1879" s="1"/>
    </x:row>
    <x:row r="1880" ht="22" customHeight="1">
      <x:c r="A1880" s="14"/>
      <x:c r="B1880" s="15"/>
      <x:c r="C1880" s="16" t="str">
        <x:f>IF(AND(ISNUMBER(B1880),ISNUMBER(B1879),B1880&gt;0,B1879&gt;0),LN(B1880/B1879),"")</x:f>
      </x:c>
      <x:c r="D1880" s="16" t="str">
        <x:f>IF(ISNUMBER(C1880),ABS(C1880),"")</x:f>
      </x:c>
      <x:c r="E1880" s="16" t="str">
        <x:f>IF(ISNUMBER(C1880),C1880^2,"")</x:f>
      </x:c>
      <x:c r="F1880" s="16" t="str">
        <x:f>IF(AND(ISNUMBER(C1880),ISNUMBER($J$6),$J$6&gt;0),(C1880-$J$5)/$J$6,"")</x:f>
      </x:c>
      <x:c r="G1880" s="1" t="str">
        <x:f>IF(ISNUMBER(F1880),IF(ABS(F1880)&gt;3,1,0),"")</x:f>
      </x:c>
      <x:c r="H1880" s="1" t="str">
        <x:f>IF(ISNUMBER(F1880),F1880^4,"")</x:f>
      </x:c>
      <x:c r="I1880" s="1"/>
      <x:c r="J1880" s="1"/>
      <x:c r="K1880" s="1"/>
      <x:c r="L1880" s="1"/>
      <x:c r="M1880" s="1"/>
      <x:c r="N1880" s="1"/>
    </x:row>
    <x:row r="1881" ht="22" customHeight="1">
      <x:c r="A1881" s="14"/>
      <x:c r="B1881" s="15"/>
      <x:c r="C1881" s="16" t="str">
        <x:f>IF(AND(ISNUMBER(B1881),ISNUMBER(B1880),B1881&gt;0,B1880&gt;0),LN(B1881/B1880),"")</x:f>
      </x:c>
      <x:c r="D1881" s="16" t="str">
        <x:f>IF(ISNUMBER(C1881),ABS(C1881),"")</x:f>
      </x:c>
      <x:c r="E1881" s="16" t="str">
        <x:f>IF(ISNUMBER(C1881),C1881^2,"")</x:f>
      </x:c>
      <x:c r="F1881" s="16" t="str">
        <x:f>IF(AND(ISNUMBER(C1881),ISNUMBER($J$6),$J$6&gt;0),(C1881-$J$5)/$J$6,"")</x:f>
      </x:c>
      <x:c r="G1881" s="1" t="str">
        <x:f>IF(ISNUMBER(F1881),IF(ABS(F1881)&gt;3,1,0),"")</x:f>
      </x:c>
      <x:c r="H1881" s="1" t="str">
        <x:f>IF(ISNUMBER(F1881),F1881^4,"")</x:f>
      </x:c>
      <x:c r="I1881" s="1"/>
      <x:c r="J1881" s="1"/>
      <x:c r="K1881" s="1"/>
      <x:c r="L1881" s="1"/>
      <x:c r="M1881" s="1"/>
      <x:c r="N1881" s="1"/>
    </x:row>
    <x:row r="1882" ht="22" customHeight="1">
      <x:c r="A1882" s="14"/>
      <x:c r="B1882" s="15"/>
      <x:c r="C1882" s="16" t="str">
        <x:f>IF(AND(ISNUMBER(B1882),ISNUMBER(B1881),B1882&gt;0,B1881&gt;0),LN(B1882/B1881),"")</x:f>
      </x:c>
      <x:c r="D1882" s="16" t="str">
        <x:f>IF(ISNUMBER(C1882),ABS(C1882),"")</x:f>
      </x:c>
      <x:c r="E1882" s="16" t="str">
        <x:f>IF(ISNUMBER(C1882),C1882^2,"")</x:f>
      </x:c>
      <x:c r="F1882" s="16" t="str">
        <x:f>IF(AND(ISNUMBER(C1882),ISNUMBER($J$6),$J$6&gt;0),(C1882-$J$5)/$J$6,"")</x:f>
      </x:c>
      <x:c r="G1882" s="1" t="str">
        <x:f>IF(ISNUMBER(F1882),IF(ABS(F1882)&gt;3,1,0),"")</x:f>
      </x:c>
      <x:c r="H1882" s="1" t="str">
        <x:f>IF(ISNUMBER(F1882),F1882^4,"")</x:f>
      </x:c>
      <x:c r="I1882" s="1"/>
      <x:c r="J1882" s="1"/>
      <x:c r="K1882" s="1"/>
      <x:c r="L1882" s="1"/>
      <x:c r="M1882" s="1"/>
      <x:c r="N1882" s="1"/>
    </x:row>
    <x:row r="1883" ht="22" customHeight="1">
      <x:c r="A1883" s="14"/>
      <x:c r="B1883" s="15"/>
      <x:c r="C1883" s="16" t="str">
        <x:f>IF(AND(ISNUMBER(B1883),ISNUMBER(B1882),B1883&gt;0,B1882&gt;0),LN(B1883/B1882),"")</x:f>
      </x:c>
      <x:c r="D1883" s="16" t="str">
        <x:f>IF(ISNUMBER(C1883),ABS(C1883),"")</x:f>
      </x:c>
      <x:c r="E1883" s="16" t="str">
        <x:f>IF(ISNUMBER(C1883),C1883^2,"")</x:f>
      </x:c>
      <x:c r="F1883" s="16" t="str">
        <x:f>IF(AND(ISNUMBER(C1883),ISNUMBER($J$6),$J$6&gt;0),(C1883-$J$5)/$J$6,"")</x:f>
      </x:c>
      <x:c r="G1883" s="1" t="str">
        <x:f>IF(ISNUMBER(F1883),IF(ABS(F1883)&gt;3,1,0),"")</x:f>
      </x:c>
      <x:c r="H1883" s="1" t="str">
        <x:f>IF(ISNUMBER(F1883),F1883^4,"")</x:f>
      </x:c>
      <x:c r="I1883" s="1"/>
      <x:c r="J1883" s="1"/>
      <x:c r="K1883" s="1"/>
      <x:c r="L1883" s="1"/>
      <x:c r="M1883" s="1"/>
      <x:c r="N1883" s="1"/>
    </x:row>
    <x:row r="1884" ht="22" customHeight="1">
      <x:c r="A1884" s="14"/>
      <x:c r="B1884" s="15"/>
      <x:c r="C1884" s="16" t="str">
        <x:f>IF(AND(ISNUMBER(B1884),ISNUMBER(B1883),B1884&gt;0,B1883&gt;0),LN(B1884/B1883),"")</x:f>
      </x:c>
      <x:c r="D1884" s="16" t="str">
        <x:f>IF(ISNUMBER(C1884),ABS(C1884),"")</x:f>
      </x:c>
      <x:c r="E1884" s="16" t="str">
        <x:f>IF(ISNUMBER(C1884),C1884^2,"")</x:f>
      </x:c>
      <x:c r="F1884" s="16" t="str">
        <x:f>IF(AND(ISNUMBER(C1884),ISNUMBER($J$6),$J$6&gt;0),(C1884-$J$5)/$J$6,"")</x:f>
      </x:c>
      <x:c r="G1884" s="1" t="str">
        <x:f>IF(ISNUMBER(F1884),IF(ABS(F1884)&gt;3,1,0),"")</x:f>
      </x:c>
      <x:c r="H1884" s="1" t="str">
        <x:f>IF(ISNUMBER(F1884),F1884^4,"")</x:f>
      </x:c>
      <x:c r="I1884" s="1"/>
      <x:c r="J1884" s="1"/>
      <x:c r="K1884" s="1"/>
      <x:c r="L1884" s="1"/>
      <x:c r="M1884" s="1"/>
      <x:c r="N1884" s="1"/>
    </x:row>
    <x:row r="1885" ht="22" customHeight="1">
      <x:c r="A1885" s="14"/>
      <x:c r="B1885" s="15"/>
      <x:c r="C1885" s="16" t="str">
        <x:f>IF(AND(ISNUMBER(B1885),ISNUMBER(B1884),B1885&gt;0,B1884&gt;0),LN(B1885/B1884),"")</x:f>
      </x:c>
      <x:c r="D1885" s="16" t="str">
        <x:f>IF(ISNUMBER(C1885),ABS(C1885),"")</x:f>
      </x:c>
      <x:c r="E1885" s="16" t="str">
        <x:f>IF(ISNUMBER(C1885),C1885^2,"")</x:f>
      </x:c>
      <x:c r="F1885" s="16" t="str">
        <x:f>IF(AND(ISNUMBER(C1885),ISNUMBER($J$6),$J$6&gt;0),(C1885-$J$5)/$J$6,"")</x:f>
      </x:c>
      <x:c r="G1885" s="1" t="str">
        <x:f>IF(ISNUMBER(F1885),IF(ABS(F1885)&gt;3,1,0),"")</x:f>
      </x:c>
      <x:c r="H1885" s="1" t="str">
        <x:f>IF(ISNUMBER(F1885),F1885^4,"")</x:f>
      </x:c>
      <x:c r="I1885" s="1"/>
      <x:c r="J1885" s="1"/>
      <x:c r="K1885" s="1"/>
      <x:c r="L1885" s="1"/>
      <x:c r="M1885" s="1"/>
      <x:c r="N1885" s="1"/>
    </x:row>
    <x:row r="1886" ht="22" customHeight="1">
      <x:c r="A1886" s="14"/>
      <x:c r="B1886" s="15"/>
      <x:c r="C1886" s="16" t="str">
        <x:f>IF(AND(ISNUMBER(B1886),ISNUMBER(B1885),B1886&gt;0,B1885&gt;0),LN(B1886/B1885),"")</x:f>
      </x:c>
      <x:c r="D1886" s="16" t="str">
        <x:f>IF(ISNUMBER(C1886),ABS(C1886),"")</x:f>
      </x:c>
      <x:c r="E1886" s="16" t="str">
        <x:f>IF(ISNUMBER(C1886),C1886^2,"")</x:f>
      </x:c>
      <x:c r="F1886" s="16" t="str">
        <x:f>IF(AND(ISNUMBER(C1886),ISNUMBER($J$6),$J$6&gt;0),(C1886-$J$5)/$J$6,"")</x:f>
      </x:c>
      <x:c r="G1886" s="1" t="str">
        <x:f>IF(ISNUMBER(F1886),IF(ABS(F1886)&gt;3,1,0),"")</x:f>
      </x:c>
      <x:c r="H1886" s="1" t="str">
        <x:f>IF(ISNUMBER(F1886),F1886^4,"")</x:f>
      </x:c>
      <x:c r="I1886" s="1"/>
      <x:c r="J1886" s="1"/>
      <x:c r="K1886" s="1"/>
      <x:c r="L1886" s="1"/>
      <x:c r="M1886" s="1"/>
      <x:c r="N1886" s="1"/>
    </x:row>
    <x:row r="1887" ht="22" customHeight="1">
      <x:c r="A1887" s="14"/>
      <x:c r="B1887" s="15"/>
      <x:c r="C1887" s="16" t="str">
        <x:f>IF(AND(ISNUMBER(B1887),ISNUMBER(B1886),B1887&gt;0,B1886&gt;0),LN(B1887/B1886),"")</x:f>
      </x:c>
      <x:c r="D1887" s="16" t="str">
        <x:f>IF(ISNUMBER(C1887),ABS(C1887),"")</x:f>
      </x:c>
      <x:c r="E1887" s="16" t="str">
        <x:f>IF(ISNUMBER(C1887),C1887^2,"")</x:f>
      </x:c>
      <x:c r="F1887" s="16" t="str">
        <x:f>IF(AND(ISNUMBER(C1887),ISNUMBER($J$6),$J$6&gt;0),(C1887-$J$5)/$J$6,"")</x:f>
      </x:c>
      <x:c r="G1887" s="1" t="str">
        <x:f>IF(ISNUMBER(F1887),IF(ABS(F1887)&gt;3,1,0),"")</x:f>
      </x:c>
      <x:c r="H1887" s="1" t="str">
        <x:f>IF(ISNUMBER(F1887),F1887^4,"")</x:f>
      </x:c>
      <x:c r="I1887" s="1"/>
      <x:c r="J1887" s="1"/>
      <x:c r="K1887" s="1"/>
      <x:c r="L1887" s="1"/>
      <x:c r="M1887" s="1"/>
      <x:c r="N1887" s="1"/>
    </x:row>
    <x:row r="1888" ht="22" customHeight="1">
      <x:c r="A1888" s="14"/>
      <x:c r="B1888" s="15"/>
      <x:c r="C1888" s="16" t="str">
        <x:f>IF(AND(ISNUMBER(B1888),ISNUMBER(B1887),B1888&gt;0,B1887&gt;0),LN(B1888/B1887),"")</x:f>
      </x:c>
      <x:c r="D1888" s="16" t="str">
        <x:f>IF(ISNUMBER(C1888),ABS(C1888),"")</x:f>
      </x:c>
      <x:c r="E1888" s="16" t="str">
        <x:f>IF(ISNUMBER(C1888),C1888^2,"")</x:f>
      </x:c>
      <x:c r="F1888" s="16" t="str">
        <x:f>IF(AND(ISNUMBER(C1888),ISNUMBER($J$6),$J$6&gt;0),(C1888-$J$5)/$J$6,"")</x:f>
      </x:c>
      <x:c r="G1888" s="1" t="str">
        <x:f>IF(ISNUMBER(F1888),IF(ABS(F1888)&gt;3,1,0),"")</x:f>
      </x:c>
      <x:c r="H1888" s="1" t="str">
        <x:f>IF(ISNUMBER(F1888),F1888^4,"")</x:f>
      </x:c>
      <x:c r="I1888" s="1"/>
      <x:c r="J1888" s="1"/>
      <x:c r="K1888" s="1"/>
      <x:c r="L1888" s="1"/>
      <x:c r="M1888" s="1"/>
      <x:c r="N1888" s="1"/>
    </x:row>
    <x:row r="1889" ht="22" customHeight="1">
      <x:c r="A1889" s="14"/>
      <x:c r="B1889" s="15"/>
      <x:c r="C1889" s="16" t="str">
        <x:f>IF(AND(ISNUMBER(B1889),ISNUMBER(B1888),B1889&gt;0,B1888&gt;0),LN(B1889/B1888),"")</x:f>
      </x:c>
      <x:c r="D1889" s="16" t="str">
        <x:f>IF(ISNUMBER(C1889),ABS(C1889),"")</x:f>
      </x:c>
      <x:c r="E1889" s="16" t="str">
        <x:f>IF(ISNUMBER(C1889),C1889^2,"")</x:f>
      </x:c>
      <x:c r="F1889" s="16" t="str">
        <x:f>IF(AND(ISNUMBER(C1889),ISNUMBER($J$6),$J$6&gt;0),(C1889-$J$5)/$J$6,"")</x:f>
      </x:c>
      <x:c r="G1889" s="1" t="str">
        <x:f>IF(ISNUMBER(F1889),IF(ABS(F1889)&gt;3,1,0),"")</x:f>
      </x:c>
      <x:c r="H1889" s="1" t="str">
        <x:f>IF(ISNUMBER(F1889),F1889^4,"")</x:f>
      </x:c>
      <x:c r="I1889" s="1"/>
      <x:c r="J1889" s="1"/>
      <x:c r="K1889" s="1"/>
      <x:c r="L1889" s="1"/>
      <x:c r="M1889" s="1"/>
      <x:c r="N1889" s="1"/>
    </x:row>
    <x:row r="1890" ht="22" customHeight="1">
      <x:c r="A1890" s="14"/>
      <x:c r="B1890" s="15"/>
      <x:c r="C1890" s="16" t="str">
        <x:f>IF(AND(ISNUMBER(B1890),ISNUMBER(B1889),B1890&gt;0,B1889&gt;0),LN(B1890/B1889),"")</x:f>
      </x:c>
      <x:c r="D1890" s="16" t="str">
        <x:f>IF(ISNUMBER(C1890),ABS(C1890),"")</x:f>
      </x:c>
      <x:c r="E1890" s="16" t="str">
        <x:f>IF(ISNUMBER(C1890),C1890^2,"")</x:f>
      </x:c>
      <x:c r="F1890" s="16" t="str">
        <x:f>IF(AND(ISNUMBER(C1890),ISNUMBER($J$6),$J$6&gt;0),(C1890-$J$5)/$J$6,"")</x:f>
      </x:c>
      <x:c r="G1890" s="1" t="str">
        <x:f>IF(ISNUMBER(F1890),IF(ABS(F1890)&gt;3,1,0),"")</x:f>
      </x:c>
      <x:c r="H1890" s="1" t="str">
        <x:f>IF(ISNUMBER(F1890),F1890^4,"")</x:f>
      </x:c>
      <x:c r="I1890" s="1"/>
      <x:c r="J1890" s="1"/>
      <x:c r="K1890" s="1"/>
      <x:c r="L1890" s="1"/>
      <x:c r="M1890" s="1"/>
      <x:c r="N1890" s="1"/>
    </x:row>
    <x:row r="1891" ht="22" customHeight="1">
      <x:c r="A1891" s="14"/>
      <x:c r="B1891" s="15"/>
      <x:c r="C1891" s="16" t="str">
        <x:f>IF(AND(ISNUMBER(B1891),ISNUMBER(B1890),B1891&gt;0,B1890&gt;0),LN(B1891/B1890),"")</x:f>
      </x:c>
      <x:c r="D1891" s="16" t="str">
        <x:f>IF(ISNUMBER(C1891),ABS(C1891),"")</x:f>
      </x:c>
      <x:c r="E1891" s="16" t="str">
        <x:f>IF(ISNUMBER(C1891),C1891^2,"")</x:f>
      </x:c>
      <x:c r="F1891" s="16" t="str">
        <x:f>IF(AND(ISNUMBER(C1891),ISNUMBER($J$6),$J$6&gt;0),(C1891-$J$5)/$J$6,"")</x:f>
      </x:c>
      <x:c r="G1891" s="1" t="str">
        <x:f>IF(ISNUMBER(F1891),IF(ABS(F1891)&gt;3,1,0),"")</x:f>
      </x:c>
      <x:c r="H1891" s="1" t="str">
        <x:f>IF(ISNUMBER(F1891),F1891^4,"")</x:f>
      </x:c>
      <x:c r="I1891" s="1"/>
      <x:c r="J1891" s="1"/>
      <x:c r="K1891" s="1"/>
      <x:c r="L1891" s="1"/>
      <x:c r="M1891" s="1"/>
      <x:c r="N1891" s="1"/>
    </x:row>
    <x:row r="1892" ht="22" customHeight="1">
      <x:c r="A1892" s="14"/>
      <x:c r="B1892" s="15"/>
      <x:c r="C1892" s="16" t="str">
        <x:f>IF(AND(ISNUMBER(B1892),ISNUMBER(B1891),B1892&gt;0,B1891&gt;0),LN(B1892/B1891),"")</x:f>
      </x:c>
      <x:c r="D1892" s="16" t="str">
        <x:f>IF(ISNUMBER(C1892),ABS(C1892),"")</x:f>
      </x:c>
      <x:c r="E1892" s="16" t="str">
        <x:f>IF(ISNUMBER(C1892),C1892^2,"")</x:f>
      </x:c>
      <x:c r="F1892" s="16" t="str">
        <x:f>IF(AND(ISNUMBER(C1892),ISNUMBER($J$6),$J$6&gt;0),(C1892-$J$5)/$J$6,"")</x:f>
      </x:c>
      <x:c r="G1892" s="1" t="str">
        <x:f>IF(ISNUMBER(F1892),IF(ABS(F1892)&gt;3,1,0),"")</x:f>
      </x:c>
      <x:c r="H1892" s="1" t="str">
        <x:f>IF(ISNUMBER(F1892),F1892^4,"")</x:f>
      </x:c>
      <x:c r="I1892" s="1"/>
      <x:c r="J1892" s="1"/>
      <x:c r="K1892" s="1"/>
      <x:c r="L1892" s="1"/>
      <x:c r="M1892" s="1"/>
      <x:c r="N1892" s="1"/>
    </x:row>
    <x:row r="1893" ht="22" customHeight="1">
      <x:c r="A1893" s="14"/>
      <x:c r="B1893" s="15"/>
      <x:c r="C1893" s="16" t="str">
        <x:f>IF(AND(ISNUMBER(B1893),ISNUMBER(B1892),B1893&gt;0,B1892&gt;0),LN(B1893/B1892),"")</x:f>
      </x:c>
      <x:c r="D1893" s="16" t="str">
        <x:f>IF(ISNUMBER(C1893),ABS(C1893),"")</x:f>
      </x:c>
      <x:c r="E1893" s="16" t="str">
        <x:f>IF(ISNUMBER(C1893),C1893^2,"")</x:f>
      </x:c>
      <x:c r="F1893" s="16" t="str">
        <x:f>IF(AND(ISNUMBER(C1893),ISNUMBER($J$6),$J$6&gt;0),(C1893-$J$5)/$J$6,"")</x:f>
      </x:c>
      <x:c r="G1893" s="1" t="str">
        <x:f>IF(ISNUMBER(F1893),IF(ABS(F1893)&gt;3,1,0),"")</x:f>
      </x:c>
      <x:c r="H1893" s="1" t="str">
        <x:f>IF(ISNUMBER(F1893),F1893^4,"")</x:f>
      </x:c>
      <x:c r="I1893" s="1"/>
      <x:c r="J1893" s="1"/>
      <x:c r="K1893" s="1"/>
      <x:c r="L1893" s="1"/>
      <x:c r="M1893" s="1"/>
      <x:c r="N1893" s="1"/>
    </x:row>
    <x:row r="1894" ht="22" customHeight="1">
      <x:c r="A1894" s="14"/>
      <x:c r="B1894" s="15"/>
      <x:c r="C1894" s="16" t="str">
        <x:f>IF(AND(ISNUMBER(B1894),ISNUMBER(B1893),B1894&gt;0,B1893&gt;0),LN(B1894/B1893),"")</x:f>
      </x:c>
      <x:c r="D1894" s="16" t="str">
        <x:f>IF(ISNUMBER(C1894),ABS(C1894),"")</x:f>
      </x:c>
      <x:c r="E1894" s="16" t="str">
        <x:f>IF(ISNUMBER(C1894),C1894^2,"")</x:f>
      </x:c>
      <x:c r="F1894" s="16" t="str">
        <x:f>IF(AND(ISNUMBER(C1894),ISNUMBER($J$6),$J$6&gt;0),(C1894-$J$5)/$J$6,"")</x:f>
      </x:c>
      <x:c r="G1894" s="1" t="str">
        <x:f>IF(ISNUMBER(F1894),IF(ABS(F1894)&gt;3,1,0),"")</x:f>
      </x:c>
      <x:c r="H1894" s="1" t="str">
        <x:f>IF(ISNUMBER(F1894),F1894^4,"")</x:f>
      </x:c>
      <x:c r="I1894" s="1"/>
      <x:c r="J1894" s="1"/>
      <x:c r="K1894" s="1"/>
      <x:c r="L1894" s="1"/>
      <x:c r="M1894" s="1"/>
      <x:c r="N1894" s="1"/>
    </x:row>
    <x:row r="1895" ht="22" customHeight="1">
      <x:c r="A1895" s="14"/>
      <x:c r="B1895" s="15"/>
      <x:c r="C1895" s="16" t="str">
        <x:f>IF(AND(ISNUMBER(B1895),ISNUMBER(B1894),B1895&gt;0,B1894&gt;0),LN(B1895/B1894),"")</x:f>
      </x:c>
      <x:c r="D1895" s="16" t="str">
        <x:f>IF(ISNUMBER(C1895),ABS(C1895),"")</x:f>
      </x:c>
      <x:c r="E1895" s="16" t="str">
        <x:f>IF(ISNUMBER(C1895),C1895^2,"")</x:f>
      </x:c>
      <x:c r="F1895" s="16" t="str">
        <x:f>IF(AND(ISNUMBER(C1895),ISNUMBER($J$6),$J$6&gt;0),(C1895-$J$5)/$J$6,"")</x:f>
      </x:c>
      <x:c r="G1895" s="1" t="str">
        <x:f>IF(ISNUMBER(F1895),IF(ABS(F1895)&gt;3,1,0),"")</x:f>
      </x:c>
      <x:c r="H1895" s="1" t="str">
        <x:f>IF(ISNUMBER(F1895),F1895^4,"")</x:f>
      </x:c>
      <x:c r="I1895" s="1"/>
      <x:c r="J1895" s="1"/>
      <x:c r="K1895" s="1"/>
      <x:c r="L1895" s="1"/>
      <x:c r="M1895" s="1"/>
      <x:c r="N1895" s="1"/>
    </x:row>
    <x:row r="1896" ht="22" customHeight="1">
      <x:c r="A1896" s="14"/>
      <x:c r="B1896" s="15"/>
      <x:c r="C1896" s="16" t="str">
        <x:f>IF(AND(ISNUMBER(B1896),ISNUMBER(B1895),B1896&gt;0,B1895&gt;0),LN(B1896/B1895),"")</x:f>
      </x:c>
      <x:c r="D1896" s="16" t="str">
        <x:f>IF(ISNUMBER(C1896),ABS(C1896),"")</x:f>
      </x:c>
      <x:c r="E1896" s="16" t="str">
        <x:f>IF(ISNUMBER(C1896),C1896^2,"")</x:f>
      </x:c>
      <x:c r="F1896" s="16" t="str">
        <x:f>IF(AND(ISNUMBER(C1896),ISNUMBER($J$6),$J$6&gt;0),(C1896-$J$5)/$J$6,"")</x:f>
      </x:c>
      <x:c r="G1896" s="1" t="str">
        <x:f>IF(ISNUMBER(F1896),IF(ABS(F1896)&gt;3,1,0),"")</x:f>
      </x:c>
      <x:c r="H1896" s="1" t="str">
        <x:f>IF(ISNUMBER(F1896),F1896^4,"")</x:f>
      </x:c>
      <x:c r="I1896" s="1"/>
      <x:c r="J1896" s="1"/>
      <x:c r="K1896" s="1"/>
      <x:c r="L1896" s="1"/>
      <x:c r="M1896" s="1"/>
      <x:c r="N1896" s="1"/>
    </x:row>
    <x:row r="1897" ht="22" customHeight="1">
      <x:c r="A1897" s="14"/>
      <x:c r="B1897" s="15"/>
      <x:c r="C1897" s="16" t="str">
        <x:f>IF(AND(ISNUMBER(B1897),ISNUMBER(B1896),B1897&gt;0,B1896&gt;0),LN(B1897/B1896),"")</x:f>
      </x:c>
      <x:c r="D1897" s="16" t="str">
        <x:f>IF(ISNUMBER(C1897),ABS(C1897),"")</x:f>
      </x:c>
      <x:c r="E1897" s="16" t="str">
        <x:f>IF(ISNUMBER(C1897),C1897^2,"")</x:f>
      </x:c>
      <x:c r="F1897" s="16" t="str">
        <x:f>IF(AND(ISNUMBER(C1897),ISNUMBER($J$6),$J$6&gt;0),(C1897-$J$5)/$J$6,"")</x:f>
      </x:c>
      <x:c r="G1897" s="1" t="str">
        <x:f>IF(ISNUMBER(F1897),IF(ABS(F1897)&gt;3,1,0),"")</x:f>
      </x:c>
      <x:c r="H1897" s="1" t="str">
        <x:f>IF(ISNUMBER(F1897),F1897^4,"")</x:f>
      </x:c>
      <x:c r="I1897" s="1"/>
      <x:c r="J1897" s="1"/>
      <x:c r="K1897" s="1"/>
      <x:c r="L1897" s="1"/>
      <x:c r="M1897" s="1"/>
      <x:c r="N1897" s="1"/>
    </x:row>
    <x:row r="1898" ht="22" customHeight="1">
      <x:c r="A1898" s="14"/>
      <x:c r="B1898" s="15"/>
      <x:c r="C1898" s="16" t="str">
        <x:f>IF(AND(ISNUMBER(B1898),ISNUMBER(B1897),B1898&gt;0,B1897&gt;0),LN(B1898/B1897),"")</x:f>
      </x:c>
      <x:c r="D1898" s="16" t="str">
        <x:f>IF(ISNUMBER(C1898),ABS(C1898),"")</x:f>
      </x:c>
      <x:c r="E1898" s="16" t="str">
        <x:f>IF(ISNUMBER(C1898),C1898^2,"")</x:f>
      </x:c>
      <x:c r="F1898" s="16" t="str">
        <x:f>IF(AND(ISNUMBER(C1898),ISNUMBER($J$6),$J$6&gt;0),(C1898-$J$5)/$J$6,"")</x:f>
      </x:c>
      <x:c r="G1898" s="1" t="str">
        <x:f>IF(ISNUMBER(F1898),IF(ABS(F1898)&gt;3,1,0),"")</x:f>
      </x:c>
      <x:c r="H1898" s="1" t="str">
        <x:f>IF(ISNUMBER(F1898),F1898^4,"")</x:f>
      </x:c>
      <x:c r="I1898" s="1"/>
      <x:c r="J1898" s="1"/>
      <x:c r="K1898" s="1"/>
      <x:c r="L1898" s="1"/>
      <x:c r="M1898" s="1"/>
      <x:c r="N1898" s="1"/>
    </x:row>
    <x:row r="1899" ht="22" customHeight="1">
      <x:c r="A1899" s="14"/>
      <x:c r="B1899" s="15"/>
      <x:c r="C1899" s="16" t="str">
        <x:f>IF(AND(ISNUMBER(B1899),ISNUMBER(B1898),B1899&gt;0,B1898&gt;0),LN(B1899/B1898),"")</x:f>
      </x:c>
      <x:c r="D1899" s="16" t="str">
        <x:f>IF(ISNUMBER(C1899),ABS(C1899),"")</x:f>
      </x:c>
      <x:c r="E1899" s="16" t="str">
        <x:f>IF(ISNUMBER(C1899),C1899^2,"")</x:f>
      </x:c>
      <x:c r="F1899" s="16" t="str">
        <x:f>IF(AND(ISNUMBER(C1899),ISNUMBER($J$6),$J$6&gt;0),(C1899-$J$5)/$J$6,"")</x:f>
      </x:c>
      <x:c r="G1899" s="1" t="str">
        <x:f>IF(ISNUMBER(F1899),IF(ABS(F1899)&gt;3,1,0),"")</x:f>
      </x:c>
      <x:c r="H1899" s="1" t="str">
        <x:f>IF(ISNUMBER(F1899),F1899^4,"")</x:f>
      </x:c>
      <x:c r="I1899" s="1"/>
      <x:c r="J1899" s="1"/>
      <x:c r="K1899" s="1"/>
      <x:c r="L1899" s="1"/>
      <x:c r="M1899" s="1"/>
      <x:c r="N1899" s="1"/>
    </x:row>
    <x:row r="1900" ht="22" customHeight="1">
      <x:c r="A1900" s="14"/>
      <x:c r="B1900" s="15"/>
      <x:c r="C1900" s="16" t="str">
        <x:f>IF(AND(ISNUMBER(B1900),ISNUMBER(B1899),B1900&gt;0,B1899&gt;0),LN(B1900/B1899),"")</x:f>
      </x:c>
      <x:c r="D1900" s="16" t="str">
        <x:f>IF(ISNUMBER(C1900),ABS(C1900),"")</x:f>
      </x:c>
      <x:c r="E1900" s="16" t="str">
        <x:f>IF(ISNUMBER(C1900),C1900^2,"")</x:f>
      </x:c>
      <x:c r="F1900" s="16" t="str">
        <x:f>IF(AND(ISNUMBER(C1900),ISNUMBER($J$6),$J$6&gt;0),(C1900-$J$5)/$J$6,"")</x:f>
      </x:c>
      <x:c r="G1900" s="1" t="str">
        <x:f>IF(ISNUMBER(F1900),IF(ABS(F1900)&gt;3,1,0),"")</x:f>
      </x:c>
      <x:c r="H1900" s="1" t="str">
        <x:f>IF(ISNUMBER(F1900),F1900^4,"")</x:f>
      </x:c>
      <x:c r="I1900" s="1"/>
      <x:c r="J1900" s="1"/>
      <x:c r="K1900" s="1"/>
      <x:c r="L1900" s="1"/>
      <x:c r="M1900" s="1"/>
      <x:c r="N1900" s="1"/>
    </x:row>
    <x:row r="1901" ht="22" customHeight="1">
      <x:c r="A1901" s="14"/>
      <x:c r="B1901" s="15"/>
      <x:c r="C1901" s="16" t="str">
        <x:f>IF(AND(ISNUMBER(B1901),ISNUMBER(B1900),B1901&gt;0,B1900&gt;0),LN(B1901/B1900),"")</x:f>
      </x:c>
      <x:c r="D1901" s="16" t="str">
        <x:f>IF(ISNUMBER(C1901),ABS(C1901),"")</x:f>
      </x:c>
      <x:c r="E1901" s="16" t="str">
        <x:f>IF(ISNUMBER(C1901),C1901^2,"")</x:f>
      </x:c>
      <x:c r="F1901" s="16" t="str">
        <x:f>IF(AND(ISNUMBER(C1901),ISNUMBER($J$6),$J$6&gt;0),(C1901-$J$5)/$J$6,"")</x:f>
      </x:c>
      <x:c r="G1901" s="1" t="str">
        <x:f>IF(ISNUMBER(F1901),IF(ABS(F1901)&gt;3,1,0),"")</x:f>
      </x:c>
      <x:c r="H1901" s="1" t="str">
        <x:f>IF(ISNUMBER(F1901),F1901^4,"")</x:f>
      </x:c>
      <x:c r="I1901" s="1"/>
      <x:c r="J1901" s="1"/>
      <x:c r="K1901" s="1"/>
      <x:c r="L1901" s="1"/>
      <x:c r="M1901" s="1"/>
      <x:c r="N1901" s="1"/>
    </x:row>
    <x:row r="1902" ht="22" customHeight="1">
      <x:c r="A1902" s="14"/>
      <x:c r="B1902" s="15"/>
      <x:c r="C1902" s="16" t="str">
        <x:f>IF(AND(ISNUMBER(B1902),ISNUMBER(B1901),B1902&gt;0,B1901&gt;0),LN(B1902/B1901),"")</x:f>
      </x:c>
      <x:c r="D1902" s="16" t="str">
        <x:f>IF(ISNUMBER(C1902),ABS(C1902),"")</x:f>
      </x:c>
      <x:c r="E1902" s="16" t="str">
        <x:f>IF(ISNUMBER(C1902),C1902^2,"")</x:f>
      </x:c>
      <x:c r="F1902" s="16" t="str">
        <x:f>IF(AND(ISNUMBER(C1902),ISNUMBER($J$6),$J$6&gt;0),(C1902-$J$5)/$J$6,"")</x:f>
      </x:c>
      <x:c r="G1902" s="1" t="str">
        <x:f>IF(ISNUMBER(F1902),IF(ABS(F1902)&gt;3,1,0),"")</x:f>
      </x:c>
      <x:c r="H1902" s="1" t="str">
        <x:f>IF(ISNUMBER(F1902),F1902^4,"")</x:f>
      </x:c>
      <x:c r="I1902" s="1"/>
      <x:c r="J1902" s="1"/>
      <x:c r="K1902" s="1"/>
      <x:c r="L1902" s="1"/>
      <x:c r="M1902" s="1"/>
      <x:c r="N1902" s="1"/>
    </x:row>
    <x:row r="1903" ht="22" customHeight="1">
      <x:c r="A1903" s="14"/>
      <x:c r="B1903" s="15"/>
      <x:c r="C1903" s="16" t="str">
        <x:f>IF(AND(ISNUMBER(B1903),ISNUMBER(B1902),B1903&gt;0,B1902&gt;0),LN(B1903/B1902),"")</x:f>
      </x:c>
      <x:c r="D1903" s="16" t="str">
        <x:f>IF(ISNUMBER(C1903),ABS(C1903),"")</x:f>
      </x:c>
      <x:c r="E1903" s="16" t="str">
        <x:f>IF(ISNUMBER(C1903),C1903^2,"")</x:f>
      </x:c>
      <x:c r="F1903" s="16" t="str">
        <x:f>IF(AND(ISNUMBER(C1903),ISNUMBER($J$6),$J$6&gt;0),(C1903-$J$5)/$J$6,"")</x:f>
      </x:c>
      <x:c r="G1903" s="1" t="str">
        <x:f>IF(ISNUMBER(F1903),IF(ABS(F1903)&gt;3,1,0),"")</x:f>
      </x:c>
      <x:c r="H1903" s="1" t="str">
        <x:f>IF(ISNUMBER(F1903),F1903^4,"")</x:f>
      </x:c>
      <x:c r="I1903" s="1"/>
      <x:c r="J1903" s="1"/>
      <x:c r="K1903" s="1"/>
      <x:c r="L1903" s="1"/>
      <x:c r="M1903" s="1"/>
      <x:c r="N1903" s="1"/>
    </x:row>
    <x:row r="1904" ht="22" customHeight="1">
      <x:c r="A1904" s="14"/>
      <x:c r="B1904" s="15"/>
      <x:c r="C1904" s="16" t="str">
        <x:f>IF(AND(ISNUMBER(B1904),ISNUMBER(B1903),B1904&gt;0,B1903&gt;0),LN(B1904/B1903),"")</x:f>
      </x:c>
      <x:c r="D1904" s="16" t="str">
        <x:f>IF(ISNUMBER(C1904),ABS(C1904),"")</x:f>
      </x:c>
      <x:c r="E1904" s="16" t="str">
        <x:f>IF(ISNUMBER(C1904),C1904^2,"")</x:f>
      </x:c>
      <x:c r="F1904" s="16" t="str">
        <x:f>IF(AND(ISNUMBER(C1904),ISNUMBER($J$6),$J$6&gt;0),(C1904-$J$5)/$J$6,"")</x:f>
      </x:c>
      <x:c r="G1904" s="1" t="str">
        <x:f>IF(ISNUMBER(F1904),IF(ABS(F1904)&gt;3,1,0),"")</x:f>
      </x:c>
      <x:c r="H1904" s="1" t="str">
        <x:f>IF(ISNUMBER(F1904),F1904^4,"")</x:f>
      </x:c>
      <x:c r="I1904" s="1"/>
      <x:c r="J1904" s="1"/>
      <x:c r="K1904" s="1"/>
      <x:c r="L1904" s="1"/>
      <x:c r="M1904" s="1"/>
      <x:c r="N1904" s="1"/>
    </x:row>
    <x:row r="1905" ht="22" customHeight="1">
      <x:c r="A1905" s="14"/>
      <x:c r="B1905" s="15"/>
      <x:c r="C1905" s="16" t="str">
        <x:f>IF(AND(ISNUMBER(B1905),ISNUMBER(B1904),B1905&gt;0,B1904&gt;0),LN(B1905/B1904),"")</x:f>
      </x:c>
      <x:c r="D1905" s="16" t="str">
        <x:f>IF(ISNUMBER(C1905),ABS(C1905),"")</x:f>
      </x:c>
      <x:c r="E1905" s="16" t="str">
        <x:f>IF(ISNUMBER(C1905),C1905^2,"")</x:f>
      </x:c>
      <x:c r="F1905" s="16" t="str">
        <x:f>IF(AND(ISNUMBER(C1905),ISNUMBER($J$6),$J$6&gt;0),(C1905-$J$5)/$J$6,"")</x:f>
      </x:c>
      <x:c r="G1905" s="1" t="str">
        <x:f>IF(ISNUMBER(F1905),IF(ABS(F1905)&gt;3,1,0),"")</x:f>
      </x:c>
      <x:c r="H1905" s="1" t="str">
        <x:f>IF(ISNUMBER(F1905),F1905^4,"")</x:f>
      </x:c>
      <x:c r="I1905" s="1"/>
      <x:c r="J1905" s="1"/>
      <x:c r="K1905" s="1"/>
      <x:c r="L1905" s="1"/>
      <x:c r="M1905" s="1"/>
      <x:c r="N1905" s="1"/>
    </x:row>
    <x:row r="1906" ht="22" customHeight="1">
      <x:c r="A1906" s="14"/>
      <x:c r="B1906" s="15"/>
      <x:c r="C1906" s="16" t="str">
        <x:f>IF(AND(ISNUMBER(B1906),ISNUMBER(B1905),B1906&gt;0,B1905&gt;0),LN(B1906/B1905),"")</x:f>
      </x:c>
      <x:c r="D1906" s="16" t="str">
        <x:f>IF(ISNUMBER(C1906),ABS(C1906),"")</x:f>
      </x:c>
      <x:c r="E1906" s="16" t="str">
        <x:f>IF(ISNUMBER(C1906),C1906^2,"")</x:f>
      </x:c>
      <x:c r="F1906" s="16" t="str">
        <x:f>IF(AND(ISNUMBER(C1906),ISNUMBER($J$6),$J$6&gt;0),(C1906-$J$5)/$J$6,"")</x:f>
      </x:c>
      <x:c r="G1906" s="1" t="str">
        <x:f>IF(ISNUMBER(F1906),IF(ABS(F1906)&gt;3,1,0),"")</x:f>
      </x:c>
      <x:c r="H1906" s="1" t="str">
        <x:f>IF(ISNUMBER(F1906),F1906^4,"")</x:f>
      </x:c>
      <x:c r="I1906" s="1"/>
      <x:c r="J1906" s="1"/>
      <x:c r="K1906" s="1"/>
      <x:c r="L1906" s="1"/>
      <x:c r="M1906" s="1"/>
      <x:c r="N1906" s="1"/>
    </x:row>
    <x:row r="1907" ht="22" customHeight="1">
      <x:c r="A1907" s="14"/>
      <x:c r="B1907" s="15"/>
      <x:c r="C1907" s="16" t="str">
        <x:f>IF(AND(ISNUMBER(B1907),ISNUMBER(B1906),B1907&gt;0,B1906&gt;0),LN(B1907/B1906),"")</x:f>
      </x:c>
      <x:c r="D1907" s="16" t="str">
        <x:f>IF(ISNUMBER(C1907),ABS(C1907),"")</x:f>
      </x:c>
      <x:c r="E1907" s="16" t="str">
        <x:f>IF(ISNUMBER(C1907),C1907^2,"")</x:f>
      </x:c>
      <x:c r="F1907" s="16" t="str">
        <x:f>IF(AND(ISNUMBER(C1907),ISNUMBER($J$6),$J$6&gt;0),(C1907-$J$5)/$J$6,"")</x:f>
      </x:c>
      <x:c r="G1907" s="1" t="str">
        <x:f>IF(ISNUMBER(F1907),IF(ABS(F1907)&gt;3,1,0),"")</x:f>
      </x:c>
      <x:c r="H1907" s="1" t="str">
        <x:f>IF(ISNUMBER(F1907),F1907^4,"")</x:f>
      </x:c>
      <x:c r="I1907" s="1"/>
      <x:c r="J1907" s="1"/>
      <x:c r="K1907" s="1"/>
      <x:c r="L1907" s="1"/>
      <x:c r="M1907" s="1"/>
      <x:c r="N1907" s="1"/>
    </x:row>
    <x:row r="1908" ht="22" customHeight="1">
      <x:c r="A1908" s="14"/>
      <x:c r="B1908" s="15"/>
      <x:c r="C1908" s="16" t="str">
        <x:f>IF(AND(ISNUMBER(B1908),ISNUMBER(B1907),B1908&gt;0,B1907&gt;0),LN(B1908/B1907),"")</x:f>
      </x:c>
      <x:c r="D1908" s="16" t="str">
        <x:f>IF(ISNUMBER(C1908),ABS(C1908),"")</x:f>
      </x:c>
      <x:c r="E1908" s="16" t="str">
        <x:f>IF(ISNUMBER(C1908),C1908^2,"")</x:f>
      </x:c>
      <x:c r="F1908" s="16" t="str">
        <x:f>IF(AND(ISNUMBER(C1908),ISNUMBER($J$6),$J$6&gt;0),(C1908-$J$5)/$J$6,"")</x:f>
      </x:c>
      <x:c r="G1908" s="1" t="str">
        <x:f>IF(ISNUMBER(F1908),IF(ABS(F1908)&gt;3,1,0),"")</x:f>
      </x:c>
      <x:c r="H1908" s="1" t="str">
        <x:f>IF(ISNUMBER(F1908),F1908^4,"")</x:f>
      </x:c>
      <x:c r="I1908" s="1"/>
      <x:c r="J1908" s="1"/>
      <x:c r="K1908" s="1"/>
      <x:c r="L1908" s="1"/>
      <x:c r="M1908" s="1"/>
      <x:c r="N1908" s="1"/>
    </x:row>
    <x:row r="1909" ht="22" customHeight="1">
      <x:c r="A1909" s="14"/>
      <x:c r="B1909" s="15"/>
      <x:c r="C1909" s="16" t="str">
        <x:f>IF(AND(ISNUMBER(B1909),ISNUMBER(B1908),B1909&gt;0,B1908&gt;0),LN(B1909/B1908),"")</x:f>
      </x:c>
      <x:c r="D1909" s="16" t="str">
        <x:f>IF(ISNUMBER(C1909),ABS(C1909),"")</x:f>
      </x:c>
      <x:c r="E1909" s="16" t="str">
        <x:f>IF(ISNUMBER(C1909),C1909^2,"")</x:f>
      </x:c>
      <x:c r="F1909" s="16" t="str">
        <x:f>IF(AND(ISNUMBER(C1909),ISNUMBER($J$6),$J$6&gt;0),(C1909-$J$5)/$J$6,"")</x:f>
      </x:c>
      <x:c r="G1909" s="1" t="str">
        <x:f>IF(ISNUMBER(F1909),IF(ABS(F1909)&gt;3,1,0),"")</x:f>
      </x:c>
      <x:c r="H1909" s="1" t="str">
        <x:f>IF(ISNUMBER(F1909),F1909^4,"")</x:f>
      </x:c>
      <x:c r="I1909" s="1"/>
      <x:c r="J1909" s="1"/>
      <x:c r="K1909" s="1"/>
      <x:c r="L1909" s="1"/>
      <x:c r="M1909" s="1"/>
      <x:c r="N1909" s="1"/>
    </x:row>
    <x:row r="1910" ht="22" customHeight="1">
      <x:c r="A1910" s="14"/>
      <x:c r="B1910" s="15"/>
      <x:c r="C1910" s="16" t="str">
        <x:f>IF(AND(ISNUMBER(B1910),ISNUMBER(B1909),B1910&gt;0,B1909&gt;0),LN(B1910/B1909),"")</x:f>
      </x:c>
      <x:c r="D1910" s="16" t="str">
        <x:f>IF(ISNUMBER(C1910),ABS(C1910),"")</x:f>
      </x:c>
      <x:c r="E1910" s="16" t="str">
        <x:f>IF(ISNUMBER(C1910),C1910^2,"")</x:f>
      </x:c>
      <x:c r="F1910" s="16" t="str">
        <x:f>IF(AND(ISNUMBER(C1910),ISNUMBER($J$6),$J$6&gt;0),(C1910-$J$5)/$J$6,"")</x:f>
      </x:c>
      <x:c r="G1910" s="1" t="str">
        <x:f>IF(ISNUMBER(F1910),IF(ABS(F1910)&gt;3,1,0),"")</x:f>
      </x:c>
      <x:c r="H1910" s="1" t="str">
        <x:f>IF(ISNUMBER(F1910),F1910^4,"")</x:f>
      </x:c>
      <x:c r="I1910" s="1"/>
      <x:c r="J1910" s="1"/>
      <x:c r="K1910" s="1"/>
      <x:c r="L1910" s="1"/>
      <x:c r="M1910" s="1"/>
      <x:c r="N1910" s="1"/>
    </x:row>
    <x:row r="1911" ht="22" customHeight="1">
      <x:c r="A1911" s="14"/>
      <x:c r="B1911" s="15"/>
      <x:c r="C1911" s="16" t="str">
        <x:f>IF(AND(ISNUMBER(B1911),ISNUMBER(B1910),B1911&gt;0,B1910&gt;0),LN(B1911/B1910),"")</x:f>
      </x:c>
      <x:c r="D1911" s="16" t="str">
        <x:f>IF(ISNUMBER(C1911),ABS(C1911),"")</x:f>
      </x:c>
      <x:c r="E1911" s="16" t="str">
        <x:f>IF(ISNUMBER(C1911),C1911^2,"")</x:f>
      </x:c>
      <x:c r="F1911" s="16" t="str">
        <x:f>IF(AND(ISNUMBER(C1911),ISNUMBER($J$6),$J$6&gt;0),(C1911-$J$5)/$J$6,"")</x:f>
      </x:c>
      <x:c r="G1911" s="1" t="str">
        <x:f>IF(ISNUMBER(F1911),IF(ABS(F1911)&gt;3,1,0),"")</x:f>
      </x:c>
      <x:c r="H1911" s="1" t="str">
        <x:f>IF(ISNUMBER(F1911),F1911^4,"")</x:f>
      </x:c>
      <x:c r="I1911" s="1"/>
      <x:c r="J1911" s="1"/>
      <x:c r="K1911" s="1"/>
      <x:c r="L1911" s="1"/>
      <x:c r="M1911" s="1"/>
      <x:c r="N1911" s="1"/>
    </x:row>
    <x:row r="1912" ht="22" customHeight="1">
      <x:c r="A1912" s="14"/>
      <x:c r="B1912" s="15"/>
      <x:c r="C1912" s="16" t="str">
        <x:f>IF(AND(ISNUMBER(B1912),ISNUMBER(B1911),B1912&gt;0,B1911&gt;0),LN(B1912/B1911),"")</x:f>
      </x:c>
      <x:c r="D1912" s="16" t="str">
        <x:f>IF(ISNUMBER(C1912),ABS(C1912),"")</x:f>
      </x:c>
      <x:c r="E1912" s="16" t="str">
        <x:f>IF(ISNUMBER(C1912),C1912^2,"")</x:f>
      </x:c>
      <x:c r="F1912" s="16" t="str">
        <x:f>IF(AND(ISNUMBER(C1912),ISNUMBER($J$6),$J$6&gt;0),(C1912-$J$5)/$J$6,"")</x:f>
      </x:c>
      <x:c r="G1912" s="1" t="str">
        <x:f>IF(ISNUMBER(F1912),IF(ABS(F1912)&gt;3,1,0),"")</x:f>
      </x:c>
      <x:c r="H1912" s="1" t="str">
        <x:f>IF(ISNUMBER(F1912),F1912^4,"")</x:f>
      </x:c>
      <x:c r="I1912" s="1"/>
      <x:c r="J1912" s="1"/>
      <x:c r="K1912" s="1"/>
      <x:c r="L1912" s="1"/>
      <x:c r="M1912" s="1"/>
      <x:c r="N1912" s="1"/>
    </x:row>
    <x:row r="1913" ht="22" customHeight="1">
      <x:c r="A1913" s="14"/>
      <x:c r="B1913" s="15"/>
      <x:c r="C1913" s="16" t="str">
        <x:f>IF(AND(ISNUMBER(B1913),ISNUMBER(B1912),B1913&gt;0,B1912&gt;0),LN(B1913/B1912),"")</x:f>
      </x:c>
      <x:c r="D1913" s="16" t="str">
        <x:f>IF(ISNUMBER(C1913),ABS(C1913),"")</x:f>
      </x:c>
      <x:c r="E1913" s="16" t="str">
        <x:f>IF(ISNUMBER(C1913),C1913^2,"")</x:f>
      </x:c>
      <x:c r="F1913" s="16" t="str">
        <x:f>IF(AND(ISNUMBER(C1913),ISNUMBER($J$6),$J$6&gt;0),(C1913-$J$5)/$J$6,"")</x:f>
      </x:c>
      <x:c r="G1913" s="1" t="str">
        <x:f>IF(ISNUMBER(F1913),IF(ABS(F1913)&gt;3,1,0),"")</x:f>
      </x:c>
      <x:c r="H1913" s="1" t="str">
        <x:f>IF(ISNUMBER(F1913),F1913^4,"")</x:f>
      </x:c>
      <x:c r="I1913" s="1"/>
      <x:c r="J1913" s="1"/>
      <x:c r="K1913" s="1"/>
      <x:c r="L1913" s="1"/>
      <x:c r="M1913" s="1"/>
      <x:c r="N1913" s="1"/>
    </x:row>
    <x:row r="1914" ht="22" customHeight="1">
      <x:c r="A1914" s="14"/>
      <x:c r="B1914" s="15"/>
      <x:c r="C1914" s="16" t="str">
        <x:f>IF(AND(ISNUMBER(B1914),ISNUMBER(B1913),B1914&gt;0,B1913&gt;0),LN(B1914/B1913),"")</x:f>
      </x:c>
      <x:c r="D1914" s="16" t="str">
        <x:f>IF(ISNUMBER(C1914),ABS(C1914),"")</x:f>
      </x:c>
      <x:c r="E1914" s="16" t="str">
        <x:f>IF(ISNUMBER(C1914),C1914^2,"")</x:f>
      </x:c>
      <x:c r="F1914" s="16" t="str">
        <x:f>IF(AND(ISNUMBER(C1914),ISNUMBER($J$6),$J$6&gt;0),(C1914-$J$5)/$J$6,"")</x:f>
      </x:c>
      <x:c r="G1914" s="1" t="str">
        <x:f>IF(ISNUMBER(F1914),IF(ABS(F1914)&gt;3,1,0),"")</x:f>
      </x:c>
      <x:c r="H1914" s="1" t="str">
        <x:f>IF(ISNUMBER(F1914),F1914^4,"")</x:f>
      </x:c>
      <x:c r="I1914" s="1"/>
      <x:c r="J1914" s="1"/>
      <x:c r="K1914" s="1"/>
      <x:c r="L1914" s="1"/>
      <x:c r="M1914" s="1"/>
      <x:c r="N1914" s="1"/>
    </x:row>
    <x:row r="1915" ht="22" customHeight="1">
      <x:c r="A1915" s="14"/>
      <x:c r="B1915" s="15"/>
      <x:c r="C1915" s="16" t="str">
        <x:f>IF(AND(ISNUMBER(B1915),ISNUMBER(B1914),B1915&gt;0,B1914&gt;0),LN(B1915/B1914),"")</x:f>
      </x:c>
      <x:c r="D1915" s="16" t="str">
        <x:f>IF(ISNUMBER(C1915),ABS(C1915),"")</x:f>
      </x:c>
      <x:c r="E1915" s="16" t="str">
        <x:f>IF(ISNUMBER(C1915),C1915^2,"")</x:f>
      </x:c>
      <x:c r="F1915" s="16" t="str">
        <x:f>IF(AND(ISNUMBER(C1915),ISNUMBER($J$6),$J$6&gt;0),(C1915-$J$5)/$J$6,"")</x:f>
      </x:c>
      <x:c r="G1915" s="1" t="str">
        <x:f>IF(ISNUMBER(F1915),IF(ABS(F1915)&gt;3,1,0),"")</x:f>
      </x:c>
      <x:c r="H1915" s="1" t="str">
        <x:f>IF(ISNUMBER(F1915),F1915^4,"")</x:f>
      </x:c>
      <x:c r="I1915" s="1"/>
      <x:c r="J1915" s="1"/>
      <x:c r="K1915" s="1"/>
      <x:c r="L1915" s="1"/>
      <x:c r="M1915" s="1"/>
      <x:c r="N1915" s="1"/>
    </x:row>
    <x:row r="1916" ht="22" customHeight="1">
      <x:c r="A1916" s="14"/>
      <x:c r="B1916" s="15"/>
      <x:c r="C1916" s="16" t="str">
        <x:f>IF(AND(ISNUMBER(B1916),ISNUMBER(B1915),B1916&gt;0,B1915&gt;0),LN(B1916/B1915),"")</x:f>
      </x:c>
      <x:c r="D1916" s="16" t="str">
        <x:f>IF(ISNUMBER(C1916),ABS(C1916),"")</x:f>
      </x:c>
      <x:c r="E1916" s="16" t="str">
        <x:f>IF(ISNUMBER(C1916),C1916^2,"")</x:f>
      </x:c>
      <x:c r="F1916" s="16" t="str">
        <x:f>IF(AND(ISNUMBER(C1916),ISNUMBER($J$6),$J$6&gt;0),(C1916-$J$5)/$J$6,"")</x:f>
      </x:c>
      <x:c r="G1916" s="1" t="str">
        <x:f>IF(ISNUMBER(F1916),IF(ABS(F1916)&gt;3,1,0),"")</x:f>
      </x:c>
      <x:c r="H1916" s="1" t="str">
        <x:f>IF(ISNUMBER(F1916),F1916^4,"")</x:f>
      </x:c>
      <x:c r="I1916" s="1"/>
      <x:c r="J1916" s="1"/>
      <x:c r="K1916" s="1"/>
      <x:c r="L1916" s="1"/>
      <x:c r="M1916" s="1"/>
      <x:c r="N1916" s="1"/>
    </x:row>
    <x:row r="1917" ht="22" customHeight="1">
      <x:c r="A1917" s="14"/>
      <x:c r="B1917" s="15"/>
      <x:c r="C1917" s="16" t="str">
        <x:f>IF(AND(ISNUMBER(B1917),ISNUMBER(B1916),B1917&gt;0,B1916&gt;0),LN(B1917/B1916),"")</x:f>
      </x:c>
      <x:c r="D1917" s="16" t="str">
        <x:f>IF(ISNUMBER(C1917),ABS(C1917),"")</x:f>
      </x:c>
      <x:c r="E1917" s="16" t="str">
        <x:f>IF(ISNUMBER(C1917),C1917^2,"")</x:f>
      </x:c>
      <x:c r="F1917" s="16" t="str">
        <x:f>IF(AND(ISNUMBER(C1917),ISNUMBER($J$6),$J$6&gt;0),(C1917-$J$5)/$J$6,"")</x:f>
      </x:c>
      <x:c r="G1917" s="1" t="str">
        <x:f>IF(ISNUMBER(F1917),IF(ABS(F1917)&gt;3,1,0),"")</x:f>
      </x:c>
      <x:c r="H1917" s="1" t="str">
        <x:f>IF(ISNUMBER(F1917),F1917^4,"")</x:f>
      </x:c>
      <x:c r="I1917" s="1"/>
      <x:c r="J1917" s="1"/>
      <x:c r="K1917" s="1"/>
      <x:c r="L1917" s="1"/>
      <x:c r="M1917" s="1"/>
      <x:c r="N1917" s="1"/>
    </x:row>
    <x:row r="1918" ht="22" customHeight="1">
      <x:c r="A1918" s="14"/>
      <x:c r="B1918" s="15"/>
      <x:c r="C1918" s="16" t="str">
        <x:f>IF(AND(ISNUMBER(B1918),ISNUMBER(B1917),B1918&gt;0,B1917&gt;0),LN(B1918/B1917),"")</x:f>
      </x:c>
      <x:c r="D1918" s="16" t="str">
        <x:f>IF(ISNUMBER(C1918),ABS(C1918),"")</x:f>
      </x:c>
      <x:c r="E1918" s="16" t="str">
        <x:f>IF(ISNUMBER(C1918),C1918^2,"")</x:f>
      </x:c>
      <x:c r="F1918" s="16" t="str">
        <x:f>IF(AND(ISNUMBER(C1918),ISNUMBER($J$6),$J$6&gt;0),(C1918-$J$5)/$J$6,"")</x:f>
      </x:c>
      <x:c r="G1918" s="1" t="str">
        <x:f>IF(ISNUMBER(F1918),IF(ABS(F1918)&gt;3,1,0),"")</x:f>
      </x:c>
      <x:c r="H1918" s="1" t="str">
        <x:f>IF(ISNUMBER(F1918),F1918^4,"")</x:f>
      </x:c>
      <x:c r="I1918" s="1"/>
      <x:c r="J1918" s="1"/>
      <x:c r="K1918" s="1"/>
      <x:c r="L1918" s="1"/>
      <x:c r="M1918" s="1"/>
      <x:c r="N1918" s="1"/>
    </x:row>
    <x:row r="1919" ht="22" customHeight="1">
      <x:c r="A1919" s="14"/>
      <x:c r="B1919" s="15"/>
      <x:c r="C1919" s="16" t="str">
        <x:f>IF(AND(ISNUMBER(B1919),ISNUMBER(B1918),B1919&gt;0,B1918&gt;0),LN(B1919/B1918),"")</x:f>
      </x:c>
      <x:c r="D1919" s="16" t="str">
        <x:f>IF(ISNUMBER(C1919),ABS(C1919),"")</x:f>
      </x:c>
      <x:c r="E1919" s="16" t="str">
        <x:f>IF(ISNUMBER(C1919),C1919^2,"")</x:f>
      </x:c>
      <x:c r="F1919" s="16" t="str">
        <x:f>IF(AND(ISNUMBER(C1919),ISNUMBER($J$6),$J$6&gt;0),(C1919-$J$5)/$J$6,"")</x:f>
      </x:c>
      <x:c r="G1919" s="1" t="str">
        <x:f>IF(ISNUMBER(F1919),IF(ABS(F1919)&gt;3,1,0),"")</x:f>
      </x:c>
      <x:c r="H1919" s="1" t="str">
        <x:f>IF(ISNUMBER(F1919),F1919^4,"")</x:f>
      </x:c>
      <x:c r="I1919" s="1"/>
      <x:c r="J1919" s="1"/>
      <x:c r="K1919" s="1"/>
      <x:c r="L1919" s="1"/>
      <x:c r="M1919" s="1"/>
      <x:c r="N1919" s="1"/>
    </x:row>
    <x:row r="1920" ht="22" customHeight="1">
      <x:c r="A1920" s="14"/>
      <x:c r="B1920" s="15"/>
      <x:c r="C1920" s="16" t="str">
        <x:f>IF(AND(ISNUMBER(B1920),ISNUMBER(B1919),B1920&gt;0,B1919&gt;0),LN(B1920/B1919),"")</x:f>
      </x:c>
      <x:c r="D1920" s="16" t="str">
        <x:f>IF(ISNUMBER(C1920),ABS(C1920),"")</x:f>
      </x:c>
      <x:c r="E1920" s="16" t="str">
        <x:f>IF(ISNUMBER(C1920),C1920^2,"")</x:f>
      </x:c>
      <x:c r="F1920" s="16" t="str">
        <x:f>IF(AND(ISNUMBER(C1920),ISNUMBER($J$6),$J$6&gt;0),(C1920-$J$5)/$J$6,"")</x:f>
      </x:c>
      <x:c r="G1920" s="1" t="str">
        <x:f>IF(ISNUMBER(F1920),IF(ABS(F1920)&gt;3,1,0),"")</x:f>
      </x:c>
      <x:c r="H1920" s="1" t="str">
        <x:f>IF(ISNUMBER(F1920),F1920^4,"")</x:f>
      </x:c>
      <x:c r="I1920" s="1"/>
      <x:c r="J1920" s="1"/>
      <x:c r="K1920" s="1"/>
      <x:c r="L1920" s="1"/>
      <x:c r="M1920" s="1"/>
      <x:c r="N1920" s="1"/>
    </x:row>
    <x:row r="1921" ht="22" customHeight="1">
      <x:c r="A1921" s="14"/>
      <x:c r="B1921" s="15"/>
      <x:c r="C1921" s="16" t="str">
        <x:f>IF(AND(ISNUMBER(B1921),ISNUMBER(B1920),B1921&gt;0,B1920&gt;0),LN(B1921/B1920),"")</x:f>
      </x:c>
      <x:c r="D1921" s="16" t="str">
        <x:f>IF(ISNUMBER(C1921),ABS(C1921),"")</x:f>
      </x:c>
      <x:c r="E1921" s="16" t="str">
        <x:f>IF(ISNUMBER(C1921),C1921^2,"")</x:f>
      </x:c>
      <x:c r="F1921" s="16" t="str">
        <x:f>IF(AND(ISNUMBER(C1921),ISNUMBER($J$6),$J$6&gt;0),(C1921-$J$5)/$J$6,"")</x:f>
      </x:c>
      <x:c r="G1921" s="1" t="str">
        <x:f>IF(ISNUMBER(F1921),IF(ABS(F1921)&gt;3,1,0),"")</x:f>
      </x:c>
      <x:c r="H1921" s="1" t="str">
        <x:f>IF(ISNUMBER(F1921),F1921^4,"")</x:f>
      </x:c>
      <x:c r="I1921" s="1"/>
      <x:c r="J1921" s="1"/>
      <x:c r="K1921" s="1"/>
      <x:c r="L1921" s="1"/>
      <x:c r="M1921" s="1"/>
      <x:c r="N1921" s="1"/>
    </x:row>
    <x:row r="1922" ht="22" customHeight="1">
      <x:c r="A1922" s="14"/>
      <x:c r="B1922" s="15"/>
      <x:c r="C1922" s="16" t="str">
        <x:f>IF(AND(ISNUMBER(B1922),ISNUMBER(B1921),B1922&gt;0,B1921&gt;0),LN(B1922/B1921),"")</x:f>
      </x:c>
      <x:c r="D1922" s="16" t="str">
        <x:f>IF(ISNUMBER(C1922),ABS(C1922),"")</x:f>
      </x:c>
      <x:c r="E1922" s="16" t="str">
        <x:f>IF(ISNUMBER(C1922),C1922^2,"")</x:f>
      </x:c>
      <x:c r="F1922" s="16" t="str">
        <x:f>IF(AND(ISNUMBER(C1922),ISNUMBER($J$6),$J$6&gt;0),(C1922-$J$5)/$J$6,"")</x:f>
      </x:c>
      <x:c r="G1922" s="1" t="str">
        <x:f>IF(ISNUMBER(F1922),IF(ABS(F1922)&gt;3,1,0),"")</x:f>
      </x:c>
      <x:c r="H1922" s="1" t="str">
        <x:f>IF(ISNUMBER(F1922),F1922^4,"")</x:f>
      </x:c>
      <x:c r="I1922" s="1"/>
      <x:c r="J1922" s="1"/>
      <x:c r="K1922" s="1"/>
      <x:c r="L1922" s="1"/>
      <x:c r="M1922" s="1"/>
      <x:c r="N1922" s="1"/>
    </x:row>
    <x:row r="1923" ht="22" customHeight="1">
      <x:c r="A1923" s="14"/>
      <x:c r="B1923" s="15"/>
      <x:c r="C1923" s="16" t="str">
        <x:f>IF(AND(ISNUMBER(B1923),ISNUMBER(B1922),B1923&gt;0,B1922&gt;0),LN(B1923/B1922),"")</x:f>
      </x:c>
      <x:c r="D1923" s="16" t="str">
        <x:f>IF(ISNUMBER(C1923),ABS(C1923),"")</x:f>
      </x:c>
      <x:c r="E1923" s="16" t="str">
        <x:f>IF(ISNUMBER(C1923),C1923^2,"")</x:f>
      </x:c>
      <x:c r="F1923" s="16" t="str">
        <x:f>IF(AND(ISNUMBER(C1923),ISNUMBER($J$6),$J$6&gt;0),(C1923-$J$5)/$J$6,"")</x:f>
      </x:c>
      <x:c r="G1923" s="1" t="str">
        <x:f>IF(ISNUMBER(F1923),IF(ABS(F1923)&gt;3,1,0),"")</x:f>
      </x:c>
      <x:c r="H1923" s="1" t="str">
        <x:f>IF(ISNUMBER(F1923),F1923^4,"")</x:f>
      </x:c>
      <x:c r="I1923" s="1"/>
      <x:c r="J1923" s="1"/>
      <x:c r="K1923" s="1"/>
      <x:c r="L1923" s="1"/>
      <x:c r="M1923" s="1"/>
      <x:c r="N1923" s="1"/>
    </x:row>
    <x:row r="1924" ht="22" customHeight="1">
      <x:c r="A1924" s="14"/>
      <x:c r="B1924" s="15"/>
      <x:c r="C1924" s="16" t="str">
        <x:f>IF(AND(ISNUMBER(B1924),ISNUMBER(B1923),B1924&gt;0,B1923&gt;0),LN(B1924/B1923),"")</x:f>
      </x:c>
      <x:c r="D1924" s="16" t="str">
        <x:f>IF(ISNUMBER(C1924),ABS(C1924),"")</x:f>
      </x:c>
      <x:c r="E1924" s="16" t="str">
        <x:f>IF(ISNUMBER(C1924),C1924^2,"")</x:f>
      </x:c>
      <x:c r="F1924" s="16" t="str">
        <x:f>IF(AND(ISNUMBER(C1924),ISNUMBER($J$6),$J$6&gt;0),(C1924-$J$5)/$J$6,"")</x:f>
      </x:c>
      <x:c r="G1924" s="1" t="str">
        <x:f>IF(ISNUMBER(F1924),IF(ABS(F1924)&gt;3,1,0),"")</x:f>
      </x:c>
      <x:c r="H1924" s="1" t="str">
        <x:f>IF(ISNUMBER(F1924),F1924^4,"")</x:f>
      </x:c>
      <x:c r="I1924" s="1"/>
      <x:c r="J1924" s="1"/>
      <x:c r="K1924" s="1"/>
      <x:c r="L1924" s="1"/>
      <x:c r="M1924" s="1"/>
      <x:c r="N1924" s="1"/>
    </x:row>
    <x:row r="1925" ht="22" customHeight="1">
      <x:c r="A1925" s="14"/>
      <x:c r="B1925" s="15"/>
      <x:c r="C1925" s="16" t="str">
        <x:f>IF(AND(ISNUMBER(B1925),ISNUMBER(B1924),B1925&gt;0,B1924&gt;0),LN(B1925/B1924),"")</x:f>
      </x:c>
      <x:c r="D1925" s="16" t="str">
        <x:f>IF(ISNUMBER(C1925),ABS(C1925),"")</x:f>
      </x:c>
      <x:c r="E1925" s="16" t="str">
        <x:f>IF(ISNUMBER(C1925),C1925^2,"")</x:f>
      </x:c>
      <x:c r="F1925" s="16" t="str">
        <x:f>IF(AND(ISNUMBER(C1925),ISNUMBER($J$6),$J$6&gt;0),(C1925-$J$5)/$J$6,"")</x:f>
      </x:c>
      <x:c r="G1925" s="1" t="str">
        <x:f>IF(ISNUMBER(F1925),IF(ABS(F1925)&gt;3,1,0),"")</x:f>
      </x:c>
      <x:c r="H1925" s="1" t="str">
        <x:f>IF(ISNUMBER(F1925),F1925^4,"")</x:f>
      </x:c>
      <x:c r="I1925" s="1"/>
      <x:c r="J1925" s="1"/>
      <x:c r="K1925" s="1"/>
      <x:c r="L1925" s="1"/>
      <x:c r="M1925" s="1"/>
      <x:c r="N1925" s="1"/>
    </x:row>
    <x:row r="1926" ht="22" customHeight="1">
      <x:c r="A1926" s="14"/>
      <x:c r="B1926" s="15"/>
      <x:c r="C1926" s="16" t="str">
        <x:f>IF(AND(ISNUMBER(B1926),ISNUMBER(B1925),B1926&gt;0,B1925&gt;0),LN(B1926/B1925),"")</x:f>
      </x:c>
      <x:c r="D1926" s="16" t="str">
        <x:f>IF(ISNUMBER(C1926),ABS(C1926),"")</x:f>
      </x:c>
      <x:c r="E1926" s="16" t="str">
        <x:f>IF(ISNUMBER(C1926),C1926^2,"")</x:f>
      </x:c>
      <x:c r="F1926" s="16" t="str">
        <x:f>IF(AND(ISNUMBER(C1926),ISNUMBER($J$6),$J$6&gt;0),(C1926-$J$5)/$J$6,"")</x:f>
      </x:c>
      <x:c r="G1926" s="1" t="str">
        <x:f>IF(ISNUMBER(F1926),IF(ABS(F1926)&gt;3,1,0),"")</x:f>
      </x:c>
      <x:c r="H1926" s="1" t="str">
        <x:f>IF(ISNUMBER(F1926),F1926^4,"")</x:f>
      </x:c>
      <x:c r="I1926" s="1"/>
      <x:c r="J1926" s="1"/>
      <x:c r="K1926" s="1"/>
      <x:c r="L1926" s="1"/>
      <x:c r="M1926" s="1"/>
      <x:c r="N1926" s="1"/>
    </x:row>
    <x:row r="1927" ht="22" customHeight="1">
      <x:c r="A1927" s="14"/>
      <x:c r="B1927" s="15"/>
      <x:c r="C1927" s="16" t="str">
        <x:f>IF(AND(ISNUMBER(B1927),ISNUMBER(B1926),B1927&gt;0,B1926&gt;0),LN(B1927/B1926),"")</x:f>
      </x:c>
      <x:c r="D1927" s="16" t="str">
        <x:f>IF(ISNUMBER(C1927),ABS(C1927),"")</x:f>
      </x:c>
      <x:c r="E1927" s="16" t="str">
        <x:f>IF(ISNUMBER(C1927),C1927^2,"")</x:f>
      </x:c>
      <x:c r="F1927" s="16" t="str">
        <x:f>IF(AND(ISNUMBER(C1927),ISNUMBER($J$6),$J$6&gt;0),(C1927-$J$5)/$J$6,"")</x:f>
      </x:c>
      <x:c r="G1927" s="1" t="str">
        <x:f>IF(ISNUMBER(F1927),IF(ABS(F1927)&gt;3,1,0),"")</x:f>
      </x:c>
      <x:c r="H1927" s="1" t="str">
        <x:f>IF(ISNUMBER(F1927),F1927^4,"")</x:f>
      </x:c>
      <x:c r="I1927" s="1"/>
      <x:c r="J1927" s="1"/>
      <x:c r="K1927" s="1"/>
      <x:c r="L1927" s="1"/>
      <x:c r="M1927" s="1"/>
      <x:c r="N1927" s="1"/>
    </x:row>
    <x:row r="1928" ht="22" customHeight="1">
      <x:c r="A1928" s="14"/>
      <x:c r="B1928" s="15"/>
      <x:c r="C1928" s="16" t="str">
        <x:f>IF(AND(ISNUMBER(B1928),ISNUMBER(B1927),B1928&gt;0,B1927&gt;0),LN(B1928/B1927),"")</x:f>
      </x:c>
      <x:c r="D1928" s="16" t="str">
        <x:f>IF(ISNUMBER(C1928),ABS(C1928),"")</x:f>
      </x:c>
      <x:c r="E1928" s="16" t="str">
        <x:f>IF(ISNUMBER(C1928),C1928^2,"")</x:f>
      </x:c>
      <x:c r="F1928" s="16" t="str">
        <x:f>IF(AND(ISNUMBER(C1928),ISNUMBER($J$6),$J$6&gt;0),(C1928-$J$5)/$J$6,"")</x:f>
      </x:c>
      <x:c r="G1928" s="1" t="str">
        <x:f>IF(ISNUMBER(F1928),IF(ABS(F1928)&gt;3,1,0),"")</x:f>
      </x:c>
      <x:c r="H1928" s="1" t="str">
        <x:f>IF(ISNUMBER(F1928),F1928^4,"")</x:f>
      </x:c>
      <x:c r="I1928" s="1"/>
      <x:c r="J1928" s="1"/>
      <x:c r="K1928" s="1"/>
      <x:c r="L1928" s="1"/>
      <x:c r="M1928" s="1"/>
      <x:c r="N1928" s="1"/>
    </x:row>
    <x:row r="1929" ht="22" customHeight="1">
      <x:c r="A1929" s="14"/>
      <x:c r="B1929" s="15"/>
      <x:c r="C1929" s="16" t="str">
        <x:f>IF(AND(ISNUMBER(B1929),ISNUMBER(B1928),B1929&gt;0,B1928&gt;0),LN(B1929/B1928),"")</x:f>
      </x:c>
      <x:c r="D1929" s="16" t="str">
        <x:f>IF(ISNUMBER(C1929),ABS(C1929),"")</x:f>
      </x:c>
      <x:c r="E1929" s="16" t="str">
        <x:f>IF(ISNUMBER(C1929),C1929^2,"")</x:f>
      </x:c>
      <x:c r="F1929" s="16" t="str">
        <x:f>IF(AND(ISNUMBER(C1929),ISNUMBER($J$6),$J$6&gt;0),(C1929-$J$5)/$J$6,"")</x:f>
      </x:c>
      <x:c r="G1929" s="1" t="str">
        <x:f>IF(ISNUMBER(F1929),IF(ABS(F1929)&gt;3,1,0),"")</x:f>
      </x:c>
      <x:c r="H1929" s="1" t="str">
        <x:f>IF(ISNUMBER(F1929),F1929^4,"")</x:f>
      </x:c>
      <x:c r="I1929" s="1"/>
      <x:c r="J1929" s="1"/>
      <x:c r="K1929" s="1"/>
      <x:c r="L1929" s="1"/>
      <x:c r="M1929" s="1"/>
      <x:c r="N1929" s="1"/>
    </x:row>
    <x:row r="1930" ht="22" customHeight="1">
      <x:c r="A1930" s="14"/>
      <x:c r="B1930" s="15"/>
      <x:c r="C1930" s="16" t="str">
        <x:f>IF(AND(ISNUMBER(B1930),ISNUMBER(B1929),B1930&gt;0,B1929&gt;0),LN(B1930/B1929),"")</x:f>
      </x:c>
      <x:c r="D1930" s="16" t="str">
        <x:f>IF(ISNUMBER(C1930),ABS(C1930),"")</x:f>
      </x:c>
      <x:c r="E1930" s="16" t="str">
        <x:f>IF(ISNUMBER(C1930),C1930^2,"")</x:f>
      </x:c>
      <x:c r="F1930" s="16" t="str">
        <x:f>IF(AND(ISNUMBER(C1930),ISNUMBER($J$6),$J$6&gt;0),(C1930-$J$5)/$J$6,"")</x:f>
      </x:c>
      <x:c r="G1930" s="1" t="str">
        <x:f>IF(ISNUMBER(F1930),IF(ABS(F1930)&gt;3,1,0),"")</x:f>
      </x:c>
      <x:c r="H1930" s="1" t="str">
        <x:f>IF(ISNUMBER(F1930),F1930^4,"")</x:f>
      </x:c>
      <x:c r="I1930" s="1"/>
      <x:c r="J1930" s="1"/>
      <x:c r="K1930" s="1"/>
      <x:c r="L1930" s="1"/>
      <x:c r="M1930" s="1"/>
      <x:c r="N1930" s="1"/>
    </x:row>
    <x:row r="1931" ht="22" customHeight="1">
      <x:c r="A1931" s="14"/>
      <x:c r="B1931" s="15"/>
      <x:c r="C1931" s="16" t="str">
        <x:f>IF(AND(ISNUMBER(B1931),ISNUMBER(B1930),B1931&gt;0,B1930&gt;0),LN(B1931/B1930),"")</x:f>
      </x:c>
      <x:c r="D1931" s="16" t="str">
        <x:f>IF(ISNUMBER(C1931),ABS(C1931),"")</x:f>
      </x:c>
      <x:c r="E1931" s="16" t="str">
        <x:f>IF(ISNUMBER(C1931),C1931^2,"")</x:f>
      </x:c>
      <x:c r="F1931" s="16" t="str">
        <x:f>IF(AND(ISNUMBER(C1931),ISNUMBER($J$6),$J$6&gt;0),(C1931-$J$5)/$J$6,"")</x:f>
      </x:c>
      <x:c r="G1931" s="1" t="str">
        <x:f>IF(ISNUMBER(F1931),IF(ABS(F1931)&gt;3,1,0),"")</x:f>
      </x:c>
      <x:c r="H1931" s="1" t="str">
        <x:f>IF(ISNUMBER(F1931),F1931^4,"")</x:f>
      </x:c>
      <x:c r="I1931" s="1"/>
      <x:c r="J1931" s="1"/>
      <x:c r="K1931" s="1"/>
      <x:c r="L1931" s="1"/>
      <x:c r="M1931" s="1"/>
      <x:c r="N1931" s="1"/>
    </x:row>
    <x:row r="1932" ht="22" customHeight="1">
      <x:c r="A1932" s="14"/>
      <x:c r="B1932" s="15"/>
      <x:c r="C1932" s="16" t="str">
        <x:f>IF(AND(ISNUMBER(B1932),ISNUMBER(B1931),B1932&gt;0,B1931&gt;0),LN(B1932/B1931),"")</x:f>
      </x:c>
      <x:c r="D1932" s="16" t="str">
        <x:f>IF(ISNUMBER(C1932),ABS(C1932),"")</x:f>
      </x:c>
      <x:c r="E1932" s="16" t="str">
        <x:f>IF(ISNUMBER(C1932),C1932^2,"")</x:f>
      </x:c>
      <x:c r="F1932" s="16" t="str">
        <x:f>IF(AND(ISNUMBER(C1932),ISNUMBER($J$6),$J$6&gt;0),(C1932-$J$5)/$J$6,"")</x:f>
      </x:c>
      <x:c r="G1932" s="1" t="str">
        <x:f>IF(ISNUMBER(F1932),IF(ABS(F1932)&gt;3,1,0),"")</x:f>
      </x:c>
      <x:c r="H1932" s="1" t="str">
        <x:f>IF(ISNUMBER(F1932),F1932^4,"")</x:f>
      </x:c>
      <x:c r="I1932" s="1"/>
      <x:c r="J1932" s="1"/>
      <x:c r="K1932" s="1"/>
      <x:c r="L1932" s="1"/>
      <x:c r="M1932" s="1"/>
      <x:c r="N1932" s="1"/>
    </x:row>
    <x:row r="1933" ht="22" customHeight="1">
      <x:c r="A1933" s="14"/>
      <x:c r="B1933" s="15"/>
      <x:c r="C1933" s="16" t="str">
        <x:f>IF(AND(ISNUMBER(B1933),ISNUMBER(B1932),B1933&gt;0,B1932&gt;0),LN(B1933/B1932),"")</x:f>
      </x:c>
      <x:c r="D1933" s="16" t="str">
        <x:f>IF(ISNUMBER(C1933),ABS(C1933),"")</x:f>
      </x:c>
      <x:c r="E1933" s="16" t="str">
        <x:f>IF(ISNUMBER(C1933),C1933^2,"")</x:f>
      </x:c>
      <x:c r="F1933" s="16" t="str">
        <x:f>IF(AND(ISNUMBER(C1933),ISNUMBER($J$6),$J$6&gt;0),(C1933-$J$5)/$J$6,"")</x:f>
      </x:c>
      <x:c r="G1933" s="1" t="str">
        <x:f>IF(ISNUMBER(F1933),IF(ABS(F1933)&gt;3,1,0),"")</x:f>
      </x:c>
      <x:c r="H1933" s="1" t="str">
        <x:f>IF(ISNUMBER(F1933),F1933^4,"")</x:f>
      </x:c>
      <x:c r="I1933" s="1"/>
      <x:c r="J1933" s="1"/>
      <x:c r="K1933" s="1"/>
      <x:c r="L1933" s="1"/>
      <x:c r="M1933" s="1"/>
      <x:c r="N1933" s="1"/>
    </x:row>
    <x:row r="1934" ht="22" customHeight="1">
      <x:c r="A1934" s="14"/>
      <x:c r="B1934" s="15"/>
      <x:c r="C1934" s="16" t="str">
        <x:f>IF(AND(ISNUMBER(B1934),ISNUMBER(B1933),B1934&gt;0,B1933&gt;0),LN(B1934/B1933),"")</x:f>
      </x:c>
      <x:c r="D1934" s="16" t="str">
        <x:f>IF(ISNUMBER(C1934),ABS(C1934),"")</x:f>
      </x:c>
      <x:c r="E1934" s="16" t="str">
        <x:f>IF(ISNUMBER(C1934),C1934^2,"")</x:f>
      </x:c>
      <x:c r="F1934" s="16" t="str">
        <x:f>IF(AND(ISNUMBER(C1934),ISNUMBER($J$6),$J$6&gt;0),(C1934-$J$5)/$J$6,"")</x:f>
      </x:c>
      <x:c r="G1934" s="1" t="str">
        <x:f>IF(ISNUMBER(F1934),IF(ABS(F1934)&gt;3,1,0),"")</x:f>
      </x:c>
      <x:c r="H1934" s="1" t="str">
        <x:f>IF(ISNUMBER(F1934),F1934^4,"")</x:f>
      </x:c>
      <x:c r="I1934" s="1"/>
      <x:c r="J1934" s="1"/>
      <x:c r="K1934" s="1"/>
      <x:c r="L1934" s="1"/>
      <x:c r="M1934" s="1"/>
      <x:c r="N1934" s="1"/>
    </x:row>
    <x:row r="1935" ht="22" customHeight="1">
      <x:c r="A1935" s="14"/>
      <x:c r="B1935" s="15"/>
      <x:c r="C1935" s="16" t="str">
        <x:f>IF(AND(ISNUMBER(B1935),ISNUMBER(B1934),B1935&gt;0,B1934&gt;0),LN(B1935/B1934),"")</x:f>
      </x:c>
      <x:c r="D1935" s="16" t="str">
        <x:f>IF(ISNUMBER(C1935),ABS(C1935),"")</x:f>
      </x:c>
      <x:c r="E1935" s="16" t="str">
        <x:f>IF(ISNUMBER(C1935),C1935^2,"")</x:f>
      </x:c>
      <x:c r="F1935" s="16" t="str">
        <x:f>IF(AND(ISNUMBER(C1935),ISNUMBER($J$6),$J$6&gt;0),(C1935-$J$5)/$J$6,"")</x:f>
      </x:c>
      <x:c r="G1935" s="1" t="str">
        <x:f>IF(ISNUMBER(F1935),IF(ABS(F1935)&gt;3,1,0),"")</x:f>
      </x:c>
      <x:c r="H1935" s="1" t="str">
        <x:f>IF(ISNUMBER(F1935),F1935^4,"")</x:f>
      </x:c>
      <x:c r="I1935" s="1"/>
      <x:c r="J1935" s="1"/>
      <x:c r="K1935" s="1"/>
      <x:c r="L1935" s="1"/>
      <x:c r="M1935" s="1"/>
      <x:c r="N1935" s="1"/>
    </x:row>
    <x:row r="1936" ht="22" customHeight="1">
      <x:c r="A1936" s="14"/>
      <x:c r="B1936" s="15"/>
      <x:c r="C1936" s="16" t="str">
        <x:f>IF(AND(ISNUMBER(B1936),ISNUMBER(B1935),B1936&gt;0,B1935&gt;0),LN(B1936/B1935),"")</x:f>
      </x:c>
      <x:c r="D1936" s="16" t="str">
        <x:f>IF(ISNUMBER(C1936),ABS(C1936),"")</x:f>
      </x:c>
      <x:c r="E1936" s="16" t="str">
        <x:f>IF(ISNUMBER(C1936),C1936^2,"")</x:f>
      </x:c>
      <x:c r="F1936" s="16" t="str">
        <x:f>IF(AND(ISNUMBER(C1936),ISNUMBER($J$6),$J$6&gt;0),(C1936-$J$5)/$J$6,"")</x:f>
      </x:c>
      <x:c r="G1936" s="1" t="str">
        <x:f>IF(ISNUMBER(F1936),IF(ABS(F1936)&gt;3,1,0),"")</x:f>
      </x:c>
      <x:c r="H1936" s="1" t="str">
        <x:f>IF(ISNUMBER(F1936),F1936^4,"")</x:f>
      </x:c>
      <x:c r="I1936" s="1"/>
      <x:c r="J1936" s="1"/>
      <x:c r="K1936" s="1"/>
      <x:c r="L1936" s="1"/>
      <x:c r="M1936" s="1"/>
      <x:c r="N1936" s="1"/>
    </x:row>
    <x:row r="1937" ht="22" customHeight="1">
      <x:c r="A1937" s="14"/>
      <x:c r="B1937" s="15"/>
      <x:c r="C1937" s="16" t="str">
        <x:f>IF(AND(ISNUMBER(B1937),ISNUMBER(B1936),B1937&gt;0,B1936&gt;0),LN(B1937/B1936),"")</x:f>
      </x:c>
      <x:c r="D1937" s="16" t="str">
        <x:f>IF(ISNUMBER(C1937),ABS(C1937),"")</x:f>
      </x:c>
      <x:c r="E1937" s="16" t="str">
        <x:f>IF(ISNUMBER(C1937),C1937^2,"")</x:f>
      </x:c>
      <x:c r="F1937" s="16" t="str">
        <x:f>IF(AND(ISNUMBER(C1937),ISNUMBER($J$6),$J$6&gt;0),(C1937-$J$5)/$J$6,"")</x:f>
      </x:c>
      <x:c r="G1937" s="1" t="str">
        <x:f>IF(ISNUMBER(F1937),IF(ABS(F1937)&gt;3,1,0),"")</x:f>
      </x:c>
      <x:c r="H1937" s="1" t="str">
        <x:f>IF(ISNUMBER(F1937),F1937^4,"")</x:f>
      </x:c>
      <x:c r="I1937" s="1"/>
      <x:c r="J1937" s="1"/>
      <x:c r="K1937" s="1"/>
      <x:c r="L1937" s="1"/>
      <x:c r="M1937" s="1"/>
      <x:c r="N1937" s="1"/>
    </x:row>
    <x:row r="1938" ht="22" customHeight="1">
      <x:c r="A1938" s="14"/>
      <x:c r="B1938" s="15"/>
      <x:c r="C1938" s="16" t="str">
        <x:f>IF(AND(ISNUMBER(B1938),ISNUMBER(B1937),B1938&gt;0,B1937&gt;0),LN(B1938/B1937),"")</x:f>
      </x:c>
      <x:c r="D1938" s="16" t="str">
        <x:f>IF(ISNUMBER(C1938),ABS(C1938),"")</x:f>
      </x:c>
      <x:c r="E1938" s="16" t="str">
        <x:f>IF(ISNUMBER(C1938),C1938^2,"")</x:f>
      </x:c>
      <x:c r="F1938" s="16" t="str">
        <x:f>IF(AND(ISNUMBER(C1938),ISNUMBER($J$6),$J$6&gt;0),(C1938-$J$5)/$J$6,"")</x:f>
      </x:c>
      <x:c r="G1938" s="1" t="str">
        <x:f>IF(ISNUMBER(F1938),IF(ABS(F1938)&gt;3,1,0),"")</x:f>
      </x:c>
      <x:c r="H1938" s="1" t="str">
        <x:f>IF(ISNUMBER(F1938),F1938^4,"")</x:f>
      </x:c>
      <x:c r="I1938" s="1"/>
      <x:c r="J1938" s="1"/>
      <x:c r="K1938" s="1"/>
      <x:c r="L1938" s="1"/>
      <x:c r="M1938" s="1"/>
      <x:c r="N1938" s="1"/>
    </x:row>
    <x:row r="1939" ht="22" customHeight="1">
      <x:c r="A1939" s="14"/>
      <x:c r="B1939" s="15"/>
      <x:c r="C1939" s="16" t="str">
        <x:f>IF(AND(ISNUMBER(B1939),ISNUMBER(B1938),B1939&gt;0,B1938&gt;0),LN(B1939/B1938),"")</x:f>
      </x:c>
      <x:c r="D1939" s="16" t="str">
        <x:f>IF(ISNUMBER(C1939),ABS(C1939),"")</x:f>
      </x:c>
      <x:c r="E1939" s="16" t="str">
        <x:f>IF(ISNUMBER(C1939),C1939^2,"")</x:f>
      </x:c>
      <x:c r="F1939" s="16" t="str">
        <x:f>IF(AND(ISNUMBER(C1939),ISNUMBER($J$6),$J$6&gt;0),(C1939-$J$5)/$J$6,"")</x:f>
      </x:c>
      <x:c r="G1939" s="1" t="str">
        <x:f>IF(ISNUMBER(F1939),IF(ABS(F1939)&gt;3,1,0),"")</x:f>
      </x:c>
      <x:c r="H1939" s="1" t="str">
        <x:f>IF(ISNUMBER(F1939),F1939^4,"")</x:f>
      </x:c>
      <x:c r="I1939" s="1"/>
      <x:c r="J1939" s="1"/>
      <x:c r="K1939" s="1"/>
      <x:c r="L1939" s="1"/>
      <x:c r="M1939" s="1"/>
      <x:c r="N1939" s="1"/>
    </x:row>
    <x:row r="1940" ht="22" customHeight="1">
      <x:c r="A1940" s="14"/>
      <x:c r="B1940" s="15"/>
      <x:c r="C1940" s="16" t="str">
        <x:f>IF(AND(ISNUMBER(B1940),ISNUMBER(B1939),B1940&gt;0,B1939&gt;0),LN(B1940/B1939),"")</x:f>
      </x:c>
      <x:c r="D1940" s="16" t="str">
        <x:f>IF(ISNUMBER(C1940),ABS(C1940),"")</x:f>
      </x:c>
      <x:c r="E1940" s="16" t="str">
        <x:f>IF(ISNUMBER(C1940),C1940^2,"")</x:f>
      </x:c>
      <x:c r="F1940" s="16" t="str">
        <x:f>IF(AND(ISNUMBER(C1940),ISNUMBER($J$6),$J$6&gt;0),(C1940-$J$5)/$J$6,"")</x:f>
      </x:c>
      <x:c r="G1940" s="1" t="str">
        <x:f>IF(ISNUMBER(F1940),IF(ABS(F1940)&gt;3,1,0),"")</x:f>
      </x:c>
      <x:c r="H1940" s="1" t="str">
        <x:f>IF(ISNUMBER(F1940),F1940^4,"")</x:f>
      </x:c>
      <x:c r="I1940" s="1"/>
      <x:c r="J1940" s="1"/>
      <x:c r="K1940" s="1"/>
      <x:c r="L1940" s="1"/>
      <x:c r="M1940" s="1"/>
      <x:c r="N1940" s="1"/>
    </x:row>
    <x:row r="1941" ht="22" customHeight="1">
      <x:c r="A1941" s="14"/>
      <x:c r="B1941" s="15"/>
      <x:c r="C1941" s="16" t="str">
        <x:f>IF(AND(ISNUMBER(B1941),ISNUMBER(B1940),B1941&gt;0,B1940&gt;0),LN(B1941/B1940),"")</x:f>
      </x:c>
      <x:c r="D1941" s="16" t="str">
        <x:f>IF(ISNUMBER(C1941),ABS(C1941),"")</x:f>
      </x:c>
      <x:c r="E1941" s="16" t="str">
        <x:f>IF(ISNUMBER(C1941),C1941^2,"")</x:f>
      </x:c>
      <x:c r="F1941" s="16" t="str">
        <x:f>IF(AND(ISNUMBER(C1941),ISNUMBER($J$6),$J$6&gt;0),(C1941-$J$5)/$J$6,"")</x:f>
      </x:c>
      <x:c r="G1941" s="1" t="str">
        <x:f>IF(ISNUMBER(F1941),IF(ABS(F1941)&gt;3,1,0),"")</x:f>
      </x:c>
      <x:c r="H1941" s="1" t="str">
        <x:f>IF(ISNUMBER(F1941),F1941^4,"")</x:f>
      </x:c>
      <x:c r="I1941" s="1"/>
      <x:c r="J1941" s="1"/>
      <x:c r="K1941" s="1"/>
      <x:c r="L1941" s="1"/>
      <x:c r="M1941" s="1"/>
      <x:c r="N1941" s="1"/>
    </x:row>
    <x:row r="1942" ht="22" customHeight="1">
      <x:c r="A1942" s="14"/>
      <x:c r="B1942" s="15"/>
      <x:c r="C1942" s="16" t="str">
        <x:f>IF(AND(ISNUMBER(B1942),ISNUMBER(B1941),B1942&gt;0,B1941&gt;0),LN(B1942/B1941),"")</x:f>
      </x:c>
      <x:c r="D1942" s="16" t="str">
        <x:f>IF(ISNUMBER(C1942),ABS(C1942),"")</x:f>
      </x:c>
      <x:c r="E1942" s="16" t="str">
        <x:f>IF(ISNUMBER(C1942),C1942^2,"")</x:f>
      </x:c>
      <x:c r="F1942" s="16" t="str">
        <x:f>IF(AND(ISNUMBER(C1942),ISNUMBER($J$6),$J$6&gt;0),(C1942-$J$5)/$J$6,"")</x:f>
      </x:c>
      <x:c r="G1942" s="1" t="str">
        <x:f>IF(ISNUMBER(F1942),IF(ABS(F1942)&gt;3,1,0),"")</x:f>
      </x:c>
      <x:c r="H1942" s="1" t="str">
        <x:f>IF(ISNUMBER(F1942),F1942^4,"")</x:f>
      </x:c>
      <x:c r="I1942" s="1"/>
      <x:c r="J1942" s="1"/>
      <x:c r="K1942" s="1"/>
      <x:c r="L1942" s="1"/>
      <x:c r="M1942" s="1"/>
      <x:c r="N1942" s="1"/>
    </x:row>
    <x:row r="1943" ht="22" customHeight="1">
      <x:c r="A1943" s="14"/>
      <x:c r="B1943" s="15"/>
      <x:c r="C1943" s="16" t="str">
        <x:f>IF(AND(ISNUMBER(B1943),ISNUMBER(B1942),B1943&gt;0,B1942&gt;0),LN(B1943/B1942),"")</x:f>
      </x:c>
      <x:c r="D1943" s="16" t="str">
        <x:f>IF(ISNUMBER(C1943),ABS(C1943),"")</x:f>
      </x:c>
      <x:c r="E1943" s="16" t="str">
        <x:f>IF(ISNUMBER(C1943),C1943^2,"")</x:f>
      </x:c>
      <x:c r="F1943" s="16" t="str">
        <x:f>IF(AND(ISNUMBER(C1943),ISNUMBER($J$6),$J$6&gt;0),(C1943-$J$5)/$J$6,"")</x:f>
      </x:c>
      <x:c r="G1943" s="1" t="str">
        <x:f>IF(ISNUMBER(F1943),IF(ABS(F1943)&gt;3,1,0),"")</x:f>
      </x:c>
      <x:c r="H1943" s="1" t="str">
        <x:f>IF(ISNUMBER(F1943),F1943^4,"")</x:f>
      </x:c>
      <x:c r="I1943" s="1"/>
      <x:c r="J1943" s="1"/>
      <x:c r="K1943" s="1"/>
      <x:c r="L1943" s="1"/>
      <x:c r="M1943" s="1"/>
      <x:c r="N1943" s="1"/>
    </x:row>
    <x:row r="1944" ht="22" customHeight="1">
      <x:c r="A1944" s="14"/>
      <x:c r="B1944" s="15"/>
      <x:c r="C1944" s="16" t="str">
        <x:f>IF(AND(ISNUMBER(B1944),ISNUMBER(B1943),B1944&gt;0,B1943&gt;0),LN(B1944/B1943),"")</x:f>
      </x:c>
      <x:c r="D1944" s="16" t="str">
        <x:f>IF(ISNUMBER(C1944),ABS(C1944),"")</x:f>
      </x:c>
      <x:c r="E1944" s="16" t="str">
        <x:f>IF(ISNUMBER(C1944),C1944^2,"")</x:f>
      </x:c>
      <x:c r="F1944" s="16" t="str">
        <x:f>IF(AND(ISNUMBER(C1944),ISNUMBER($J$6),$J$6&gt;0),(C1944-$J$5)/$J$6,"")</x:f>
      </x:c>
      <x:c r="G1944" s="1" t="str">
        <x:f>IF(ISNUMBER(F1944),IF(ABS(F1944)&gt;3,1,0),"")</x:f>
      </x:c>
      <x:c r="H1944" s="1" t="str">
        <x:f>IF(ISNUMBER(F1944),F1944^4,"")</x:f>
      </x:c>
      <x:c r="I1944" s="1"/>
      <x:c r="J1944" s="1"/>
      <x:c r="K1944" s="1"/>
      <x:c r="L1944" s="1"/>
      <x:c r="M1944" s="1"/>
      <x:c r="N1944" s="1"/>
    </x:row>
    <x:row r="1945" ht="22" customHeight="1">
      <x:c r="A1945" s="14"/>
      <x:c r="B1945" s="15"/>
      <x:c r="C1945" s="16" t="str">
        <x:f>IF(AND(ISNUMBER(B1945),ISNUMBER(B1944),B1945&gt;0,B1944&gt;0),LN(B1945/B1944),"")</x:f>
      </x:c>
      <x:c r="D1945" s="16" t="str">
        <x:f>IF(ISNUMBER(C1945),ABS(C1945),"")</x:f>
      </x:c>
      <x:c r="E1945" s="16" t="str">
        <x:f>IF(ISNUMBER(C1945),C1945^2,"")</x:f>
      </x:c>
      <x:c r="F1945" s="16" t="str">
        <x:f>IF(AND(ISNUMBER(C1945),ISNUMBER($J$6),$J$6&gt;0),(C1945-$J$5)/$J$6,"")</x:f>
      </x:c>
      <x:c r="G1945" s="1" t="str">
        <x:f>IF(ISNUMBER(F1945),IF(ABS(F1945)&gt;3,1,0),"")</x:f>
      </x:c>
      <x:c r="H1945" s="1" t="str">
        <x:f>IF(ISNUMBER(F1945),F1945^4,"")</x:f>
      </x:c>
      <x:c r="I1945" s="1"/>
      <x:c r="J1945" s="1"/>
      <x:c r="K1945" s="1"/>
      <x:c r="L1945" s="1"/>
      <x:c r="M1945" s="1"/>
      <x:c r="N1945" s="1"/>
    </x:row>
    <x:row r="1946" ht="22" customHeight="1">
      <x:c r="A1946" s="14"/>
      <x:c r="B1946" s="15"/>
      <x:c r="C1946" s="16" t="str">
        <x:f>IF(AND(ISNUMBER(B1946),ISNUMBER(B1945),B1946&gt;0,B1945&gt;0),LN(B1946/B1945),"")</x:f>
      </x:c>
      <x:c r="D1946" s="16" t="str">
        <x:f>IF(ISNUMBER(C1946),ABS(C1946),"")</x:f>
      </x:c>
      <x:c r="E1946" s="16" t="str">
        <x:f>IF(ISNUMBER(C1946),C1946^2,"")</x:f>
      </x:c>
      <x:c r="F1946" s="16" t="str">
        <x:f>IF(AND(ISNUMBER(C1946),ISNUMBER($J$6),$J$6&gt;0),(C1946-$J$5)/$J$6,"")</x:f>
      </x:c>
      <x:c r="G1946" s="1" t="str">
        <x:f>IF(ISNUMBER(F1946),IF(ABS(F1946)&gt;3,1,0),"")</x:f>
      </x:c>
      <x:c r="H1946" s="1" t="str">
        <x:f>IF(ISNUMBER(F1946),F1946^4,"")</x:f>
      </x:c>
      <x:c r="I1946" s="1"/>
      <x:c r="J1946" s="1"/>
      <x:c r="K1946" s="1"/>
      <x:c r="L1946" s="1"/>
      <x:c r="M1946" s="1"/>
      <x:c r="N1946" s="1"/>
    </x:row>
    <x:row r="1947" ht="22" customHeight="1">
      <x:c r="A1947" s="14"/>
      <x:c r="B1947" s="15"/>
      <x:c r="C1947" s="16" t="str">
        <x:f>IF(AND(ISNUMBER(B1947),ISNUMBER(B1946),B1947&gt;0,B1946&gt;0),LN(B1947/B1946),"")</x:f>
      </x:c>
      <x:c r="D1947" s="16" t="str">
        <x:f>IF(ISNUMBER(C1947),ABS(C1947),"")</x:f>
      </x:c>
      <x:c r="E1947" s="16" t="str">
        <x:f>IF(ISNUMBER(C1947),C1947^2,"")</x:f>
      </x:c>
      <x:c r="F1947" s="16" t="str">
        <x:f>IF(AND(ISNUMBER(C1947),ISNUMBER($J$6),$J$6&gt;0),(C1947-$J$5)/$J$6,"")</x:f>
      </x:c>
      <x:c r="G1947" s="1" t="str">
        <x:f>IF(ISNUMBER(F1947),IF(ABS(F1947)&gt;3,1,0),"")</x:f>
      </x:c>
      <x:c r="H1947" s="1" t="str">
        <x:f>IF(ISNUMBER(F1947),F1947^4,"")</x:f>
      </x:c>
      <x:c r="I1947" s="1"/>
      <x:c r="J1947" s="1"/>
      <x:c r="K1947" s="1"/>
      <x:c r="L1947" s="1"/>
      <x:c r="M1947" s="1"/>
      <x:c r="N1947" s="1"/>
    </x:row>
    <x:row r="1948" ht="22" customHeight="1">
      <x:c r="A1948" s="14"/>
      <x:c r="B1948" s="15"/>
      <x:c r="C1948" s="16" t="str">
        <x:f>IF(AND(ISNUMBER(B1948),ISNUMBER(B1947),B1948&gt;0,B1947&gt;0),LN(B1948/B1947),"")</x:f>
      </x:c>
      <x:c r="D1948" s="16" t="str">
        <x:f>IF(ISNUMBER(C1948),ABS(C1948),"")</x:f>
      </x:c>
      <x:c r="E1948" s="16" t="str">
        <x:f>IF(ISNUMBER(C1948),C1948^2,"")</x:f>
      </x:c>
      <x:c r="F1948" s="16" t="str">
        <x:f>IF(AND(ISNUMBER(C1948),ISNUMBER($J$6),$J$6&gt;0),(C1948-$J$5)/$J$6,"")</x:f>
      </x:c>
      <x:c r="G1948" s="1" t="str">
        <x:f>IF(ISNUMBER(F1948),IF(ABS(F1948)&gt;3,1,0),"")</x:f>
      </x:c>
      <x:c r="H1948" s="1" t="str">
        <x:f>IF(ISNUMBER(F1948),F1948^4,"")</x:f>
      </x:c>
      <x:c r="I1948" s="1"/>
      <x:c r="J1948" s="1"/>
      <x:c r="K1948" s="1"/>
      <x:c r="L1948" s="1"/>
      <x:c r="M1948" s="1"/>
      <x:c r="N1948" s="1"/>
    </x:row>
    <x:row r="1949" ht="22" customHeight="1">
      <x:c r="A1949" s="14"/>
      <x:c r="B1949" s="15"/>
      <x:c r="C1949" s="16" t="str">
        <x:f>IF(AND(ISNUMBER(B1949),ISNUMBER(B1948),B1949&gt;0,B1948&gt;0),LN(B1949/B1948),"")</x:f>
      </x:c>
      <x:c r="D1949" s="16" t="str">
        <x:f>IF(ISNUMBER(C1949),ABS(C1949),"")</x:f>
      </x:c>
      <x:c r="E1949" s="16" t="str">
        <x:f>IF(ISNUMBER(C1949),C1949^2,"")</x:f>
      </x:c>
      <x:c r="F1949" s="16" t="str">
        <x:f>IF(AND(ISNUMBER(C1949),ISNUMBER($J$6),$J$6&gt;0),(C1949-$J$5)/$J$6,"")</x:f>
      </x:c>
      <x:c r="G1949" s="1" t="str">
        <x:f>IF(ISNUMBER(F1949),IF(ABS(F1949)&gt;3,1,0),"")</x:f>
      </x:c>
      <x:c r="H1949" s="1" t="str">
        <x:f>IF(ISNUMBER(F1949),F1949^4,"")</x:f>
      </x:c>
      <x:c r="I1949" s="1"/>
      <x:c r="J1949" s="1"/>
      <x:c r="K1949" s="1"/>
      <x:c r="L1949" s="1"/>
      <x:c r="M1949" s="1"/>
      <x:c r="N1949" s="1"/>
    </x:row>
    <x:row r="1950" ht="22" customHeight="1">
      <x:c r="A1950" s="14"/>
      <x:c r="B1950" s="15"/>
      <x:c r="C1950" s="16" t="str">
        <x:f>IF(AND(ISNUMBER(B1950),ISNUMBER(B1949),B1950&gt;0,B1949&gt;0),LN(B1950/B1949),"")</x:f>
      </x:c>
      <x:c r="D1950" s="16" t="str">
        <x:f>IF(ISNUMBER(C1950),ABS(C1950),"")</x:f>
      </x:c>
      <x:c r="E1950" s="16" t="str">
        <x:f>IF(ISNUMBER(C1950),C1950^2,"")</x:f>
      </x:c>
      <x:c r="F1950" s="16" t="str">
        <x:f>IF(AND(ISNUMBER(C1950),ISNUMBER($J$6),$J$6&gt;0),(C1950-$J$5)/$J$6,"")</x:f>
      </x:c>
      <x:c r="G1950" s="1" t="str">
        <x:f>IF(ISNUMBER(F1950),IF(ABS(F1950)&gt;3,1,0),"")</x:f>
      </x:c>
      <x:c r="H1950" s="1" t="str">
        <x:f>IF(ISNUMBER(F1950),F1950^4,"")</x:f>
      </x:c>
      <x:c r="I1950" s="1"/>
      <x:c r="J1950" s="1"/>
      <x:c r="K1950" s="1"/>
      <x:c r="L1950" s="1"/>
      <x:c r="M1950" s="1"/>
      <x:c r="N1950" s="1"/>
    </x:row>
    <x:row r="1951" ht="22" customHeight="1">
      <x:c r="A1951" s="14"/>
      <x:c r="B1951" s="15"/>
      <x:c r="C1951" s="16" t="str">
        <x:f>IF(AND(ISNUMBER(B1951),ISNUMBER(B1950),B1951&gt;0,B1950&gt;0),LN(B1951/B1950),"")</x:f>
      </x:c>
      <x:c r="D1951" s="16" t="str">
        <x:f>IF(ISNUMBER(C1951),ABS(C1951),"")</x:f>
      </x:c>
      <x:c r="E1951" s="16" t="str">
        <x:f>IF(ISNUMBER(C1951),C1951^2,"")</x:f>
      </x:c>
      <x:c r="F1951" s="16" t="str">
        <x:f>IF(AND(ISNUMBER(C1951),ISNUMBER($J$6),$J$6&gt;0),(C1951-$J$5)/$J$6,"")</x:f>
      </x:c>
      <x:c r="G1951" s="1" t="str">
        <x:f>IF(ISNUMBER(F1951),IF(ABS(F1951)&gt;3,1,0),"")</x:f>
      </x:c>
      <x:c r="H1951" s="1" t="str">
        <x:f>IF(ISNUMBER(F1951),F1951^4,"")</x:f>
      </x:c>
      <x:c r="I1951" s="1"/>
      <x:c r="J1951" s="1"/>
      <x:c r="K1951" s="1"/>
      <x:c r="L1951" s="1"/>
      <x:c r="M1951" s="1"/>
      <x:c r="N1951" s="1"/>
    </x:row>
    <x:row r="1952" ht="22" customHeight="1">
      <x:c r="A1952" s="14"/>
      <x:c r="B1952" s="15"/>
      <x:c r="C1952" s="16" t="str">
        <x:f>IF(AND(ISNUMBER(B1952),ISNUMBER(B1951),B1952&gt;0,B1951&gt;0),LN(B1952/B1951),"")</x:f>
      </x:c>
      <x:c r="D1952" s="16" t="str">
        <x:f>IF(ISNUMBER(C1952),ABS(C1952),"")</x:f>
      </x:c>
      <x:c r="E1952" s="16" t="str">
        <x:f>IF(ISNUMBER(C1952),C1952^2,"")</x:f>
      </x:c>
      <x:c r="F1952" s="16" t="str">
        <x:f>IF(AND(ISNUMBER(C1952),ISNUMBER($J$6),$J$6&gt;0),(C1952-$J$5)/$J$6,"")</x:f>
      </x:c>
      <x:c r="G1952" s="1" t="str">
        <x:f>IF(ISNUMBER(F1952),IF(ABS(F1952)&gt;3,1,0),"")</x:f>
      </x:c>
      <x:c r="H1952" s="1" t="str">
        <x:f>IF(ISNUMBER(F1952),F1952^4,"")</x:f>
      </x:c>
      <x:c r="I1952" s="1"/>
      <x:c r="J1952" s="1"/>
      <x:c r="K1952" s="1"/>
      <x:c r="L1952" s="1"/>
      <x:c r="M1952" s="1"/>
      <x:c r="N1952" s="1"/>
    </x:row>
    <x:row r="1953" ht="22" customHeight="1">
      <x:c r="A1953" s="14"/>
      <x:c r="B1953" s="15"/>
      <x:c r="C1953" s="16" t="str">
        <x:f>IF(AND(ISNUMBER(B1953),ISNUMBER(B1952),B1953&gt;0,B1952&gt;0),LN(B1953/B1952),"")</x:f>
      </x:c>
      <x:c r="D1953" s="16" t="str">
        <x:f>IF(ISNUMBER(C1953),ABS(C1953),"")</x:f>
      </x:c>
      <x:c r="E1953" s="16" t="str">
        <x:f>IF(ISNUMBER(C1953),C1953^2,"")</x:f>
      </x:c>
      <x:c r="F1953" s="16" t="str">
        <x:f>IF(AND(ISNUMBER(C1953),ISNUMBER($J$6),$J$6&gt;0),(C1953-$J$5)/$J$6,"")</x:f>
      </x:c>
      <x:c r="G1953" s="1" t="str">
        <x:f>IF(ISNUMBER(F1953),IF(ABS(F1953)&gt;3,1,0),"")</x:f>
      </x:c>
      <x:c r="H1953" s="1" t="str">
        <x:f>IF(ISNUMBER(F1953),F1953^4,"")</x:f>
      </x:c>
      <x:c r="I1953" s="1"/>
      <x:c r="J1953" s="1"/>
      <x:c r="K1953" s="1"/>
      <x:c r="L1953" s="1"/>
      <x:c r="M1953" s="1"/>
      <x:c r="N1953" s="1"/>
    </x:row>
    <x:row r="1954" ht="22" customHeight="1">
      <x:c r="A1954" s="14"/>
      <x:c r="B1954" s="15"/>
      <x:c r="C1954" s="16" t="str">
        <x:f>IF(AND(ISNUMBER(B1954),ISNUMBER(B1953),B1954&gt;0,B1953&gt;0),LN(B1954/B1953),"")</x:f>
      </x:c>
      <x:c r="D1954" s="16" t="str">
        <x:f>IF(ISNUMBER(C1954),ABS(C1954),"")</x:f>
      </x:c>
      <x:c r="E1954" s="16" t="str">
        <x:f>IF(ISNUMBER(C1954),C1954^2,"")</x:f>
      </x:c>
      <x:c r="F1954" s="16" t="str">
        <x:f>IF(AND(ISNUMBER(C1954),ISNUMBER($J$6),$J$6&gt;0),(C1954-$J$5)/$J$6,"")</x:f>
      </x:c>
      <x:c r="G1954" s="1" t="str">
        <x:f>IF(ISNUMBER(F1954),IF(ABS(F1954)&gt;3,1,0),"")</x:f>
      </x:c>
      <x:c r="H1954" s="1" t="str">
        <x:f>IF(ISNUMBER(F1954),F1954^4,"")</x:f>
      </x:c>
      <x:c r="I1954" s="1"/>
      <x:c r="J1954" s="1"/>
      <x:c r="K1954" s="1"/>
      <x:c r="L1954" s="1"/>
      <x:c r="M1954" s="1"/>
      <x:c r="N1954" s="1"/>
    </x:row>
    <x:row r="1955" ht="22" customHeight="1">
      <x:c r="A1955" s="14"/>
      <x:c r="B1955" s="15"/>
      <x:c r="C1955" s="16" t="str">
        <x:f>IF(AND(ISNUMBER(B1955),ISNUMBER(B1954),B1955&gt;0,B1954&gt;0),LN(B1955/B1954),"")</x:f>
      </x:c>
      <x:c r="D1955" s="16" t="str">
        <x:f>IF(ISNUMBER(C1955),ABS(C1955),"")</x:f>
      </x:c>
      <x:c r="E1955" s="16" t="str">
        <x:f>IF(ISNUMBER(C1955),C1955^2,"")</x:f>
      </x:c>
      <x:c r="F1955" s="16" t="str">
        <x:f>IF(AND(ISNUMBER(C1955),ISNUMBER($J$6),$J$6&gt;0),(C1955-$J$5)/$J$6,"")</x:f>
      </x:c>
      <x:c r="G1955" s="1" t="str">
        <x:f>IF(ISNUMBER(F1955),IF(ABS(F1955)&gt;3,1,0),"")</x:f>
      </x:c>
      <x:c r="H1955" s="1" t="str">
        <x:f>IF(ISNUMBER(F1955),F1955^4,"")</x:f>
      </x:c>
      <x:c r="I1955" s="1"/>
      <x:c r="J1955" s="1"/>
      <x:c r="K1955" s="1"/>
      <x:c r="L1955" s="1"/>
      <x:c r="M1955" s="1"/>
      <x:c r="N1955" s="1"/>
    </x:row>
    <x:row r="1956" ht="22" customHeight="1">
      <x:c r="A1956" s="14"/>
      <x:c r="B1956" s="15"/>
      <x:c r="C1956" s="16" t="str">
        <x:f>IF(AND(ISNUMBER(B1956),ISNUMBER(B1955),B1956&gt;0,B1955&gt;0),LN(B1956/B1955),"")</x:f>
      </x:c>
      <x:c r="D1956" s="16" t="str">
        <x:f>IF(ISNUMBER(C1956),ABS(C1956),"")</x:f>
      </x:c>
      <x:c r="E1956" s="16" t="str">
        <x:f>IF(ISNUMBER(C1956),C1956^2,"")</x:f>
      </x:c>
      <x:c r="F1956" s="16" t="str">
        <x:f>IF(AND(ISNUMBER(C1956),ISNUMBER($J$6),$J$6&gt;0),(C1956-$J$5)/$J$6,"")</x:f>
      </x:c>
      <x:c r="G1956" s="1" t="str">
        <x:f>IF(ISNUMBER(F1956),IF(ABS(F1956)&gt;3,1,0),"")</x:f>
      </x:c>
      <x:c r="H1956" s="1" t="str">
        <x:f>IF(ISNUMBER(F1956),F1956^4,"")</x:f>
      </x:c>
      <x:c r="I1956" s="1"/>
      <x:c r="J1956" s="1"/>
      <x:c r="K1956" s="1"/>
      <x:c r="L1956" s="1"/>
      <x:c r="M1956" s="1"/>
      <x:c r="N1956" s="1"/>
    </x:row>
    <x:row r="1957" ht="22" customHeight="1">
      <x:c r="A1957" s="14"/>
      <x:c r="B1957" s="15"/>
      <x:c r="C1957" s="16" t="str">
        <x:f>IF(AND(ISNUMBER(B1957),ISNUMBER(B1956),B1957&gt;0,B1956&gt;0),LN(B1957/B1956),"")</x:f>
      </x:c>
      <x:c r="D1957" s="16" t="str">
        <x:f>IF(ISNUMBER(C1957),ABS(C1957),"")</x:f>
      </x:c>
      <x:c r="E1957" s="16" t="str">
        <x:f>IF(ISNUMBER(C1957),C1957^2,"")</x:f>
      </x:c>
      <x:c r="F1957" s="16" t="str">
        <x:f>IF(AND(ISNUMBER(C1957),ISNUMBER($J$6),$J$6&gt;0),(C1957-$J$5)/$J$6,"")</x:f>
      </x:c>
      <x:c r="G1957" s="1" t="str">
        <x:f>IF(ISNUMBER(F1957),IF(ABS(F1957)&gt;3,1,0),"")</x:f>
      </x:c>
      <x:c r="H1957" s="1" t="str">
        <x:f>IF(ISNUMBER(F1957),F1957^4,"")</x:f>
      </x:c>
      <x:c r="I1957" s="1"/>
      <x:c r="J1957" s="1"/>
      <x:c r="K1957" s="1"/>
      <x:c r="L1957" s="1"/>
      <x:c r="M1957" s="1"/>
      <x:c r="N1957" s="1"/>
    </x:row>
    <x:row r="1958" ht="22" customHeight="1">
      <x:c r="A1958" s="14"/>
      <x:c r="B1958" s="15"/>
      <x:c r="C1958" s="16" t="str">
        <x:f>IF(AND(ISNUMBER(B1958),ISNUMBER(B1957),B1958&gt;0,B1957&gt;0),LN(B1958/B1957),"")</x:f>
      </x:c>
      <x:c r="D1958" s="16" t="str">
        <x:f>IF(ISNUMBER(C1958),ABS(C1958),"")</x:f>
      </x:c>
      <x:c r="E1958" s="16" t="str">
        <x:f>IF(ISNUMBER(C1958),C1958^2,"")</x:f>
      </x:c>
      <x:c r="F1958" s="16" t="str">
        <x:f>IF(AND(ISNUMBER(C1958),ISNUMBER($J$6),$J$6&gt;0),(C1958-$J$5)/$J$6,"")</x:f>
      </x:c>
      <x:c r="G1958" s="1" t="str">
        <x:f>IF(ISNUMBER(F1958),IF(ABS(F1958)&gt;3,1,0),"")</x:f>
      </x:c>
      <x:c r="H1958" s="1" t="str">
        <x:f>IF(ISNUMBER(F1958),F1958^4,"")</x:f>
      </x:c>
      <x:c r="I1958" s="1"/>
      <x:c r="J1958" s="1"/>
      <x:c r="K1958" s="1"/>
      <x:c r="L1958" s="1"/>
      <x:c r="M1958" s="1"/>
      <x:c r="N1958" s="1"/>
    </x:row>
    <x:row r="1959" ht="22" customHeight="1">
      <x:c r="A1959" s="14"/>
      <x:c r="B1959" s="15"/>
      <x:c r="C1959" s="16" t="str">
        <x:f>IF(AND(ISNUMBER(B1959),ISNUMBER(B1958),B1959&gt;0,B1958&gt;0),LN(B1959/B1958),"")</x:f>
      </x:c>
      <x:c r="D1959" s="16" t="str">
        <x:f>IF(ISNUMBER(C1959),ABS(C1959),"")</x:f>
      </x:c>
      <x:c r="E1959" s="16" t="str">
        <x:f>IF(ISNUMBER(C1959),C1959^2,"")</x:f>
      </x:c>
      <x:c r="F1959" s="16" t="str">
        <x:f>IF(AND(ISNUMBER(C1959),ISNUMBER($J$6),$J$6&gt;0),(C1959-$J$5)/$J$6,"")</x:f>
      </x:c>
      <x:c r="G1959" s="1" t="str">
        <x:f>IF(ISNUMBER(F1959),IF(ABS(F1959)&gt;3,1,0),"")</x:f>
      </x:c>
      <x:c r="H1959" s="1" t="str">
        <x:f>IF(ISNUMBER(F1959),F1959^4,"")</x:f>
      </x:c>
      <x:c r="I1959" s="1"/>
      <x:c r="J1959" s="1"/>
      <x:c r="K1959" s="1"/>
      <x:c r="L1959" s="1"/>
      <x:c r="M1959" s="1"/>
      <x:c r="N1959" s="1"/>
    </x:row>
    <x:row r="1960" ht="22" customHeight="1">
      <x:c r="A1960" s="14"/>
      <x:c r="B1960" s="15"/>
      <x:c r="C1960" s="16" t="str">
        <x:f>IF(AND(ISNUMBER(B1960),ISNUMBER(B1959),B1960&gt;0,B1959&gt;0),LN(B1960/B1959),"")</x:f>
      </x:c>
      <x:c r="D1960" s="16" t="str">
        <x:f>IF(ISNUMBER(C1960),ABS(C1960),"")</x:f>
      </x:c>
      <x:c r="E1960" s="16" t="str">
        <x:f>IF(ISNUMBER(C1960),C1960^2,"")</x:f>
      </x:c>
      <x:c r="F1960" s="16" t="str">
        <x:f>IF(AND(ISNUMBER(C1960),ISNUMBER($J$6),$J$6&gt;0),(C1960-$J$5)/$J$6,"")</x:f>
      </x:c>
      <x:c r="G1960" s="1" t="str">
        <x:f>IF(ISNUMBER(F1960),IF(ABS(F1960)&gt;3,1,0),"")</x:f>
      </x:c>
      <x:c r="H1960" s="1" t="str">
        <x:f>IF(ISNUMBER(F1960),F1960^4,"")</x:f>
      </x:c>
      <x:c r="I1960" s="1"/>
      <x:c r="J1960" s="1"/>
      <x:c r="K1960" s="1"/>
      <x:c r="L1960" s="1"/>
      <x:c r="M1960" s="1"/>
      <x:c r="N1960" s="1"/>
    </x:row>
    <x:row r="1961" ht="22" customHeight="1">
      <x:c r="A1961" s="14"/>
      <x:c r="B1961" s="15"/>
      <x:c r="C1961" s="16" t="str">
        <x:f>IF(AND(ISNUMBER(B1961),ISNUMBER(B1960),B1961&gt;0,B1960&gt;0),LN(B1961/B1960),"")</x:f>
      </x:c>
      <x:c r="D1961" s="16" t="str">
        <x:f>IF(ISNUMBER(C1961),ABS(C1961),"")</x:f>
      </x:c>
      <x:c r="E1961" s="16" t="str">
        <x:f>IF(ISNUMBER(C1961),C1961^2,"")</x:f>
      </x:c>
      <x:c r="F1961" s="16" t="str">
        <x:f>IF(AND(ISNUMBER(C1961),ISNUMBER($J$6),$J$6&gt;0),(C1961-$J$5)/$J$6,"")</x:f>
      </x:c>
      <x:c r="G1961" s="1" t="str">
        <x:f>IF(ISNUMBER(F1961),IF(ABS(F1961)&gt;3,1,0),"")</x:f>
      </x:c>
      <x:c r="H1961" s="1" t="str">
        <x:f>IF(ISNUMBER(F1961),F1961^4,"")</x:f>
      </x:c>
      <x:c r="I1961" s="1"/>
      <x:c r="J1961" s="1"/>
      <x:c r="K1961" s="1"/>
      <x:c r="L1961" s="1"/>
      <x:c r="M1961" s="1"/>
      <x:c r="N1961" s="1"/>
    </x:row>
    <x:row r="1962" ht="22" customHeight="1">
      <x:c r="A1962" s="14"/>
      <x:c r="B1962" s="15"/>
      <x:c r="C1962" s="16" t="str">
        <x:f>IF(AND(ISNUMBER(B1962),ISNUMBER(B1961),B1962&gt;0,B1961&gt;0),LN(B1962/B1961),"")</x:f>
      </x:c>
      <x:c r="D1962" s="16" t="str">
        <x:f>IF(ISNUMBER(C1962),ABS(C1962),"")</x:f>
      </x:c>
      <x:c r="E1962" s="16" t="str">
        <x:f>IF(ISNUMBER(C1962),C1962^2,"")</x:f>
      </x:c>
      <x:c r="F1962" s="16" t="str">
        <x:f>IF(AND(ISNUMBER(C1962),ISNUMBER($J$6),$J$6&gt;0),(C1962-$J$5)/$J$6,"")</x:f>
      </x:c>
      <x:c r="G1962" s="1" t="str">
        <x:f>IF(ISNUMBER(F1962),IF(ABS(F1962)&gt;3,1,0),"")</x:f>
      </x:c>
      <x:c r="H1962" s="1" t="str">
        <x:f>IF(ISNUMBER(F1962),F1962^4,"")</x:f>
      </x:c>
      <x:c r="I1962" s="1"/>
      <x:c r="J1962" s="1"/>
      <x:c r="K1962" s="1"/>
      <x:c r="L1962" s="1"/>
      <x:c r="M1962" s="1"/>
      <x:c r="N1962" s="1"/>
    </x:row>
    <x:row r="1963" ht="22" customHeight="1">
      <x:c r="A1963" s="14"/>
      <x:c r="B1963" s="15"/>
      <x:c r="C1963" s="16" t="str">
        <x:f>IF(AND(ISNUMBER(B1963),ISNUMBER(B1962),B1963&gt;0,B1962&gt;0),LN(B1963/B1962),"")</x:f>
      </x:c>
      <x:c r="D1963" s="16" t="str">
        <x:f>IF(ISNUMBER(C1963),ABS(C1963),"")</x:f>
      </x:c>
      <x:c r="E1963" s="16" t="str">
        <x:f>IF(ISNUMBER(C1963),C1963^2,"")</x:f>
      </x:c>
      <x:c r="F1963" s="16" t="str">
        <x:f>IF(AND(ISNUMBER(C1963),ISNUMBER($J$6),$J$6&gt;0),(C1963-$J$5)/$J$6,"")</x:f>
      </x:c>
      <x:c r="G1963" s="1" t="str">
        <x:f>IF(ISNUMBER(F1963),IF(ABS(F1963)&gt;3,1,0),"")</x:f>
      </x:c>
      <x:c r="H1963" s="1" t="str">
        <x:f>IF(ISNUMBER(F1963),F1963^4,"")</x:f>
      </x:c>
      <x:c r="I1963" s="1"/>
      <x:c r="J1963" s="1"/>
      <x:c r="K1963" s="1"/>
      <x:c r="L1963" s="1"/>
      <x:c r="M1963" s="1"/>
      <x:c r="N1963" s="1"/>
    </x:row>
    <x:row r="1964" ht="22" customHeight="1">
      <x:c r="A1964" s="14"/>
      <x:c r="B1964" s="15"/>
      <x:c r="C1964" s="16" t="str">
        <x:f>IF(AND(ISNUMBER(B1964),ISNUMBER(B1963),B1964&gt;0,B1963&gt;0),LN(B1964/B1963),"")</x:f>
      </x:c>
      <x:c r="D1964" s="16" t="str">
        <x:f>IF(ISNUMBER(C1964),ABS(C1964),"")</x:f>
      </x:c>
      <x:c r="E1964" s="16" t="str">
        <x:f>IF(ISNUMBER(C1964),C1964^2,"")</x:f>
      </x:c>
      <x:c r="F1964" s="16" t="str">
        <x:f>IF(AND(ISNUMBER(C1964),ISNUMBER($J$6),$J$6&gt;0),(C1964-$J$5)/$J$6,"")</x:f>
      </x:c>
      <x:c r="G1964" s="1" t="str">
        <x:f>IF(ISNUMBER(F1964),IF(ABS(F1964)&gt;3,1,0),"")</x:f>
      </x:c>
      <x:c r="H1964" s="1" t="str">
        <x:f>IF(ISNUMBER(F1964),F1964^4,"")</x:f>
      </x:c>
      <x:c r="I1964" s="1"/>
      <x:c r="J1964" s="1"/>
      <x:c r="K1964" s="1"/>
      <x:c r="L1964" s="1"/>
      <x:c r="M1964" s="1"/>
      <x:c r="N1964" s="1"/>
    </x:row>
    <x:row r="1965" ht="22" customHeight="1">
      <x:c r="A1965" s="14"/>
      <x:c r="B1965" s="15"/>
      <x:c r="C1965" s="16" t="str">
        <x:f>IF(AND(ISNUMBER(B1965),ISNUMBER(B1964),B1965&gt;0,B1964&gt;0),LN(B1965/B1964),"")</x:f>
      </x:c>
      <x:c r="D1965" s="16" t="str">
        <x:f>IF(ISNUMBER(C1965),ABS(C1965),"")</x:f>
      </x:c>
      <x:c r="E1965" s="16" t="str">
        <x:f>IF(ISNUMBER(C1965),C1965^2,"")</x:f>
      </x:c>
      <x:c r="F1965" s="16" t="str">
        <x:f>IF(AND(ISNUMBER(C1965),ISNUMBER($J$6),$J$6&gt;0),(C1965-$J$5)/$J$6,"")</x:f>
      </x:c>
      <x:c r="G1965" s="1" t="str">
        <x:f>IF(ISNUMBER(F1965),IF(ABS(F1965)&gt;3,1,0),"")</x:f>
      </x:c>
      <x:c r="H1965" s="1" t="str">
        <x:f>IF(ISNUMBER(F1965),F1965^4,"")</x:f>
      </x:c>
      <x:c r="I1965" s="1"/>
      <x:c r="J1965" s="1"/>
      <x:c r="K1965" s="1"/>
      <x:c r="L1965" s="1"/>
      <x:c r="M1965" s="1"/>
      <x:c r="N1965" s="1"/>
    </x:row>
    <x:row r="1966" ht="22" customHeight="1">
      <x:c r="A1966" s="14"/>
      <x:c r="B1966" s="15"/>
      <x:c r="C1966" s="16" t="str">
        <x:f>IF(AND(ISNUMBER(B1966),ISNUMBER(B1965),B1966&gt;0,B1965&gt;0),LN(B1966/B1965),"")</x:f>
      </x:c>
      <x:c r="D1966" s="16" t="str">
        <x:f>IF(ISNUMBER(C1966),ABS(C1966),"")</x:f>
      </x:c>
      <x:c r="E1966" s="16" t="str">
        <x:f>IF(ISNUMBER(C1966),C1966^2,"")</x:f>
      </x:c>
      <x:c r="F1966" s="16" t="str">
        <x:f>IF(AND(ISNUMBER(C1966),ISNUMBER($J$6),$J$6&gt;0),(C1966-$J$5)/$J$6,"")</x:f>
      </x:c>
      <x:c r="G1966" s="1" t="str">
        <x:f>IF(ISNUMBER(F1966),IF(ABS(F1966)&gt;3,1,0),"")</x:f>
      </x:c>
      <x:c r="H1966" s="1" t="str">
        <x:f>IF(ISNUMBER(F1966),F1966^4,"")</x:f>
      </x:c>
      <x:c r="I1966" s="1"/>
      <x:c r="J1966" s="1"/>
      <x:c r="K1966" s="1"/>
      <x:c r="L1966" s="1"/>
      <x:c r="M1966" s="1"/>
      <x:c r="N1966" s="1"/>
    </x:row>
    <x:row r="1967" ht="22" customHeight="1">
      <x:c r="A1967" s="14"/>
      <x:c r="B1967" s="15"/>
      <x:c r="C1967" s="16" t="str">
        <x:f>IF(AND(ISNUMBER(B1967),ISNUMBER(B1966),B1967&gt;0,B1966&gt;0),LN(B1967/B1966),"")</x:f>
      </x:c>
      <x:c r="D1967" s="16" t="str">
        <x:f>IF(ISNUMBER(C1967),ABS(C1967),"")</x:f>
      </x:c>
      <x:c r="E1967" s="16" t="str">
        <x:f>IF(ISNUMBER(C1967),C1967^2,"")</x:f>
      </x:c>
      <x:c r="F1967" s="16" t="str">
        <x:f>IF(AND(ISNUMBER(C1967),ISNUMBER($J$6),$J$6&gt;0),(C1967-$J$5)/$J$6,"")</x:f>
      </x:c>
      <x:c r="G1967" s="1" t="str">
        <x:f>IF(ISNUMBER(F1967),IF(ABS(F1967)&gt;3,1,0),"")</x:f>
      </x:c>
      <x:c r="H1967" s="1" t="str">
        <x:f>IF(ISNUMBER(F1967),F1967^4,"")</x:f>
      </x:c>
      <x:c r="I1967" s="1"/>
      <x:c r="J1967" s="1"/>
      <x:c r="K1967" s="1"/>
      <x:c r="L1967" s="1"/>
      <x:c r="M1967" s="1"/>
      <x:c r="N1967" s="1"/>
    </x:row>
    <x:row r="1968" ht="22" customHeight="1">
      <x:c r="A1968" s="14"/>
      <x:c r="B1968" s="15"/>
      <x:c r="C1968" s="16" t="str">
        <x:f>IF(AND(ISNUMBER(B1968),ISNUMBER(B1967),B1968&gt;0,B1967&gt;0),LN(B1968/B1967),"")</x:f>
      </x:c>
      <x:c r="D1968" s="16" t="str">
        <x:f>IF(ISNUMBER(C1968),ABS(C1968),"")</x:f>
      </x:c>
      <x:c r="E1968" s="16" t="str">
        <x:f>IF(ISNUMBER(C1968),C1968^2,"")</x:f>
      </x:c>
      <x:c r="F1968" s="16" t="str">
        <x:f>IF(AND(ISNUMBER(C1968),ISNUMBER($J$6),$J$6&gt;0),(C1968-$J$5)/$J$6,"")</x:f>
      </x:c>
      <x:c r="G1968" s="1" t="str">
        <x:f>IF(ISNUMBER(F1968),IF(ABS(F1968)&gt;3,1,0),"")</x:f>
      </x:c>
      <x:c r="H1968" s="1" t="str">
        <x:f>IF(ISNUMBER(F1968),F1968^4,"")</x:f>
      </x:c>
      <x:c r="I1968" s="1"/>
      <x:c r="J1968" s="1"/>
      <x:c r="K1968" s="1"/>
      <x:c r="L1968" s="1"/>
      <x:c r="M1968" s="1"/>
      <x:c r="N1968" s="1"/>
    </x:row>
    <x:row r="1969" ht="22" customHeight="1">
      <x:c r="A1969" s="14"/>
      <x:c r="B1969" s="15"/>
      <x:c r="C1969" s="16" t="str">
        <x:f>IF(AND(ISNUMBER(B1969),ISNUMBER(B1968),B1969&gt;0,B1968&gt;0),LN(B1969/B1968),"")</x:f>
      </x:c>
      <x:c r="D1969" s="16" t="str">
        <x:f>IF(ISNUMBER(C1969),ABS(C1969),"")</x:f>
      </x:c>
      <x:c r="E1969" s="16" t="str">
        <x:f>IF(ISNUMBER(C1969),C1969^2,"")</x:f>
      </x:c>
      <x:c r="F1969" s="16" t="str">
        <x:f>IF(AND(ISNUMBER(C1969),ISNUMBER($J$6),$J$6&gt;0),(C1969-$J$5)/$J$6,"")</x:f>
      </x:c>
      <x:c r="G1969" s="1" t="str">
        <x:f>IF(ISNUMBER(F1969),IF(ABS(F1969)&gt;3,1,0),"")</x:f>
      </x:c>
      <x:c r="H1969" s="1" t="str">
        <x:f>IF(ISNUMBER(F1969),F1969^4,"")</x:f>
      </x:c>
      <x:c r="I1969" s="1"/>
      <x:c r="J1969" s="1"/>
      <x:c r="K1969" s="1"/>
      <x:c r="L1969" s="1"/>
      <x:c r="M1969" s="1"/>
      <x:c r="N1969" s="1"/>
    </x:row>
    <x:row r="1970" ht="22" customHeight="1">
      <x:c r="A1970" s="14"/>
      <x:c r="B1970" s="15"/>
      <x:c r="C1970" s="16" t="str">
        <x:f>IF(AND(ISNUMBER(B1970),ISNUMBER(B1969),B1970&gt;0,B1969&gt;0),LN(B1970/B1969),"")</x:f>
      </x:c>
      <x:c r="D1970" s="16" t="str">
        <x:f>IF(ISNUMBER(C1970),ABS(C1970),"")</x:f>
      </x:c>
      <x:c r="E1970" s="16" t="str">
        <x:f>IF(ISNUMBER(C1970),C1970^2,"")</x:f>
      </x:c>
      <x:c r="F1970" s="16" t="str">
        <x:f>IF(AND(ISNUMBER(C1970),ISNUMBER($J$6),$J$6&gt;0),(C1970-$J$5)/$J$6,"")</x:f>
      </x:c>
      <x:c r="G1970" s="1" t="str">
        <x:f>IF(ISNUMBER(F1970),IF(ABS(F1970)&gt;3,1,0),"")</x:f>
      </x:c>
      <x:c r="H1970" s="1" t="str">
        <x:f>IF(ISNUMBER(F1970),F1970^4,"")</x:f>
      </x:c>
      <x:c r="I1970" s="1"/>
      <x:c r="J1970" s="1"/>
      <x:c r="K1970" s="1"/>
      <x:c r="L1970" s="1"/>
      <x:c r="M1970" s="1"/>
      <x:c r="N1970" s="1"/>
    </x:row>
    <x:row r="1971" ht="22" customHeight="1">
      <x:c r="A1971" s="14"/>
      <x:c r="B1971" s="15"/>
      <x:c r="C1971" s="16" t="str">
        <x:f>IF(AND(ISNUMBER(B1971),ISNUMBER(B1970),B1971&gt;0,B1970&gt;0),LN(B1971/B1970),"")</x:f>
      </x:c>
      <x:c r="D1971" s="16" t="str">
        <x:f>IF(ISNUMBER(C1971),ABS(C1971),"")</x:f>
      </x:c>
      <x:c r="E1971" s="16" t="str">
        <x:f>IF(ISNUMBER(C1971),C1971^2,"")</x:f>
      </x:c>
      <x:c r="F1971" s="16" t="str">
        <x:f>IF(AND(ISNUMBER(C1971),ISNUMBER($J$6),$J$6&gt;0),(C1971-$J$5)/$J$6,"")</x:f>
      </x:c>
      <x:c r="G1971" s="1" t="str">
        <x:f>IF(ISNUMBER(F1971),IF(ABS(F1971)&gt;3,1,0),"")</x:f>
      </x:c>
      <x:c r="H1971" s="1" t="str">
        <x:f>IF(ISNUMBER(F1971),F1971^4,"")</x:f>
      </x:c>
      <x:c r="I1971" s="1"/>
      <x:c r="J1971" s="1"/>
      <x:c r="K1971" s="1"/>
      <x:c r="L1971" s="1"/>
      <x:c r="M1971" s="1"/>
      <x:c r="N1971" s="1"/>
    </x:row>
    <x:row r="1972" ht="22" customHeight="1">
      <x:c r="A1972" s="14"/>
      <x:c r="B1972" s="15"/>
      <x:c r="C1972" s="16" t="str">
        <x:f>IF(AND(ISNUMBER(B1972),ISNUMBER(B1971),B1972&gt;0,B1971&gt;0),LN(B1972/B1971),"")</x:f>
      </x:c>
      <x:c r="D1972" s="16" t="str">
        <x:f>IF(ISNUMBER(C1972),ABS(C1972),"")</x:f>
      </x:c>
      <x:c r="E1972" s="16" t="str">
        <x:f>IF(ISNUMBER(C1972),C1972^2,"")</x:f>
      </x:c>
      <x:c r="F1972" s="16" t="str">
        <x:f>IF(AND(ISNUMBER(C1972),ISNUMBER($J$6),$J$6&gt;0),(C1972-$J$5)/$J$6,"")</x:f>
      </x:c>
      <x:c r="G1972" s="1" t="str">
        <x:f>IF(ISNUMBER(F1972),IF(ABS(F1972)&gt;3,1,0),"")</x:f>
      </x:c>
      <x:c r="H1972" s="1" t="str">
        <x:f>IF(ISNUMBER(F1972),F1972^4,"")</x:f>
      </x:c>
      <x:c r="I1972" s="1"/>
      <x:c r="J1972" s="1"/>
      <x:c r="K1972" s="1"/>
      <x:c r="L1972" s="1"/>
      <x:c r="M1972" s="1"/>
      <x:c r="N1972" s="1"/>
    </x:row>
    <x:row r="1973" ht="22" customHeight="1">
      <x:c r="A1973" s="14"/>
      <x:c r="B1973" s="15"/>
      <x:c r="C1973" s="16" t="str">
        <x:f>IF(AND(ISNUMBER(B1973),ISNUMBER(B1972),B1973&gt;0,B1972&gt;0),LN(B1973/B1972),"")</x:f>
      </x:c>
      <x:c r="D1973" s="16" t="str">
        <x:f>IF(ISNUMBER(C1973),ABS(C1973),"")</x:f>
      </x:c>
      <x:c r="E1973" s="16" t="str">
        <x:f>IF(ISNUMBER(C1973),C1973^2,"")</x:f>
      </x:c>
      <x:c r="F1973" s="16" t="str">
        <x:f>IF(AND(ISNUMBER(C1973),ISNUMBER($J$6),$J$6&gt;0),(C1973-$J$5)/$J$6,"")</x:f>
      </x:c>
      <x:c r="G1973" s="1" t="str">
        <x:f>IF(ISNUMBER(F1973),IF(ABS(F1973)&gt;3,1,0),"")</x:f>
      </x:c>
      <x:c r="H1973" s="1" t="str">
        <x:f>IF(ISNUMBER(F1973),F1973^4,"")</x:f>
      </x:c>
      <x:c r="I1973" s="1"/>
      <x:c r="J1973" s="1"/>
      <x:c r="K1973" s="1"/>
      <x:c r="L1973" s="1"/>
      <x:c r="M1973" s="1"/>
      <x:c r="N1973" s="1"/>
    </x:row>
    <x:row r="1974" ht="22" customHeight="1">
      <x:c r="A1974" s="14"/>
      <x:c r="B1974" s="15"/>
      <x:c r="C1974" s="16" t="str">
        <x:f>IF(AND(ISNUMBER(B1974),ISNUMBER(B1973),B1974&gt;0,B1973&gt;0),LN(B1974/B1973),"")</x:f>
      </x:c>
      <x:c r="D1974" s="16" t="str">
        <x:f>IF(ISNUMBER(C1974),ABS(C1974),"")</x:f>
      </x:c>
      <x:c r="E1974" s="16" t="str">
        <x:f>IF(ISNUMBER(C1974),C1974^2,"")</x:f>
      </x:c>
      <x:c r="F1974" s="16" t="str">
        <x:f>IF(AND(ISNUMBER(C1974),ISNUMBER($J$6),$J$6&gt;0),(C1974-$J$5)/$J$6,"")</x:f>
      </x:c>
      <x:c r="G1974" s="1" t="str">
        <x:f>IF(ISNUMBER(F1974),IF(ABS(F1974)&gt;3,1,0),"")</x:f>
      </x:c>
      <x:c r="H1974" s="1" t="str">
        <x:f>IF(ISNUMBER(F1974),F1974^4,"")</x:f>
      </x:c>
      <x:c r="I1974" s="1"/>
      <x:c r="J1974" s="1"/>
      <x:c r="K1974" s="1"/>
      <x:c r="L1974" s="1"/>
      <x:c r="M1974" s="1"/>
      <x:c r="N1974" s="1"/>
    </x:row>
    <x:row r="1975" ht="22" customHeight="1">
      <x:c r="A1975" s="14"/>
      <x:c r="B1975" s="15"/>
      <x:c r="C1975" s="16" t="str">
        <x:f>IF(AND(ISNUMBER(B1975),ISNUMBER(B1974),B1975&gt;0,B1974&gt;0),LN(B1975/B1974),"")</x:f>
      </x:c>
      <x:c r="D1975" s="16" t="str">
        <x:f>IF(ISNUMBER(C1975),ABS(C1975),"")</x:f>
      </x:c>
      <x:c r="E1975" s="16" t="str">
        <x:f>IF(ISNUMBER(C1975),C1975^2,"")</x:f>
      </x:c>
      <x:c r="F1975" s="16" t="str">
        <x:f>IF(AND(ISNUMBER(C1975),ISNUMBER($J$6),$J$6&gt;0),(C1975-$J$5)/$J$6,"")</x:f>
      </x:c>
      <x:c r="G1975" s="1" t="str">
        <x:f>IF(ISNUMBER(F1975),IF(ABS(F1975)&gt;3,1,0),"")</x:f>
      </x:c>
      <x:c r="H1975" s="1" t="str">
        <x:f>IF(ISNUMBER(F1975),F1975^4,"")</x:f>
      </x:c>
      <x:c r="I1975" s="1"/>
      <x:c r="J1975" s="1"/>
      <x:c r="K1975" s="1"/>
      <x:c r="L1975" s="1"/>
      <x:c r="M1975" s="1"/>
      <x:c r="N1975" s="1"/>
    </x:row>
    <x:row r="1976" ht="22" customHeight="1">
      <x:c r="A1976" s="14"/>
      <x:c r="B1976" s="15"/>
      <x:c r="C1976" s="16" t="str">
        <x:f>IF(AND(ISNUMBER(B1976),ISNUMBER(B1975),B1976&gt;0,B1975&gt;0),LN(B1976/B1975),"")</x:f>
      </x:c>
      <x:c r="D1976" s="16" t="str">
        <x:f>IF(ISNUMBER(C1976),ABS(C1976),"")</x:f>
      </x:c>
      <x:c r="E1976" s="16" t="str">
        <x:f>IF(ISNUMBER(C1976),C1976^2,"")</x:f>
      </x:c>
      <x:c r="F1976" s="16" t="str">
        <x:f>IF(AND(ISNUMBER(C1976),ISNUMBER($J$6),$J$6&gt;0),(C1976-$J$5)/$J$6,"")</x:f>
      </x:c>
      <x:c r="G1976" s="1" t="str">
        <x:f>IF(ISNUMBER(F1976),IF(ABS(F1976)&gt;3,1,0),"")</x:f>
      </x:c>
      <x:c r="H1976" s="1" t="str">
        <x:f>IF(ISNUMBER(F1976),F1976^4,"")</x:f>
      </x:c>
      <x:c r="I1976" s="1"/>
      <x:c r="J1976" s="1"/>
      <x:c r="K1976" s="1"/>
      <x:c r="L1976" s="1"/>
      <x:c r="M1976" s="1"/>
      <x:c r="N1976" s="1"/>
    </x:row>
    <x:row r="1977" ht="22" customHeight="1">
      <x:c r="A1977" s="14"/>
      <x:c r="B1977" s="15"/>
      <x:c r="C1977" s="16" t="str">
        <x:f>IF(AND(ISNUMBER(B1977),ISNUMBER(B1976),B1977&gt;0,B1976&gt;0),LN(B1977/B1976),"")</x:f>
      </x:c>
      <x:c r="D1977" s="16" t="str">
        <x:f>IF(ISNUMBER(C1977),ABS(C1977),"")</x:f>
      </x:c>
      <x:c r="E1977" s="16" t="str">
        <x:f>IF(ISNUMBER(C1977),C1977^2,"")</x:f>
      </x:c>
      <x:c r="F1977" s="16" t="str">
        <x:f>IF(AND(ISNUMBER(C1977),ISNUMBER($J$6),$J$6&gt;0),(C1977-$J$5)/$J$6,"")</x:f>
      </x:c>
      <x:c r="G1977" s="1" t="str">
        <x:f>IF(ISNUMBER(F1977),IF(ABS(F1977)&gt;3,1,0),"")</x:f>
      </x:c>
      <x:c r="H1977" s="1" t="str">
        <x:f>IF(ISNUMBER(F1977),F1977^4,"")</x:f>
      </x:c>
      <x:c r="I1977" s="1"/>
      <x:c r="J1977" s="1"/>
      <x:c r="K1977" s="1"/>
      <x:c r="L1977" s="1"/>
      <x:c r="M1977" s="1"/>
      <x:c r="N1977" s="1"/>
    </x:row>
    <x:row r="1978" ht="22" customHeight="1">
      <x:c r="A1978" s="14"/>
      <x:c r="B1978" s="15"/>
      <x:c r="C1978" s="16" t="str">
        <x:f>IF(AND(ISNUMBER(B1978),ISNUMBER(B1977),B1978&gt;0,B1977&gt;0),LN(B1978/B1977),"")</x:f>
      </x:c>
      <x:c r="D1978" s="16" t="str">
        <x:f>IF(ISNUMBER(C1978),ABS(C1978),"")</x:f>
      </x:c>
      <x:c r="E1978" s="16" t="str">
        <x:f>IF(ISNUMBER(C1978),C1978^2,"")</x:f>
      </x:c>
      <x:c r="F1978" s="16" t="str">
        <x:f>IF(AND(ISNUMBER(C1978),ISNUMBER($J$6),$J$6&gt;0),(C1978-$J$5)/$J$6,"")</x:f>
      </x:c>
      <x:c r="G1978" s="1" t="str">
        <x:f>IF(ISNUMBER(F1978),IF(ABS(F1978)&gt;3,1,0),"")</x:f>
      </x:c>
      <x:c r="H1978" s="1" t="str">
        <x:f>IF(ISNUMBER(F1978),F1978^4,"")</x:f>
      </x:c>
      <x:c r="I1978" s="1"/>
      <x:c r="J1978" s="1"/>
      <x:c r="K1978" s="1"/>
      <x:c r="L1978" s="1"/>
      <x:c r="M1978" s="1"/>
      <x:c r="N1978" s="1"/>
    </x:row>
    <x:row r="1979" ht="22" customHeight="1">
      <x:c r="A1979" s="14"/>
      <x:c r="B1979" s="15"/>
      <x:c r="C1979" s="16" t="str">
        <x:f>IF(AND(ISNUMBER(B1979),ISNUMBER(B1978),B1979&gt;0,B1978&gt;0),LN(B1979/B1978),"")</x:f>
      </x:c>
      <x:c r="D1979" s="16" t="str">
        <x:f>IF(ISNUMBER(C1979),ABS(C1979),"")</x:f>
      </x:c>
      <x:c r="E1979" s="16" t="str">
        <x:f>IF(ISNUMBER(C1979),C1979^2,"")</x:f>
      </x:c>
      <x:c r="F1979" s="16" t="str">
        <x:f>IF(AND(ISNUMBER(C1979),ISNUMBER($J$6),$J$6&gt;0),(C1979-$J$5)/$J$6,"")</x:f>
      </x:c>
      <x:c r="G1979" s="1" t="str">
        <x:f>IF(ISNUMBER(F1979),IF(ABS(F1979)&gt;3,1,0),"")</x:f>
      </x:c>
      <x:c r="H1979" s="1" t="str">
        <x:f>IF(ISNUMBER(F1979),F1979^4,"")</x:f>
      </x:c>
      <x:c r="I1979" s="1"/>
      <x:c r="J1979" s="1"/>
      <x:c r="K1979" s="1"/>
      <x:c r="L1979" s="1"/>
      <x:c r="M1979" s="1"/>
      <x:c r="N1979" s="1"/>
    </x:row>
    <x:row r="1980" ht="22" customHeight="1">
      <x:c r="A1980" s="14"/>
      <x:c r="B1980" s="15"/>
      <x:c r="C1980" s="16" t="str">
        <x:f>IF(AND(ISNUMBER(B1980),ISNUMBER(B1979),B1980&gt;0,B1979&gt;0),LN(B1980/B1979),"")</x:f>
      </x:c>
      <x:c r="D1980" s="16" t="str">
        <x:f>IF(ISNUMBER(C1980),ABS(C1980),"")</x:f>
      </x:c>
      <x:c r="E1980" s="16" t="str">
        <x:f>IF(ISNUMBER(C1980),C1980^2,"")</x:f>
      </x:c>
      <x:c r="F1980" s="16" t="str">
        <x:f>IF(AND(ISNUMBER(C1980),ISNUMBER($J$6),$J$6&gt;0),(C1980-$J$5)/$J$6,"")</x:f>
      </x:c>
      <x:c r="G1980" s="1" t="str">
        <x:f>IF(ISNUMBER(F1980),IF(ABS(F1980)&gt;3,1,0),"")</x:f>
      </x:c>
      <x:c r="H1980" s="1" t="str">
        <x:f>IF(ISNUMBER(F1980),F1980^4,"")</x:f>
      </x:c>
      <x:c r="I1980" s="1"/>
      <x:c r="J1980" s="1"/>
      <x:c r="K1980" s="1"/>
      <x:c r="L1980" s="1"/>
      <x:c r="M1980" s="1"/>
      <x:c r="N1980" s="1"/>
    </x:row>
    <x:row r="1981" ht="22" customHeight="1">
      <x:c r="A1981" s="14"/>
      <x:c r="B1981" s="15"/>
      <x:c r="C1981" s="16" t="str">
        <x:f>IF(AND(ISNUMBER(B1981),ISNUMBER(B1980),B1981&gt;0,B1980&gt;0),LN(B1981/B1980),"")</x:f>
      </x:c>
      <x:c r="D1981" s="16" t="str">
        <x:f>IF(ISNUMBER(C1981),ABS(C1981),"")</x:f>
      </x:c>
      <x:c r="E1981" s="16" t="str">
        <x:f>IF(ISNUMBER(C1981),C1981^2,"")</x:f>
      </x:c>
      <x:c r="F1981" s="16" t="str">
        <x:f>IF(AND(ISNUMBER(C1981),ISNUMBER($J$6),$J$6&gt;0),(C1981-$J$5)/$J$6,"")</x:f>
      </x:c>
      <x:c r="G1981" s="1" t="str">
        <x:f>IF(ISNUMBER(F1981),IF(ABS(F1981)&gt;3,1,0),"")</x:f>
      </x:c>
      <x:c r="H1981" s="1" t="str">
        <x:f>IF(ISNUMBER(F1981),F1981^4,"")</x:f>
      </x:c>
      <x:c r="I1981" s="1"/>
      <x:c r="J1981" s="1"/>
      <x:c r="K1981" s="1"/>
      <x:c r="L1981" s="1"/>
      <x:c r="M1981" s="1"/>
      <x:c r="N1981" s="1"/>
    </x:row>
    <x:row r="1982" ht="22" customHeight="1">
      <x:c r="A1982" s="14"/>
      <x:c r="B1982" s="15"/>
      <x:c r="C1982" s="16" t="str">
        <x:f>IF(AND(ISNUMBER(B1982),ISNUMBER(B1981),B1982&gt;0,B1981&gt;0),LN(B1982/B1981),"")</x:f>
      </x:c>
      <x:c r="D1982" s="16" t="str">
        <x:f>IF(ISNUMBER(C1982),ABS(C1982),"")</x:f>
      </x:c>
      <x:c r="E1982" s="16" t="str">
        <x:f>IF(ISNUMBER(C1982),C1982^2,"")</x:f>
      </x:c>
      <x:c r="F1982" s="16" t="str">
        <x:f>IF(AND(ISNUMBER(C1982),ISNUMBER($J$6),$J$6&gt;0),(C1982-$J$5)/$J$6,"")</x:f>
      </x:c>
      <x:c r="G1982" s="1" t="str">
        <x:f>IF(ISNUMBER(F1982),IF(ABS(F1982)&gt;3,1,0),"")</x:f>
      </x:c>
      <x:c r="H1982" s="1" t="str">
        <x:f>IF(ISNUMBER(F1982),F1982^4,"")</x:f>
      </x:c>
      <x:c r="I1982" s="1"/>
      <x:c r="J1982" s="1"/>
      <x:c r="K1982" s="1"/>
      <x:c r="L1982" s="1"/>
      <x:c r="M1982" s="1"/>
      <x:c r="N1982" s="1"/>
    </x:row>
    <x:row r="1983" ht="22" customHeight="1">
      <x:c r="A1983" s="14"/>
      <x:c r="B1983" s="15"/>
      <x:c r="C1983" s="16" t="str">
        <x:f>IF(AND(ISNUMBER(B1983),ISNUMBER(B1982),B1983&gt;0,B1982&gt;0),LN(B1983/B1982),"")</x:f>
      </x:c>
      <x:c r="D1983" s="16" t="str">
        <x:f>IF(ISNUMBER(C1983),ABS(C1983),"")</x:f>
      </x:c>
      <x:c r="E1983" s="16" t="str">
        <x:f>IF(ISNUMBER(C1983),C1983^2,"")</x:f>
      </x:c>
      <x:c r="F1983" s="16" t="str">
        <x:f>IF(AND(ISNUMBER(C1983),ISNUMBER($J$6),$J$6&gt;0),(C1983-$J$5)/$J$6,"")</x:f>
      </x:c>
      <x:c r="G1983" s="1" t="str">
        <x:f>IF(ISNUMBER(F1983),IF(ABS(F1983)&gt;3,1,0),"")</x:f>
      </x:c>
      <x:c r="H1983" s="1" t="str">
        <x:f>IF(ISNUMBER(F1983),F1983^4,"")</x:f>
      </x:c>
      <x:c r="I1983" s="1"/>
      <x:c r="J1983" s="1"/>
      <x:c r="K1983" s="1"/>
      <x:c r="L1983" s="1"/>
      <x:c r="M1983" s="1"/>
      <x:c r="N1983" s="1"/>
    </x:row>
    <x:row r="1984" ht="22" customHeight="1">
      <x:c r="A1984" s="14"/>
      <x:c r="B1984" s="15"/>
      <x:c r="C1984" s="16" t="str">
        <x:f>IF(AND(ISNUMBER(B1984),ISNUMBER(B1983),B1984&gt;0,B1983&gt;0),LN(B1984/B1983),"")</x:f>
      </x:c>
      <x:c r="D1984" s="16" t="str">
        <x:f>IF(ISNUMBER(C1984),ABS(C1984),"")</x:f>
      </x:c>
      <x:c r="E1984" s="16" t="str">
        <x:f>IF(ISNUMBER(C1984),C1984^2,"")</x:f>
      </x:c>
      <x:c r="F1984" s="16" t="str">
        <x:f>IF(AND(ISNUMBER(C1984),ISNUMBER($J$6),$J$6&gt;0),(C1984-$J$5)/$J$6,"")</x:f>
      </x:c>
      <x:c r="G1984" s="1" t="str">
        <x:f>IF(ISNUMBER(F1984),IF(ABS(F1984)&gt;3,1,0),"")</x:f>
      </x:c>
      <x:c r="H1984" s="1" t="str">
        <x:f>IF(ISNUMBER(F1984),F1984^4,"")</x:f>
      </x:c>
      <x:c r="I1984" s="1"/>
      <x:c r="J1984" s="1"/>
      <x:c r="K1984" s="1"/>
      <x:c r="L1984" s="1"/>
      <x:c r="M1984" s="1"/>
      <x:c r="N1984" s="1"/>
    </x:row>
    <x:row r="1985" ht="22" customHeight="1">
      <x:c r="A1985" s="14"/>
      <x:c r="B1985" s="15"/>
      <x:c r="C1985" s="16" t="str">
        <x:f>IF(AND(ISNUMBER(B1985),ISNUMBER(B1984),B1985&gt;0,B1984&gt;0),LN(B1985/B1984),"")</x:f>
      </x:c>
      <x:c r="D1985" s="16" t="str">
        <x:f>IF(ISNUMBER(C1985),ABS(C1985),"")</x:f>
      </x:c>
      <x:c r="E1985" s="16" t="str">
        <x:f>IF(ISNUMBER(C1985),C1985^2,"")</x:f>
      </x:c>
      <x:c r="F1985" s="16" t="str">
        <x:f>IF(AND(ISNUMBER(C1985),ISNUMBER($J$6),$J$6&gt;0),(C1985-$J$5)/$J$6,"")</x:f>
      </x:c>
      <x:c r="G1985" s="1" t="str">
        <x:f>IF(ISNUMBER(F1985),IF(ABS(F1985)&gt;3,1,0),"")</x:f>
      </x:c>
      <x:c r="H1985" s="1" t="str">
        <x:f>IF(ISNUMBER(F1985),F1985^4,"")</x:f>
      </x:c>
      <x:c r="I1985" s="1"/>
      <x:c r="J1985" s="1"/>
      <x:c r="K1985" s="1"/>
      <x:c r="L1985" s="1"/>
      <x:c r="M1985" s="1"/>
      <x:c r="N1985" s="1"/>
    </x:row>
    <x:row r="1986" ht="22" customHeight="1">
      <x:c r="A1986" s="14"/>
      <x:c r="B1986" s="15"/>
      <x:c r="C1986" s="16" t="str">
        <x:f>IF(AND(ISNUMBER(B1986),ISNUMBER(B1985),B1986&gt;0,B1985&gt;0),LN(B1986/B1985),"")</x:f>
      </x:c>
      <x:c r="D1986" s="16" t="str">
        <x:f>IF(ISNUMBER(C1986),ABS(C1986),"")</x:f>
      </x:c>
      <x:c r="E1986" s="16" t="str">
        <x:f>IF(ISNUMBER(C1986),C1986^2,"")</x:f>
      </x:c>
      <x:c r="F1986" s="16" t="str">
        <x:f>IF(AND(ISNUMBER(C1986),ISNUMBER($J$6),$J$6&gt;0),(C1986-$J$5)/$J$6,"")</x:f>
      </x:c>
      <x:c r="G1986" s="1" t="str">
        <x:f>IF(ISNUMBER(F1986),IF(ABS(F1986)&gt;3,1,0),"")</x:f>
      </x:c>
      <x:c r="H1986" s="1" t="str">
        <x:f>IF(ISNUMBER(F1986),F1986^4,"")</x:f>
      </x:c>
      <x:c r="I1986" s="1"/>
      <x:c r="J1986" s="1"/>
      <x:c r="K1986" s="1"/>
      <x:c r="L1986" s="1"/>
      <x:c r="M1986" s="1"/>
      <x:c r="N1986" s="1"/>
    </x:row>
    <x:row r="1987" ht="22" customHeight="1">
      <x:c r="A1987" s="14"/>
      <x:c r="B1987" s="15"/>
      <x:c r="C1987" s="16" t="str">
        <x:f>IF(AND(ISNUMBER(B1987),ISNUMBER(B1986),B1987&gt;0,B1986&gt;0),LN(B1987/B1986),"")</x:f>
      </x:c>
      <x:c r="D1987" s="16" t="str">
        <x:f>IF(ISNUMBER(C1987),ABS(C1987),"")</x:f>
      </x:c>
      <x:c r="E1987" s="16" t="str">
        <x:f>IF(ISNUMBER(C1987),C1987^2,"")</x:f>
      </x:c>
      <x:c r="F1987" s="16" t="str">
        <x:f>IF(AND(ISNUMBER(C1987),ISNUMBER($J$6),$J$6&gt;0),(C1987-$J$5)/$J$6,"")</x:f>
      </x:c>
      <x:c r="G1987" s="1" t="str">
        <x:f>IF(ISNUMBER(F1987),IF(ABS(F1987)&gt;3,1,0),"")</x:f>
      </x:c>
      <x:c r="H1987" s="1" t="str">
        <x:f>IF(ISNUMBER(F1987),F1987^4,"")</x:f>
      </x:c>
      <x:c r="I1987" s="1"/>
      <x:c r="J1987" s="1"/>
      <x:c r="K1987" s="1"/>
      <x:c r="L1987" s="1"/>
      <x:c r="M1987" s="1"/>
      <x:c r="N1987" s="1"/>
    </x:row>
    <x:row r="1988" ht="22" customHeight="1">
      <x:c r="A1988" s="14"/>
      <x:c r="B1988" s="15"/>
      <x:c r="C1988" s="16" t="str">
        <x:f>IF(AND(ISNUMBER(B1988),ISNUMBER(B1987),B1988&gt;0,B1987&gt;0),LN(B1988/B1987),"")</x:f>
      </x:c>
      <x:c r="D1988" s="16" t="str">
        <x:f>IF(ISNUMBER(C1988),ABS(C1988),"")</x:f>
      </x:c>
      <x:c r="E1988" s="16" t="str">
        <x:f>IF(ISNUMBER(C1988),C1988^2,"")</x:f>
      </x:c>
      <x:c r="F1988" s="16" t="str">
        <x:f>IF(AND(ISNUMBER(C1988),ISNUMBER($J$6),$J$6&gt;0),(C1988-$J$5)/$J$6,"")</x:f>
      </x:c>
      <x:c r="G1988" s="1" t="str">
        <x:f>IF(ISNUMBER(F1988),IF(ABS(F1988)&gt;3,1,0),"")</x:f>
      </x:c>
      <x:c r="H1988" s="1" t="str">
        <x:f>IF(ISNUMBER(F1988),F1988^4,"")</x:f>
      </x:c>
      <x:c r="I1988" s="1"/>
      <x:c r="J1988" s="1"/>
      <x:c r="K1988" s="1"/>
      <x:c r="L1988" s="1"/>
      <x:c r="M1988" s="1"/>
      <x:c r="N1988" s="1"/>
    </x:row>
    <x:row r="1989" ht="22" customHeight="1">
      <x:c r="A1989" s="14"/>
      <x:c r="B1989" s="15"/>
      <x:c r="C1989" s="16" t="str">
        <x:f>IF(AND(ISNUMBER(B1989),ISNUMBER(B1988),B1989&gt;0,B1988&gt;0),LN(B1989/B1988),"")</x:f>
      </x:c>
      <x:c r="D1989" s="16" t="str">
        <x:f>IF(ISNUMBER(C1989),ABS(C1989),"")</x:f>
      </x:c>
      <x:c r="E1989" s="16" t="str">
        <x:f>IF(ISNUMBER(C1989),C1989^2,"")</x:f>
      </x:c>
      <x:c r="F1989" s="16" t="str">
        <x:f>IF(AND(ISNUMBER(C1989),ISNUMBER($J$6),$J$6&gt;0),(C1989-$J$5)/$J$6,"")</x:f>
      </x:c>
      <x:c r="G1989" s="1" t="str">
        <x:f>IF(ISNUMBER(F1989),IF(ABS(F1989)&gt;3,1,0),"")</x:f>
      </x:c>
      <x:c r="H1989" s="1" t="str">
        <x:f>IF(ISNUMBER(F1989),F1989^4,"")</x:f>
      </x:c>
      <x:c r="I1989" s="1"/>
      <x:c r="J1989" s="1"/>
      <x:c r="K1989" s="1"/>
      <x:c r="L1989" s="1"/>
      <x:c r="M1989" s="1"/>
      <x:c r="N1989" s="1"/>
    </x:row>
    <x:row r="1990" ht="22" customHeight="1">
      <x:c r="A1990" s="14"/>
      <x:c r="B1990" s="15"/>
      <x:c r="C1990" s="16" t="str">
        <x:f>IF(AND(ISNUMBER(B1990),ISNUMBER(B1989),B1990&gt;0,B1989&gt;0),LN(B1990/B1989),"")</x:f>
      </x:c>
      <x:c r="D1990" s="16" t="str">
        <x:f>IF(ISNUMBER(C1990),ABS(C1990),"")</x:f>
      </x:c>
      <x:c r="E1990" s="16" t="str">
        <x:f>IF(ISNUMBER(C1990),C1990^2,"")</x:f>
      </x:c>
      <x:c r="F1990" s="16" t="str">
        <x:f>IF(AND(ISNUMBER(C1990),ISNUMBER($J$6),$J$6&gt;0),(C1990-$J$5)/$J$6,"")</x:f>
      </x:c>
      <x:c r="G1990" s="1" t="str">
        <x:f>IF(ISNUMBER(F1990),IF(ABS(F1990)&gt;3,1,0),"")</x:f>
      </x:c>
      <x:c r="H1990" s="1" t="str">
        <x:f>IF(ISNUMBER(F1990),F1990^4,"")</x:f>
      </x:c>
      <x:c r="I1990" s="1"/>
      <x:c r="J1990" s="1"/>
      <x:c r="K1990" s="1"/>
      <x:c r="L1990" s="1"/>
      <x:c r="M1990" s="1"/>
      <x:c r="N1990" s="1"/>
    </x:row>
    <x:row r="1991" ht="22" customHeight="1">
      <x:c r="A1991" s="14"/>
      <x:c r="B1991" s="15"/>
      <x:c r="C1991" s="16" t="str">
        <x:f>IF(AND(ISNUMBER(B1991),ISNUMBER(B1990),B1991&gt;0,B1990&gt;0),LN(B1991/B1990),"")</x:f>
      </x:c>
      <x:c r="D1991" s="16" t="str">
        <x:f>IF(ISNUMBER(C1991),ABS(C1991),"")</x:f>
      </x:c>
      <x:c r="E1991" s="16" t="str">
        <x:f>IF(ISNUMBER(C1991),C1991^2,"")</x:f>
      </x:c>
      <x:c r="F1991" s="16" t="str">
        <x:f>IF(AND(ISNUMBER(C1991),ISNUMBER($J$6),$J$6&gt;0),(C1991-$J$5)/$J$6,"")</x:f>
      </x:c>
      <x:c r="G1991" s="1" t="str">
        <x:f>IF(ISNUMBER(F1991),IF(ABS(F1991)&gt;3,1,0),"")</x:f>
      </x:c>
      <x:c r="H1991" s="1" t="str">
        <x:f>IF(ISNUMBER(F1991),F1991^4,"")</x:f>
      </x:c>
      <x:c r="I1991" s="1"/>
      <x:c r="J1991" s="1"/>
      <x:c r="K1991" s="1"/>
      <x:c r="L1991" s="1"/>
      <x:c r="M1991" s="1"/>
      <x:c r="N1991" s="1"/>
    </x:row>
    <x:row r="1992" ht="22" customHeight="1">
      <x:c r="A1992" s="14"/>
      <x:c r="B1992" s="15"/>
      <x:c r="C1992" s="16" t="str">
        <x:f>IF(AND(ISNUMBER(B1992),ISNUMBER(B1991),B1992&gt;0,B1991&gt;0),LN(B1992/B1991),"")</x:f>
      </x:c>
      <x:c r="D1992" s="16" t="str">
        <x:f>IF(ISNUMBER(C1992),ABS(C1992),"")</x:f>
      </x:c>
      <x:c r="E1992" s="16" t="str">
        <x:f>IF(ISNUMBER(C1992),C1992^2,"")</x:f>
      </x:c>
      <x:c r="F1992" s="16" t="str">
        <x:f>IF(AND(ISNUMBER(C1992),ISNUMBER($J$6),$J$6&gt;0),(C1992-$J$5)/$J$6,"")</x:f>
      </x:c>
      <x:c r="G1992" s="1" t="str">
        <x:f>IF(ISNUMBER(F1992),IF(ABS(F1992)&gt;3,1,0),"")</x:f>
      </x:c>
      <x:c r="H1992" s="1" t="str">
        <x:f>IF(ISNUMBER(F1992),F1992^4,"")</x:f>
      </x:c>
      <x:c r="I1992" s="1"/>
      <x:c r="J1992" s="1"/>
      <x:c r="K1992" s="1"/>
      <x:c r="L1992" s="1"/>
      <x:c r="M1992" s="1"/>
      <x:c r="N1992" s="1"/>
    </x:row>
    <x:row r="1993" ht="22" customHeight="1">
      <x:c r="A1993" s="14"/>
      <x:c r="B1993" s="15"/>
      <x:c r="C1993" s="16" t="str">
        <x:f>IF(AND(ISNUMBER(B1993),ISNUMBER(B1992),B1993&gt;0,B1992&gt;0),LN(B1993/B1992),"")</x:f>
      </x:c>
      <x:c r="D1993" s="16" t="str">
        <x:f>IF(ISNUMBER(C1993),ABS(C1993),"")</x:f>
      </x:c>
      <x:c r="E1993" s="16" t="str">
        <x:f>IF(ISNUMBER(C1993),C1993^2,"")</x:f>
      </x:c>
      <x:c r="F1993" s="16" t="str">
        <x:f>IF(AND(ISNUMBER(C1993),ISNUMBER($J$6),$J$6&gt;0),(C1993-$J$5)/$J$6,"")</x:f>
      </x:c>
      <x:c r="G1993" s="1" t="str">
        <x:f>IF(ISNUMBER(F1993),IF(ABS(F1993)&gt;3,1,0),"")</x:f>
      </x:c>
      <x:c r="H1993" s="1" t="str">
        <x:f>IF(ISNUMBER(F1993),F1993^4,"")</x:f>
      </x:c>
      <x:c r="I1993" s="1"/>
      <x:c r="J1993" s="1"/>
      <x:c r="K1993" s="1"/>
      <x:c r="L1993" s="1"/>
      <x:c r="M1993" s="1"/>
      <x:c r="N1993" s="1"/>
    </x:row>
    <x:row r="1994" ht="22" customHeight="1">
      <x:c r="A1994" s="14"/>
      <x:c r="B1994" s="15"/>
      <x:c r="C1994" s="16" t="str">
        <x:f>IF(AND(ISNUMBER(B1994),ISNUMBER(B1993),B1994&gt;0,B1993&gt;0),LN(B1994/B1993),"")</x:f>
      </x:c>
      <x:c r="D1994" s="16" t="str">
        <x:f>IF(ISNUMBER(C1994),ABS(C1994),"")</x:f>
      </x:c>
      <x:c r="E1994" s="16" t="str">
        <x:f>IF(ISNUMBER(C1994),C1994^2,"")</x:f>
      </x:c>
      <x:c r="F1994" s="16" t="str">
        <x:f>IF(AND(ISNUMBER(C1994),ISNUMBER($J$6),$J$6&gt;0),(C1994-$J$5)/$J$6,"")</x:f>
      </x:c>
      <x:c r="G1994" s="1" t="str">
        <x:f>IF(ISNUMBER(F1994),IF(ABS(F1994)&gt;3,1,0),"")</x:f>
      </x:c>
      <x:c r="H1994" s="1" t="str">
        <x:f>IF(ISNUMBER(F1994),F1994^4,"")</x:f>
      </x:c>
      <x:c r="I1994" s="1"/>
      <x:c r="J1994" s="1"/>
      <x:c r="K1994" s="1"/>
      <x:c r="L1994" s="1"/>
      <x:c r="M1994" s="1"/>
      <x:c r="N1994" s="1"/>
    </x:row>
    <x:row r="1995" ht="22" customHeight="1">
      <x:c r="A1995" s="14"/>
      <x:c r="B1995" s="15"/>
      <x:c r="C1995" s="16" t="str">
        <x:f>IF(AND(ISNUMBER(B1995),ISNUMBER(B1994),B1995&gt;0,B1994&gt;0),LN(B1995/B1994),"")</x:f>
      </x:c>
      <x:c r="D1995" s="16" t="str">
        <x:f>IF(ISNUMBER(C1995),ABS(C1995),"")</x:f>
      </x:c>
      <x:c r="E1995" s="16" t="str">
        <x:f>IF(ISNUMBER(C1995),C1995^2,"")</x:f>
      </x:c>
      <x:c r="F1995" s="16" t="str">
        <x:f>IF(AND(ISNUMBER(C1995),ISNUMBER($J$6),$J$6&gt;0),(C1995-$J$5)/$J$6,"")</x:f>
      </x:c>
      <x:c r="G1995" s="1" t="str">
        <x:f>IF(ISNUMBER(F1995),IF(ABS(F1995)&gt;3,1,0),"")</x:f>
      </x:c>
      <x:c r="H1995" s="1" t="str">
        <x:f>IF(ISNUMBER(F1995),F1995^4,"")</x:f>
      </x:c>
      <x:c r="I1995" s="1"/>
      <x:c r="J1995" s="1"/>
      <x:c r="K1995" s="1"/>
      <x:c r="L1995" s="1"/>
      <x:c r="M1995" s="1"/>
      <x:c r="N1995" s="1"/>
    </x:row>
    <x:row r="1996" ht="22" customHeight="1">
      <x:c r="A1996" s="14"/>
      <x:c r="B1996" s="15"/>
      <x:c r="C1996" s="16" t="str">
        <x:f>IF(AND(ISNUMBER(B1996),ISNUMBER(B1995),B1996&gt;0,B1995&gt;0),LN(B1996/B1995),"")</x:f>
      </x:c>
      <x:c r="D1996" s="16" t="str">
        <x:f>IF(ISNUMBER(C1996),ABS(C1996),"")</x:f>
      </x:c>
      <x:c r="E1996" s="16" t="str">
        <x:f>IF(ISNUMBER(C1996),C1996^2,"")</x:f>
      </x:c>
      <x:c r="F1996" s="16" t="str">
        <x:f>IF(AND(ISNUMBER(C1996),ISNUMBER($J$6),$J$6&gt;0),(C1996-$J$5)/$J$6,"")</x:f>
      </x:c>
      <x:c r="G1996" s="1" t="str">
        <x:f>IF(ISNUMBER(F1996),IF(ABS(F1996)&gt;3,1,0),"")</x:f>
      </x:c>
      <x:c r="H1996" s="1" t="str">
        <x:f>IF(ISNUMBER(F1996),F1996^4,"")</x:f>
      </x:c>
      <x:c r="I1996" s="1"/>
      <x:c r="J1996" s="1"/>
      <x:c r="K1996" s="1"/>
      <x:c r="L1996" s="1"/>
      <x:c r="M1996" s="1"/>
      <x:c r="N1996" s="1"/>
    </x:row>
    <x:row r="1997" ht="22" customHeight="1">
      <x:c r="A1997" s="14"/>
      <x:c r="B1997" s="15"/>
      <x:c r="C1997" s="16" t="str">
        <x:f>IF(AND(ISNUMBER(B1997),ISNUMBER(B1996),B1997&gt;0,B1996&gt;0),LN(B1997/B1996),"")</x:f>
      </x:c>
      <x:c r="D1997" s="16" t="str">
        <x:f>IF(ISNUMBER(C1997),ABS(C1997),"")</x:f>
      </x:c>
      <x:c r="E1997" s="16" t="str">
        <x:f>IF(ISNUMBER(C1997),C1997^2,"")</x:f>
      </x:c>
      <x:c r="F1997" s="16" t="str">
        <x:f>IF(AND(ISNUMBER(C1997),ISNUMBER($J$6),$J$6&gt;0),(C1997-$J$5)/$J$6,"")</x:f>
      </x:c>
      <x:c r="G1997" s="1" t="str">
        <x:f>IF(ISNUMBER(F1997),IF(ABS(F1997)&gt;3,1,0),"")</x:f>
      </x:c>
      <x:c r="H1997" s="1" t="str">
        <x:f>IF(ISNUMBER(F1997),F1997^4,"")</x:f>
      </x:c>
      <x:c r="I1997" s="1"/>
      <x:c r="J1997" s="1"/>
      <x:c r="K1997" s="1"/>
      <x:c r="L1997" s="1"/>
      <x:c r="M1997" s="1"/>
      <x:c r="N1997" s="1"/>
    </x:row>
    <x:row r="1998" ht="22" customHeight="1">
      <x:c r="A1998" s="14"/>
      <x:c r="B1998" s="15"/>
      <x:c r="C1998" s="16" t="str">
        <x:f>IF(AND(ISNUMBER(B1998),ISNUMBER(B1997),B1998&gt;0,B1997&gt;0),LN(B1998/B1997),"")</x:f>
      </x:c>
      <x:c r="D1998" s="16" t="str">
        <x:f>IF(ISNUMBER(C1998),ABS(C1998),"")</x:f>
      </x:c>
      <x:c r="E1998" s="16" t="str">
        <x:f>IF(ISNUMBER(C1998),C1998^2,"")</x:f>
      </x:c>
      <x:c r="F1998" s="16" t="str">
        <x:f>IF(AND(ISNUMBER(C1998),ISNUMBER($J$6),$J$6&gt;0),(C1998-$J$5)/$J$6,"")</x:f>
      </x:c>
      <x:c r="G1998" s="1" t="str">
        <x:f>IF(ISNUMBER(F1998),IF(ABS(F1998)&gt;3,1,0),"")</x:f>
      </x:c>
      <x:c r="H1998" s="1" t="str">
        <x:f>IF(ISNUMBER(F1998),F1998^4,"")</x:f>
      </x:c>
      <x:c r="I1998" s="1"/>
      <x:c r="J1998" s="1"/>
      <x:c r="K1998" s="1"/>
      <x:c r="L1998" s="1"/>
      <x:c r="M1998" s="1"/>
      <x:c r="N1998" s="1"/>
    </x:row>
    <x:row r="1999" ht="22" customHeight="1">
      <x:c r="A1999" s="14"/>
      <x:c r="B1999" s="15"/>
      <x:c r="C1999" s="16" t="str">
        <x:f>IF(AND(ISNUMBER(B1999),ISNUMBER(B1998),B1999&gt;0,B1998&gt;0),LN(B1999/B1998),"")</x:f>
      </x:c>
      <x:c r="D1999" s="16" t="str">
        <x:f>IF(ISNUMBER(C1999),ABS(C1999),"")</x:f>
      </x:c>
      <x:c r="E1999" s="16" t="str">
        <x:f>IF(ISNUMBER(C1999),C1999^2,"")</x:f>
      </x:c>
      <x:c r="F1999" s="16" t="str">
        <x:f>IF(AND(ISNUMBER(C1999),ISNUMBER($J$6),$J$6&gt;0),(C1999-$J$5)/$J$6,"")</x:f>
      </x:c>
      <x:c r="G1999" s="1" t="str">
        <x:f>IF(ISNUMBER(F1999),IF(ABS(F1999)&gt;3,1,0),"")</x:f>
      </x:c>
      <x:c r="H1999" s="1" t="str">
        <x:f>IF(ISNUMBER(F1999),F1999^4,"")</x:f>
      </x:c>
      <x:c r="I1999" s="1"/>
      <x:c r="J1999" s="1"/>
      <x:c r="K1999" s="1"/>
      <x:c r="L1999" s="1"/>
      <x:c r="M1999" s="1"/>
      <x:c r="N1999" s="1"/>
    </x:row>
    <x:row r="2000" ht="22" customHeight="1">
      <x:c r="A2000" s="14"/>
      <x:c r="B2000" s="15"/>
      <x:c r="C2000" s="16" t="str">
        <x:f>IF(AND(ISNUMBER(B2000),ISNUMBER(B1999),B2000&gt;0,B1999&gt;0),LN(B2000/B1999),"")</x:f>
      </x:c>
      <x:c r="D2000" s="16" t="str">
        <x:f>IF(ISNUMBER(C2000),ABS(C2000),"")</x:f>
      </x:c>
      <x:c r="E2000" s="16" t="str">
        <x:f>IF(ISNUMBER(C2000),C2000^2,"")</x:f>
      </x:c>
      <x:c r="F2000" s="16" t="str">
        <x:f>IF(AND(ISNUMBER(C2000),ISNUMBER($J$6),$J$6&gt;0),(C2000-$J$5)/$J$6,"")</x:f>
      </x:c>
      <x:c r="G2000" s="1" t="str">
        <x:f>IF(ISNUMBER(F2000),IF(ABS(F2000)&gt;3,1,0),"")</x:f>
      </x:c>
      <x:c r="H2000" s="1" t="str">
        <x:f>IF(ISNUMBER(F2000),F2000^4,"")</x:f>
      </x:c>
      <x:c r="I2000" s="1"/>
      <x:c r="J2000" s="1"/>
      <x:c r="K2000" s="1"/>
      <x:c r="L2000" s="1"/>
      <x:c r="M2000" s="1"/>
      <x:c r="N2000" s="1"/>
    </x:row>
    <x:row r="2001" ht="22" customHeight="1">
      <x:c r="A2001" s="14"/>
      <x:c r="B2001" s="15"/>
      <x:c r="C2001" s="16" t="str">
        <x:f>IF(AND(ISNUMBER(B2001),ISNUMBER(B2000),B2001&gt;0,B2000&gt;0),LN(B2001/B2000),"")</x:f>
      </x:c>
      <x:c r="D2001" s="16" t="str">
        <x:f>IF(ISNUMBER(C2001),ABS(C2001),"")</x:f>
      </x:c>
      <x:c r="E2001" s="16" t="str">
        <x:f>IF(ISNUMBER(C2001),C2001^2,"")</x:f>
      </x:c>
      <x:c r="F2001" s="16" t="str">
        <x:f>IF(AND(ISNUMBER(C2001),ISNUMBER($J$6),$J$6&gt;0),(C2001-$J$5)/$J$6,"")</x:f>
      </x:c>
      <x:c r="G2001" s="1" t="str">
        <x:f>IF(ISNUMBER(F2001),IF(ABS(F2001)&gt;3,1,0),"")</x:f>
      </x:c>
      <x:c r="H2001" s="1" t="str">
        <x:f>IF(ISNUMBER(F2001),F2001^4,"")</x:f>
      </x:c>
      <x:c r="I2001" s="1"/>
      <x:c r="J2001" s="1"/>
      <x:c r="K2001" s="1"/>
      <x:c r="L2001" s="1"/>
      <x:c r="M2001" s="1"/>
      <x:c r="N2001" s="1"/>
    </x:row>
    <x:row r="2002" ht="22" customHeight="1">
      <x:c r="A2002" s="14"/>
      <x:c r="B2002" s="15"/>
      <x:c r="C2002" s="16" t="str">
        <x:f>IF(AND(ISNUMBER(B2002),ISNUMBER(B2001),B2002&gt;0,B2001&gt;0),LN(B2002/B2001),"")</x:f>
      </x:c>
      <x:c r="D2002" s="16" t="str">
        <x:f>IF(ISNUMBER(C2002),ABS(C2002),"")</x:f>
      </x:c>
      <x:c r="E2002" s="16" t="str">
        <x:f>IF(ISNUMBER(C2002),C2002^2,"")</x:f>
      </x:c>
      <x:c r="F2002" s="16" t="str">
        <x:f>IF(AND(ISNUMBER(C2002),ISNUMBER($J$6),$J$6&gt;0),(C2002-$J$5)/$J$6,"")</x:f>
      </x:c>
      <x:c r="G2002" s="1" t="str">
        <x:f>IF(ISNUMBER(F2002),IF(ABS(F2002)&gt;3,1,0),"")</x:f>
      </x:c>
      <x:c r="H2002" s="1" t="str">
        <x:f>IF(ISNUMBER(F2002),F2002^4,"")</x:f>
      </x:c>
      <x:c r="I2002" s="1"/>
      <x:c r="J2002" s="1"/>
      <x:c r="K2002" s="1"/>
      <x:c r="L2002" s="1"/>
      <x:c r="M2002" s="1"/>
      <x:c r="N2002" s="1"/>
    </x:row>
    <x:row r="2003" ht="22" customHeight="1">
      <x:c r="A2003" s="14"/>
      <x:c r="B2003" s="15"/>
      <x:c r="C2003" s="16" t="str">
        <x:f>IF(AND(ISNUMBER(B2003),ISNUMBER(B2002),B2003&gt;0,B2002&gt;0),LN(B2003/B2002),"")</x:f>
      </x:c>
      <x:c r="D2003" s="16" t="str">
        <x:f>IF(ISNUMBER(C2003),ABS(C2003),"")</x:f>
      </x:c>
      <x:c r="E2003" s="16" t="str">
        <x:f>IF(ISNUMBER(C2003),C2003^2,"")</x:f>
      </x:c>
      <x:c r="F2003" s="16" t="str">
        <x:f>IF(AND(ISNUMBER(C2003),ISNUMBER($J$6),$J$6&gt;0),(C2003-$J$5)/$J$6,"")</x:f>
      </x:c>
      <x:c r="G2003" s="1" t="str">
        <x:f>IF(ISNUMBER(F2003),IF(ABS(F2003)&gt;3,1,0),"")</x:f>
      </x:c>
      <x:c r="H2003" s="1" t="str">
        <x:f>IF(ISNUMBER(F2003),F2003^4,"")</x:f>
      </x:c>
      <x:c r="I2003" s="1"/>
      <x:c r="J2003" s="1"/>
      <x:c r="K2003" s="1"/>
      <x:c r="L2003" s="1"/>
      <x:c r="M2003" s="1"/>
      <x:c r="N2003" s="1"/>
    </x:row>
    <x:row r="2004" ht="22" customHeight="1">
      <x:c r="A2004" s="14"/>
      <x:c r="B2004" s="15"/>
      <x:c r="C2004" s="16" t="str">
        <x:f>IF(AND(ISNUMBER(B2004),ISNUMBER(B2003),B2004&gt;0,B2003&gt;0),LN(B2004/B2003),"")</x:f>
      </x:c>
      <x:c r="D2004" s="16" t="str">
        <x:f>IF(ISNUMBER(C2004),ABS(C2004),"")</x:f>
      </x:c>
      <x:c r="E2004" s="16" t="str">
        <x:f>IF(ISNUMBER(C2004),C2004^2,"")</x:f>
      </x:c>
      <x:c r="F2004" s="16" t="str">
        <x:f>IF(AND(ISNUMBER(C2004),ISNUMBER($J$6),$J$6&gt;0),(C2004-$J$5)/$J$6,"")</x:f>
      </x:c>
      <x:c r="G2004" s="1" t="str">
        <x:f>IF(ISNUMBER(F2004),IF(ABS(F2004)&gt;3,1,0),"")</x:f>
      </x:c>
      <x:c r="H2004" s="1" t="str">
        <x:f>IF(ISNUMBER(F2004),F2004^4,"")</x:f>
      </x:c>
      <x:c r="I2004" s="1"/>
      <x:c r="J2004" s="1"/>
      <x:c r="K2004" s="1"/>
      <x:c r="L2004" s="1"/>
      <x:c r="M2004" s="1"/>
      <x:c r="N2004" s="1"/>
    </x:row>
    <x:row r="2005" ht="22" customHeight="1">
      <x:c r="A2005" s="14"/>
      <x:c r="B2005" s="15"/>
      <x:c r="C2005" s="16" t="str">
        <x:f>IF(AND(ISNUMBER(B2005),ISNUMBER(B2004),B2005&gt;0,B2004&gt;0),LN(B2005/B2004),"")</x:f>
      </x:c>
      <x:c r="D2005" s="16" t="str">
        <x:f>IF(ISNUMBER(C2005),ABS(C2005),"")</x:f>
      </x:c>
      <x:c r="E2005" s="16" t="str">
        <x:f>IF(ISNUMBER(C2005),C2005^2,"")</x:f>
      </x:c>
      <x:c r="F2005" s="16" t="str">
        <x:f>IF(AND(ISNUMBER(C2005),ISNUMBER($J$6),$J$6&gt;0),(C2005-$J$5)/$J$6,"")</x:f>
      </x:c>
      <x:c r="G2005" s="1" t="str">
        <x:f>IF(ISNUMBER(F2005),IF(ABS(F2005)&gt;3,1,0),"")</x:f>
      </x:c>
      <x:c r="H2005" s="1" t="str">
        <x:f>IF(ISNUMBER(F2005),F2005^4,"")</x:f>
      </x:c>
      <x:c r="I2005" s="1"/>
      <x:c r="J2005" s="1"/>
      <x:c r="K2005" s="1"/>
      <x:c r="L2005" s="1"/>
      <x:c r="M2005" s="1"/>
      <x:c r="N2005" s="1"/>
    </x:row>
    <x:row r="2006" ht="22" customHeight="1">
      <x:c r="A2006" s="14"/>
      <x:c r="B2006" s="15"/>
      <x:c r="C2006" s="16" t="str">
        <x:f>IF(AND(ISNUMBER(B2006),ISNUMBER(B2005),B2006&gt;0,B2005&gt;0),LN(B2006/B2005),"")</x:f>
      </x:c>
      <x:c r="D2006" s="16" t="str">
        <x:f>IF(ISNUMBER(C2006),ABS(C2006),"")</x:f>
      </x:c>
      <x:c r="E2006" s="16" t="str">
        <x:f>IF(ISNUMBER(C2006),C2006^2,"")</x:f>
      </x:c>
      <x:c r="F2006" s="16" t="str">
        <x:f>IF(AND(ISNUMBER(C2006),ISNUMBER($J$6),$J$6&gt;0),(C2006-$J$5)/$J$6,"")</x:f>
      </x:c>
      <x:c r="G2006" s="1" t="str">
        <x:f>IF(ISNUMBER(F2006),IF(ABS(F2006)&gt;3,1,0),"")</x:f>
      </x:c>
      <x:c r="H2006" s="1" t="str">
        <x:f>IF(ISNUMBER(F2006),F2006^4,"")</x:f>
      </x:c>
      <x:c r="I2006" s="1"/>
      <x:c r="J2006" s="1"/>
      <x:c r="K2006" s="1"/>
      <x:c r="L2006" s="1"/>
      <x:c r="M2006" s="1"/>
      <x:c r="N2006" s="1"/>
    </x:row>
    <x:row r="2007" ht="22" customHeight="1">
      <x:c r="A2007" s="14"/>
      <x:c r="B2007" s="15"/>
      <x:c r="C2007" s="16" t="str">
        <x:f>IF(AND(ISNUMBER(B2007),ISNUMBER(B2006),B2007&gt;0,B2006&gt;0),LN(B2007/B2006),"")</x:f>
      </x:c>
      <x:c r="D2007" s="16" t="str">
        <x:f>IF(ISNUMBER(C2007),ABS(C2007),"")</x:f>
      </x:c>
      <x:c r="E2007" s="16" t="str">
        <x:f>IF(ISNUMBER(C2007),C2007^2,"")</x:f>
      </x:c>
      <x:c r="F2007" s="16" t="str">
        <x:f>IF(AND(ISNUMBER(C2007),ISNUMBER($J$6),$J$6&gt;0),(C2007-$J$5)/$J$6,"")</x:f>
      </x:c>
      <x:c r="G2007" s="1" t="str">
        <x:f>IF(ISNUMBER(F2007),IF(ABS(F2007)&gt;3,1,0),"")</x:f>
      </x:c>
      <x:c r="H2007" s="1" t="str">
        <x:f>IF(ISNUMBER(F2007),F2007^4,"")</x:f>
      </x:c>
      <x:c r="I2007" s="1"/>
      <x:c r="J2007" s="1"/>
      <x:c r="K2007" s="1"/>
      <x:c r="L2007" s="1"/>
      <x:c r="M2007" s="1"/>
      <x:c r="N2007" s="1"/>
    </x:row>
    <x:row r="2008" ht="22" customHeight="1">
      <x:c r="A2008" s="14"/>
      <x:c r="B2008" s="15"/>
      <x:c r="C2008" s="16" t="str">
        <x:f>IF(AND(ISNUMBER(B2008),ISNUMBER(B2007),B2008&gt;0,B2007&gt;0),LN(B2008/B2007),"")</x:f>
      </x:c>
      <x:c r="D2008" s="16" t="str">
        <x:f>IF(ISNUMBER(C2008),ABS(C2008),"")</x:f>
      </x:c>
      <x:c r="E2008" s="16" t="str">
        <x:f>IF(ISNUMBER(C2008),C2008^2,"")</x:f>
      </x:c>
      <x:c r="F2008" s="16" t="str">
        <x:f>IF(AND(ISNUMBER(C2008),ISNUMBER($J$6),$J$6&gt;0),(C2008-$J$5)/$J$6,"")</x:f>
      </x:c>
      <x:c r="G2008" s="1" t="str">
        <x:f>IF(ISNUMBER(F2008),IF(ABS(F2008)&gt;3,1,0),"")</x:f>
      </x:c>
      <x:c r="H2008" s="1" t="str">
        <x:f>IF(ISNUMBER(F2008),F2008^4,"")</x:f>
      </x:c>
      <x:c r="I2008" s="1"/>
      <x:c r="J2008" s="1"/>
      <x:c r="K2008" s="1"/>
      <x:c r="L2008" s="1"/>
      <x:c r="M2008" s="1"/>
      <x:c r="N2008" s="1"/>
    </x:row>
    <x:row r="2009" ht="22" customHeight="1">
      <x:c r="A2009" s="14"/>
      <x:c r="B2009" s="15"/>
      <x:c r="C2009" s="16" t="str">
        <x:f>IF(AND(ISNUMBER(B2009),ISNUMBER(B2008),B2009&gt;0,B2008&gt;0),LN(B2009/B2008),"")</x:f>
      </x:c>
      <x:c r="D2009" s="16" t="str">
        <x:f>IF(ISNUMBER(C2009),ABS(C2009),"")</x:f>
      </x:c>
      <x:c r="E2009" s="16" t="str">
        <x:f>IF(ISNUMBER(C2009),C2009^2,"")</x:f>
      </x:c>
      <x:c r="F2009" s="16" t="str">
        <x:f>IF(AND(ISNUMBER(C2009),ISNUMBER($J$6),$J$6&gt;0),(C2009-$J$5)/$J$6,"")</x:f>
      </x:c>
      <x:c r="G2009" s="1" t="str">
        <x:f>IF(ISNUMBER(F2009),IF(ABS(F2009)&gt;3,1,0),"")</x:f>
      </x:c>
      <x:c r="H2009" s="1" t="str">
        <x:f>IF(ISNUMBER(F2009),F2009^4,"")</x:f>
      </x:c>
      <x:c r="I2009" s="1"/>
      <x:c r="J2009" s="1"/>
      <x:c r="K2009" s="1"/>
      <x:c r="L2009" s="1"/>
      <x:c r="M2009" s="1"/>
      <x:c r="N2009" s="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17478D"/>
  </x:sheetPr>
  <x:sheetViews>
    <x:sheetView showGridLines="0" workbookViewId="0">
      <x:pane ySplit="16" topLeftCell="A17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 ht="22" customHeight="1">
      <x:c r="A2" s="2" t="str">
        <x:v>04 · 실제 자료 요약과 고정 GBM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22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 ht="22" customHeight="1">
      <x:c r="A4" s="1" t="str">
        <x:v>지표</x:v>
      </x:c>
      <x:c r="B4" s="1" t="str">
        <x:v>실제 SP500</x:v>
      </x:c>
      <x:c r="C4" s="1" t="str">
        <x:v>합성 GBM</x:v>
      </x:c>
      <x:c r="D4" s="1" t="str">
        <x:v>해석</x:v>
      </x:c>
      <x:c r="E4" s="1"/>
      <x:c r="F4" s="1"/>
      <x:c r="G4" s="1"/>
      <x:c r="H4" s="1" t="str">
        <x:v>참조기간 2020-01-02~2025-12-31</x:v>
      </x:c>
      <x:c r="I4" s="1"/>
      <x:c r="J4" s="1"/>
      <x:c r="K4" s="1"/>
      <x:c r="L4" s="1"/>
      <x:c r="M4" s="1"/>
      <x:c r="N4" s="1"/>
    </x:row>
    <x:row r="5" ht="22" customHeight="1">
      <x:c r="A5" s="1" t="str">
        <x:v>수익률 수</x:v>
      </x:c>
      <x:c r="B5" s="1" t="n">
        <x:v>1507</x:v>
      </x:c>
      <x:c r="C5" s="1" t="n">
        <x:v>1507</x:v>
      </x:c>
      <x:c r="D5" s="1" t="str">
        <x:v>같은 관측 수</x:v>
      </x:c>
      <x:c r="E5" s="1"/>
      <x:c r="F5" s="1"/>
      <x:c r="G5" s="1"/>
      <x:c r="H5" s="1" t="str">
        <x:v>FRED 원자료는 포함하지 않습니다.</x:v>
      </x:c>
      <x:c r="I5" s="1"/>
      <x:c r="J5" s="1"/>
      <x:c r="K5" s="1"/>
      <x:c r="L5" s="1"/>
      <x:c r="M5" s="1"/>
      <x:c r="N5" s="1"/>
    </x:row>
    <x:row r="6" ht="22" customHeight="1">
      <x:c r="A6" s="1" t="str">
        <x:v>일 평균</x:v>
      </x:c>
      <x:c r="B6" s="16" t="n">
        <x:v>0.0004927166778283817</x:v>
      </x:c>
      <x:c r="C6" s="16" t="n">
        <x:v>0.0005958429770678157</x:v>
      </x:c>
      <x:c r="D6" s="1" t="str">
        <x:v>합성은 추정평균 주변의 유한 표본</x:v>
      </x:c>
      <x:c r="E6" s="1"/>
      <x:c r="F6" s="1"/>
      <x:c r="G6" s="1"/>
      <x:c r="H6" s="1" t="str">
        <x:v>비교표는 고정 참조값이며 입력 변경과 연동하지 않습니다.</x:v>
      </x:c>
      <x:c r="I6" s="1"/>
      <x:c r="J6" s="1"/>
      <x:c r="K6" s="1"/>
      <x:c r="L6" s="1"/>
      <x:c r="M6" s="1"/>
      <x:c r="N6" s="1"/>
    </x:row>
    <x:row r="7" ht="22" customHeight="1">
      <x:c r="A7" s="1" t="str">
        <x:v>일 표준편차</x:v>
      </x:c>
      <x:c r="B7" s="16" t="n">
        <x:v>0.013221325668005443</x:v>
      </x:c>
      <x:c r="C7" s="16" t="n">
        <x:v>0.012972539982479861</x:v>
      </x:c>
      <x:c r="D7" s="1" t="str">
        <x:v>표본이라 정확히 같지 않음</x:v>
      </x:c>
      <x:c r="E7" s="1"/>
      <x:c r="F7" s="1"/>
      <x:c r="G7" s="1"/>
      <x:c r="H7" s="1" t="str">
        <x:v>원자료 설명: https://fred.stlouisfed.org/series/SP500</x:v>
      </x:c>
      <x:c r="I7" s="1"/>
      <x:c r="J7" s="1"/>
      <x:c r="K7" s="1"/>
      <x:c r="L7" s="1"/>
      <x:c r="M7" s="1"/>
      <x:c r="N7" s="1"/>
    </x:row>
    <x:row r="8" ht="22" customHeight="1">
      <x:c r="A8" s="1" t="str">
        <x:v>초과첨도</x:v>
      </x:c>
      <x:c r="B8" s="16" t="n">
        <x:v>14.68248801345008</x:v>
      </x:c>
      <x:c r="C8" s="16" t="n">
        <x:v>-0.08766650762800587</x:v>
      </x:c>
      <x:c r="D8" s="1" t="str">
        <x:v>정규 이론 기준 0</x:v>
      </x:c>
      <x:c r="E8" s="1"/>
      <x:c r="F8" s="1"/>
      <x:c r="G8" s="1"/>
      <x:c r="H8" s="1" t="str">
        <x:v>한 기간과 seed로 모형의 일반적 우열을 판정하지 않습니다.</x:v>
      </x:c>
      <x:c r="I8" s="1"/>
      <x:c r="J8" s="1"/>
      <x:c r="K8" s="1"/>
      <x:c r="L8" s="1"/>
      <x:c r="M8" s="1"/>
      <x:c r="N8" s="1"/>
    </x:row>
    <x:row r="9" ht="22" customHeight="1">
      <x:c r="A9" s="1" t="str">
        <x:v>|z|&gt;3 비율</x:v>
      </x:c>
      <x:c r="B9" s="16" t="n">
        <x:v>0.015925680159256803</x:v>
      </x:c>
      <x:c r="C9" s="16" t="n">
        <x:v>0.0013271400132714001</x:v>
      </x:c>
      <x:c r="D9" s="1" t="str">
        <x:v>각 표본 평균·표준편차로 표준화</x:v>
      </x:c>
      <x:c r="E9" s="1"/>
      <x:c r="F9" s="1"/>
      <x:c r="G9" s="1"/>
      <x:c r="H9" s="1"/>
      <x:c r="I9" s="1"/>
      <x:c r="J9" s="1"/>
      <x:c r="K9" s="1"/>
      <x:c r="L9" s="1"/>
      <x:c r="M9" s="1"/>
      <x:c r="N9" s="1"/>
    </x:row>
    <x:row r="10" ht="22" customHeight="1">
      <x:c r="A10" s="1" t="str">
        <x:v>|r| lag1</x:v>
      </x:c>
      <x:c r="B10" s="16" t="n">
        <x:v>0.379974404877397</x:v>
      </x:c>
      <x:c r="C10" s="16" t="n">
        <x:v>-0.011057169196542291</x:v>
      </x:c>
      <x:c r="D10" s="1" t="str">
        <x:v>크기 지속성</x:v>
      </x:c>
      <x:c r="E10" s="1"/>
      <x:c r="F10" s="1"/>
      <x:c r="G10" s="1"/>
      <x:c r="H10" s="1"/>
      <x:c r="I10" s="1"/>
      <x:c r="J10" s="1"/>
      <x:c r="K10" s="1"/>
      <x:c r="L10" s="1"/>
      <x:c r="M10" s="1"/>
      <x:c r="N10" s="1"/>
    </x:row>
    <x:row r="11" ht="22" customHeight="1">
      <x:c r="A11" s="1"/>
      <x:c r="B11" s="1"/>
      <x:c r="C11" s="1"/>
      <x:c r="D11" s="1"/>
      <x:c r="E11" s="1"/>
      <x:c r="F11" s="1"/>
      <x:c r="G11" s="1"/>
      <x:c r="H11" s="1" t="str">
        <x:v>lag</x:v>
      </x:c>
      <x:c r="I11" s="1" t="str">
        <x:v>실제 |r|</x:v>
      </x:c>
      <x:c r="J11" s="1" t="str">
        <x:v>합성 |r|</x:v>
      </x:c>
      <x:c r="K11" s="1"/>
      <x:c r="L11" s="1"/>
      <x:c r="M11" s="1"/>
      <x:c r="N11" s="1"/>
    </x:row>
    <x:row r="12" ht="22" customHeight="1">
      <x:c r="A12" s="1" t="str">
        <x:v>입력 평균 m</x:v>
      </x:c>
      <x:c r="B12" s="16" t="n">
        <x:v>0.0004927166778283817</x:v>
      </x:c>
      <x:c r="C12" s="16" t="str">
        <x:v>입력 일 σ</x:v>
      </x:c>
      <x:c r="D12" s="16" t="n">
        <x:v>0.013221325668005443</x:v>
      </x:c>
      <x:c r="E12" s="1"/>
      <x:c r="F12" s="1"/>
      <x:c r="G12" s="1"/>
      <x:c r="H12" s="1" t="n">
        <x:v>1</x:v>
      </x:c>
      <x:c r="I12" s="17" t="n">
        <x:v>0.379974404877397</x:v>
      </x:c>
      <x:c r="J12" s="17" t="n">
        <x:v>-0.011057169196542291</x:v>
      </x:c>
      <x:c r="K12" s="1"/>
      <x:c r="L12" s="1"/>
      <x:c r="M12" s="1"/>
      <x:c r="N12" s="1"/>
    </x:row>
    <x:row r="13" ht="22" customHeight="1">
      <x:c r="A13" s="1"/>
      <x:c r="B13" s="1"/>
      <x:c r="C13" s="1"/>
      <x:c r="D13" s="1"/>
      <x:c r="E13" s="1"/>
      <x:c r="F13" s="1"/>
      <x:c r="G13" s="1"/>
      <x:c r="H13" s="1" t="n">
        <x:v>2</x:v>
      </x:c>
      <x:c r="I13" s="17" t="n">
        <x:v>0.42973255040338876</x:v>
      </x:c>
      <x:c r="J13" s="17" t="n">
        <x:v>0.01467234008916242</x:v>
      </x:c>
      <x:c r="K13" s="1"/>
      <x:c r="L13" s="1"/>
      <x:c r="M13" s="1"/>
      <x:c r="N13" s="1"/>
    </x:row>
    <x:row r="14" ht="22" customHeight="1">
      <x:c r="A14" s="1" t="str">
        <x:v>seed=20261002. Z는 고정값. B12,D12 수정 시 수식 경로가 바뀝니다. 가격은 100에서 시작한 합성값입니다.</x:v>
      </x:c>
      <x:c r="B14" s="1"/>
      <x:c r="C14" s="1"/>
      <x:c r="D14" s="1"/>
      <x:c r="E14" s="1"/>
      <x:c r="F14" s="1"/>
      <x:c r="G14" s="1"/>
      <x:c r="H14" s="1" t="n">
        <x:v>3</x:v>
      </x:c>
      <x:c r="I14" s="17" t="n">
        <x:v>0.3884512384144714</x:v>
      </x:c>
      <x:c r="J14" s="17" t="n">
        <x:v>-0.024992935520782137</x:v>
      </x:c>
      <x:c r="K14" s="1"/>
      <x:c r="L14" s="1"/>
      <x:c r="M14" s="1"/>
      <x:c r="N14" s="1"/>
    </x:row>
    <x:row r="15" ht="22" customHeight="1">
      <x:c r="A15" s="1"/>
      <x:c r="B15" s="1"/>
      <x:c r="C15" s="1"/>
      <x:c r="D15" s="1"/>
      <x:c r="E15" s="1"/>
      <x:c r="F15" s="1"/>
      <x:c r="G15" s="1"/>
      <x:c r="H15" s="1" t="n">
        <x:v>4</x:v>
      </x:c>
      <x:c r="I15" s="17" t="n">
        <x:v>0.37679484714082506</x:v>
      </x:c>
      <x:c r="J15" s="17" t="n">
        <x:v>0.026480544040385887</x:v>
      </x:c>
      <x:c r="K15" s="1"/>
      <x:c r="L15" s="1"/>
      <x:c r="M15" s="1"/>
      <x:c r="N15" s="1"/>
    </x:row>
    <x:row r="16" ht="30" customHeight="1">
      <x:c r="A16" s="4" t="str">
        <x:v>step</x:v>
      </x:c>
      <x:c r="B16" s="4" t="str">
        <x:v>고정 Z</x:v>
      </x:c>
      <x:c r="C16" s="4" t="str">
        <x:v>합성 로그수익률</x:v>
      </x:c>
      <x:c r="D16" s="4" t="str">
        <x:v>합성 가격</x:v>
      </x:c>
      <x:c r="E16" s="4" t="str">
        <x:v>|r|</x:v>
      </x:c>
      <x:c r="F16" s="4" t="str">
        <x:v>r²</x:v>
      </x:c>
      <x:c r="G16" s="1"/>
      <x:c r="H16" s="1" t="n">
        <x:v>5</x:v>
      </x:c>
      <x:c r="I16" s="17" t="n">
        <x:v>0.3529141825703098</x:v>
      </x:c>
      <x:c r="J16" s="17" t="n">
        <x:v>0.048910546330719784</x:v>
      </x:c>
      <x:c r="K16" s="1"/>
      <x:c r="L16" s="1"/>
      <x:c r="M16" s="1"/>
      <x:c r="N16" s="1"/>
    </x:row>
    <x:row r="17" ht="22" customHeight="1">
      <x:c r="A17" s="1" t="n">
        <x:v>1</x:v>
      </x:c>
      <x:c r="B17" s="16" t="n">
        <x:v>0.2931205842121455</x:v>
      </x:c>
      <x:c r="C17" s="16" t="n">
        <x:f>$B$12+$D$12*B17</x:f>
        <x:v>0.004368159381693172</x:v>
      </x:c>
      <x:c r="D17" s="12" t="n">
        <x:f>100*EXP(C17)</x:f>
        <x:v>100.43777136964094</x:v>
      </x:c>
      <x:c r="E17" s="16" t="n">
        <x:f>ABS(C17)</x:f>
        <x:v>0.004368159381693172</x:v>
      </x:c>
      <x:c r="F17" s="16" t="n">
        <x:f>C17^2</x:f>
        <x:v>0.000019080816383874074</x:v>
      </x:c>
      <x:c r="G17" s="1"/>
      <x:c r="H17" s="1" t="n">
        <x:v>6</x:v>
      </x:c>
      <x:c r="I17" s="17" t="n">
        <x:v>0.34272856082651637</x:v>
      </x:c>
      <x:c r="J17" s="17" t="n">
        <x:v>-0.015458645312543639</x:v>
      </x:c>
      <x:c r="K17" s="1"/>
      <x:c r="L17" s="1"/>
      <x:c r="M17" s="1"/>
      <x:c r="N17" s="1"/>
    </x:row>
    <x:row r="18" ht="22" customHeight="1">
      <x:c r="A18" s="1" t="n">
        <x:v>2</x:v>
      </x:c>
      <x:c r="B18" s="16" t="n">
        <x:v>0.46825590550799884</x:v>
      </x:c>
      <x:c r="C18" s="16" t="n">
        <x:f>$B$12+$D$12*B18</x:f>
        <x:v>0.006683680500516418</x:v>
      </x:c>
      <x:c r="D18" s="12" t="n">
        <x:f>D17*EXP(C18)</x:f>
        <x:v>101.11131370720501</x:v>
      </x:c>
      <x:c r="E18" s="16" t="n">
        <x:f>ABS(C18)</x:f>
        <x:v>0.006683680500516418</x:v>
      </x:c>
      <x:c r="F18" s="16" t="n">
        <x:f>C18^2</x:f>
        <x:v>0.0000446715850329834</x:v>
      </x:c>
      <x:c r="G18" s="1"/>
      <x:c r="H18" s="1" t="n">
        <x:v>7</x:v>
      </x:c>
      <x:c r="I18" s="17" t="n">
        <x:v>0.3136492259720042</x:v>
      </x:c>
      <x:c r="J18" s="17" t="n">
        <x:v>-0.04940638635424223</x:v>
      </x:c>
      <x:c r="K18" s="1"/>
      <x:c r="L18" s="1"/>
      <x:c r="M18" s="1"/>
      <x:c r="N18" s="1"/>
    </x:row>
    <x:row r="19" ht="22" customHeight="1">
      <x:c r="A19" s="1" t="n">
        <x:v>3</x:v>
      </x:c>
      <x:c r="B19" s="16" t="n">
        <x:v>0.828140797874719</x:v>
      </x:c>
      <x:c r="C19" s="16" t="n">
        <x:f>$B$12+$D$12*B19</x:f>
        <x:v>0.01144183586549191</x:v>
      </x:c>
      <x:c r="D19" s="12" t="n">
        <x:f>D18*EXP(C19)</x:f>
        <x:v>102.27485660240234</x:v>
      </x:c>
      <x:c r="E19" s="16" t="n">
        <x:f>ABS(C19)</x:f>
        <x:v>0.01144183586549191</x:v>
      </x:c>
      <x:c r="F19" s="16" t="n">
        <x:f>C19^2</x:f>
        <x:v>0.000130915607972857</x:v>
      </x:c>
      <x:c r="G19" s="1"/>
      <x:c r="H19" s="1" t="n">
        <x:v>8</x:v>
      </x:c>
      <x:c r="I19" s="17" t="n">
        <x:v>0.3349246439198219</x:v>
      </x:c>
      <x:c r="J19" s="17" t="n">
        <x:v>0.0034244696076602</x:v>
      </x:c>
      <x:c r="K19" s="1"/>
      <x:c r="L19" s="1"/>
      <x:c r="M19" s="1"/>
      <x:c r="N19" s="1"/>
    </x:row>
    <x:row r="20" ht="22" customHeight="1">
      <x:c r="A20" s="1" t="n">
        <x:v>4</x:v>
      </x:c>
      <x:c r="B20" s="16" t="n">
        <x:v>-0.48961028536022005</x:v>
      </x:c>
      <x:c r="C20" s="16" t="n">
        <x:f>$B$12+$D$12*B20</x:f>
        <x:v>-0.005980580355324165</x:v>
      </x:c>
      <x:c r="D20" s="12" t="n">
        <x:f>D19*EXP(C20)</x:f>
        <x:v>101.66501901320339</x:v>
      </x:c>
      <x:c r="E20" s="16" t="n">
        <x:f>ABS(C20)</x:f>
        <x:v>0.005980580355324165</x:v>
      </x:c>
      <x:c r="F20" s="16" t="n">
        <x:f>C20^2</x:f>
        <x:v>0.00003576734138648932</x:v>
      </x:c>
      <x:c r="G20" s="1"/>
      <x:c r="H20" s="1" t="n">
        <x:v>9</x:v>
      </x:c>
      <x:c r="I20" s="17" t="n">
        <x:v>0.3063061968329462</x:v>
      </x:c>
      <x:c r="J20" s="17" t="n">
        <x:v>-0.02532938999199045</x:v>
      </x:c>
      <x:c r="K20" s="1"/>
      <x:c r="L20" s="1"/>
      <x:c r="M20" s="1"/>
      <x:c r="N20" s="1"/>
    </x:row>
    <x:row r="21" ht="22" customHeight="1">
      <x:c r="A21" s="1" t="n">
        <x:v>5</x:v>
      </x:c>
      <x:c r="B21" s="16" t="n">
        <x:v>-0.6742516041940119</x:v>
      </x:c>
      <x:c r="C21" s="16" t="n">
        <x:f>$B$12+$D$12*B21</x:f>
        <x:v>-0.008421783363395755</x:v>
      </x:c>
      <x:c r="D21" s="12" t="n">
        <x:f>D20*EXP(C21)</x:f>
        <x:v>100.81241351618358</x:v>
      </x:c>
      <x:c r="E21" s="16" t="n">
        <x:f>ABS(C21)</x:f>
        <x:v>0.008421783363395755</x:v>
      </x:c>
      <x:c r="F21" s="16" t="n">
        <x:f>C21^2</x:f>
        <x:v>0.00007092643501996951</x:v>
      </x:c>
      <x:c r="G21" s="1"/>
      <x:c r="H21" s="1" t="n">
        <x:v>10</x:v>
      </x:c>
      <x:c r="I21" s="17" t="n">
        <x:v>0.2926771335836853</x:v>
      </x:c>
      <x:c r="J21" s="17" t="n">
        <x:v>0.025292073033887707</x:v>
      </x:c>
      <x:c r="K21" s="1"/>
      <x:c r="L21" s="1"/>
      <x:c r="M21" s="1"/>
      <x:c r="N21" s="1"/>
    </x:row>
    <x:row r="22" ht="22" customHeight="1">
      <x:c r="A22" s="1" t="n">
        <x:v>6</x:v>
      </x:c>
      <x:c r="B22" s="16" t="n">
        <x:v>-2.091590257935426</x:v>
      </x:c>
      <x:c r="C22" s="16" t="n">
        <x:f>$B$12+$D$12*B22</x:f>
        <x:v>-0.027160879286363394</x:v>
      </x:c>
      <x:c r="D22" s="12" t="n">
        <x:f>D21*EXP(C22)</x:f>
        <x:v>98.11111066597795</x:v>
      </x:c>
      <x:c r="E22" s="16" t="n">
        <x:f>ABS(C22)</x:f>
        <x:v>0.027160879286363394</x:v>
      </x:c>
      <x:c r="F22" s="16" t="n">
        <x:f>C22^2</x:f>
        <x:v>0.0007377133636084041</x:v>
      </x:c>
      <x:c r="G22" s="1"/>
      <x:c r="H22" s="1" t="n">
        <x:v>11</x:v>
      </x:c>
      <x:c r="I22" s="17" t="n">
        <x:v>0.2683171970739314</x:v>
      </x:c>
      <x:c r="J22" s="17" t="n">
        <x:v>-0.031496031805127334</x:v>
      </x:c>
      <x:c r="K22" s="1"/>
      <x:c r="L22" s="1"/>
      <x:c r="M22" s="1"/>
      <x:c r="N22" s="1"/>
    </x:row>
    <x:row r="23" ht="22" customHeight="1">
      <x:c r="A23" s="1" t="n">
        <x:v>7</x:v>
      </x:c>
      <x:c r="B23" s="16" t="n">
        <x:v>-0.6860643916147725</x:v>
      </x:c>
      <x:c r="C23" s="16" t="n">
        <x:f>$B$12+$D$12*B23</x:f>
        <x:v>-0.00857796407293255</x:v>
      </x:c>
      <x:c r="D23" s="12" t="n">
        <x:f>D22*EXP(C23)</x:f>
        <x:v>97.27311636443358</x:v>
      </x:c>
      <x:c r="E23" s="16" t="n">
        <x:f>ABS(C23)</x:f>
        <x:v>0.00857796407293255</x:v>
      </x:c>
      <x:c r="F23" s="16" t="n">
        <x:f>C23^2</x:f>
        <x:v>0.00007358146763652157</x:v>
      </x:c>
      <x:c r="G23" s="1"/>
      <x:c r="H23" s="1" t="n">
        <x:v>12</x:v>
      </x:c>
      <x:c r="I23" s="17" t="n">
        <x:v>0.21442094590985622</x:v>
      </x:c>
      <x:c r="J23" s="17" t="n">
        <x:v>0.014383318080139906</x:v>
      </x:c>
      <x:c r="K23" s="1"/>
      <x:c r="L23" s="1"/>
      <x:c r="M23" s="1"/>
      <x:c r="N23" s="1"/>
    </x:row>
    <x:row r="24" ht="22" customHeight="1">
      <x:c r="A24" s="1" t="n">
        <x:v>8</x:v>
      </x:c>
      <x:c r="B24" s="16" t="n">
        <x:v>-0.9536837577346837</x:v>
      </x:c>
      <x:c r="C24" s="16" t="n">
        <x:f>$B$12+$D$12*B24</x:f>
        <x:v>-0.012116246867469078</x:v>
      </x:c>
      <x:c r="D24" s="12" t="n">
        <x:f>D23*EXP(C24)</x:f>
        <x:v>96.1016425373682</x:v>
      </x:c>
      <x:c r="E24" s="16" t="n">
        <x:f>ABS(C24)</x:f>
        <x:v>0.012116246867469078</x:v>
      </x:c>
      <x:c r="F24" s="16" t="n">
        <x:f>C24^2</x:f>
        <x:v>0.00014680343815345426</x:v>
      </x:c>
      <x:c r="G24" s="1"/>
      <x:c r="H24" s="1" t="n">
        <x:v>13</x:v>
      </x:c>
      <x:c r="I24" s="17" t="n">
        <x:v>0.2551759290403141</x:v>
      </x:c>
      <x:c r="J24" s="17" t="n">
        <x:v>0.016866107393687317</x:v>
      </x:c>
      <x:c r="K24" s="1"/>
      <x:c r="L24" s="1"/>
      <x:c r="M24" s="1"/>
      <x:c r="N24" s="1"/>
    </x:row>
    <x:row r="25" ht="22" customHeight="1">
      <x:c r="A25" s="1" t="n">
        <x:v>9</x:v>
      </x:c>
      <x:c r="B25" s="16" t="n">
        <x:v>-0.18937063031748871</x:v>
      </x:c>
      <x:c r="C25" s="16" t="n">
        <x:f>$B$12+$D$12*B25</x:f>
        <x:v>-0.0020110140975546018</x:v>
      </x:c>
      <x:c r="D25" s="12" t="n">
        <x:f>D24*EXP(C25)</x:f>
        <x:v>95.9085749752886</x:v>
      </x:c>
      <x:c r="E25" s="16" t="n">
        <x:f>ABS(C25)</x:f>
        <x:v>0.0020110140975546018</x:v>
      </x:c>
      <x:c r="F25" s="16" t="n">
        <x:f>C25^2</x:f>
        <x:v>0.000004044177700563349</x:v>
      </x:c>
      <x:c r="G25" s="1"/>
      <x:c r="H25" s="1" t="n">
        <x:v>14</x:v>
      </x:c>
      <x:c r="I25" s="17" t="n">
        <x:v>0.20309365707224</x:v>
      </x:c>
      <x:c r="J25" s="17" t="n">
        <x:v>-0.027001338616372217</x:v>
      </x:c>
      <x:c r="K25" s="1"/>
      <x:c r="L25" s="1"/>
      <x:c r="M25" s="1"/>
      <x:c r="N25" s="1"/>
    </x:row>
    <x:row r="26" ht="22" customHeight="1">
      <x:c r="A26" s="1" t="n">
        <x:v>10</x:v>
      </x:c>
      <x:c r="B26" s="16" t="n">
        <x:v>1.356998130276492</x:v>
      </x:c>
      <x:c r="C26" s="16" t="n">
        <x:f>$B$12+$D$12*B26</x:f>
        <x:v>0.01843403088908836</x:v>
      </x:c>
      <x:c r="D26" s="12" t="n">
        <x:f>D25*EXP(C26)</x:f>
        <x:v>97.6929527167634</x:v>
      </x:c>
      <x:c r="E26" s="16" t="n">
        <x:f>ABS(C26)</x:f>
        <x:v>0.01843403088908836</x:v>
      </x:c>
      <x:c r="F26" s="16" t="n">
        <x:f>C26^2</x:f>
        <x:v>0.00033981349481986375</x:v>
      </x:c>
      <x:c r="G26" s="1"/>
      <x:c r="H26" s="1" t="n">
        <x:v>15</x:v>
      </x:c>
      <x:c r="I26" s="17" t="n">
        <x:v>0.2094244256859613</x:v>
      </x:c>
      <x:c r="J26" s="17" t="n">
        <x:v>0.016478575923792746</x:v>
      </x:c>
      <x:c r="K26" s="1"/>
      <x:c r="L26" s="1"/>
      <x:c r="M26" s="1"/>
      <x:c r="N26" s="1"/>
    </x:row>
    <x:row r="27" ht="22" customHeight="1">
      <x:c r="A27" s="1" t="n">
        <x:v>11</x:v>
      </x:c>
      <x:c r="B27" s="16" t="n">
        <x:v>1.4003629466324272</x:v>
      </x:c>
      <x:c r="C27" s="16" t="n">
        <x:f>$B$12+$D$12*B27</x:f>
        <x:v>0.01900737124866343</x:v>
      </x:c>
      <x:c r="D27" s="12" t="n">
        <x:f>D26*EXP(C27)</x:f>
        <x:v>99.5675985429961</x:v>
      </x:c>
      <x:c r="E27" s="16" t="n">
        <x:f>ABS(C27)</x:f>
        <x:v>0.01900737124866343</x:v>
      </x:c>
      <x:c r="F27" s="16" t="n">
        <x:f>C27^2</x:f>
        <x:v>0.00036128016178451716</x:v>
      </x:c>
      <x:c r="G27" s="1"/>
      <x:c r="H27" s="1" t="n">
        <x:v>16</x:v>
      </x:c>
      <x:c r="I27" s="17" t="n">
        <x:v>0.206059060462948</x:v>
      </x:c>
      <x:c r="J27" s="17" t="n">
        <x:v>-0.005159962090907154</x:v>
      </x:c>
      <x:c r="K27" s="1"/>
      <x:c r="L27" s="1"/>
      <x:c r="M27" s="1"/>
      <x:c r="N27" s="1"/>
    </x:row>
    <x:row r="28" ht="22" customHeight="1">
      <x:c r="A28" s="1" t="n">
        <x:v>12</x:v>
      </x:c>
      <x:c r="B28" s="16" t="n">
        <x:v>-1.6093051816878547</x:v>
      </x:c>
      <x:c r="C28" s="16" t="n">
        <x:f>$B$12+$D$12*B28</x:f>
        <x:v>-0.020784431228475418</x:v>
      </x:c>
      <x:c r="D28" s="12" t="n">
        <x:f>D27*EXP(C28)</x:f>
        <x:v>97.51950064319593</x:v>
      </x:c>
      <x:c r="E28" s="16" t="n">
        <x:f>ABS(C28)</x:f>
        <x:v>0.020784431228475418</x:v>
      </x:c>
      <x:c r="F28" s="16" t="n">
        <x:f>C28^2</x:f>
        <x:v>0.00043199258149122417</x:v>
      </x:c>
      <x:c r="G28" s="1"/>
      <x:c r="H28" s="1" t="n">
        <x:v>17</x:v>
      </x:c>
      <x:c r="I28" s="17" t="n">
        <x:v>0.186374423344511</x:v>
      </x:c>
      <x:c r="J28" s="17" t="n">
        <x:v>0.044321947946646206</x:v>
      </x:c>
      <x:c r="K28" s="1"/>
      <x:c r="L28" s="1"/>
      <x:c r="M28" s="1"/>
      <x:c r="N28" s="1"/>
    </x:row>
    <x:row r="29" ht="22" customHeight="1">
      <x:c r="A29" s="1" t="n">
        <x:v>13</x:v>
      </x:c>
      <x:c r="B29" s="16" t="n">
        <x:v>0.013507821818919345</x:v>
      </x:c>
      <x:c r="C29" s="16" t="n">
        <x:f>$B$12+$D$12*B29</x:f>
        <x:v>0.000671307989161704</x:v>
      </x:c>
      <x:c r="D29" s="12" t="n">
        <x:f>D28*EXP(C29)</x:f>
        <x:v>97.58498824179148</x:v>
      </x:c>
      <x:c r="E29" s="16" t="n">
        <x:f>ABS(C29)</x:f>
        <x:v>0.000671307989161704</x:v>
      </x:c>
      <x:c r="F29" s="16" t="n">
        <x:f>C29^2</x:f>
        <x:v>4.5065441631233054e-7</x:v>
      </x:c>
      <x:c r="G29" s="1"/>
      <x:c r="H29" s="1" t="n">
        <x:v>18</x:v>
      </x:c>
      <x:c r="I29" s="17" t="n">
        <x:v>0.15920564878032645</x:v>
      </x:c>
      <x:c r="J29" s="17" t="n">
        <x:v>0.0010791854446338413</x:v>
      </x:c>
      <x:c r="K29" s="1"/>
      <x:c r="L29" s="1"/>
      <x:c r="M29" s="1"/>
      <x:c r="N29" s="1"/>
    </x:row>
    <x:row r="30" ht="22" customHeight="1">
      <x:c r="A30" s="1" t="n">
        <x:v>14</x:v>
      </x:c>
      <x:c r="B30" s="16" t="n">
        <x:v>-0.16472058944191792</x:v>
      </x:c>
      <x:c r="C30" s="16" t="n">
        <x:f>$B$12+$D$12*B30</x:f>
        <x:v>-0.0016851078794090342</x:v>
      </x:c>
      <x:c r="D30" s="12" t="n">
        <x:f>D29*EXP(C30)</x:f>
        <x:v>97.4206854820101</x:v>
      </x:c>
      <x:c r="E30" s="16" t="n">
        <x:f>ABS(C30)</x:f>
        <x:v>0.0016851078794090342</x:v>
      </x:c>
      <x:c r="F30" s="16" t="n">
        <x:f>C30^2</x:f>
        <x:v>0.0000028395885652464123</x:v>
      </x:c>
      <x:c r="G30" s="1"/>
      <x:c r="H30" s="1" t="n">
        <x:v>19</x:v>
      </x:c>
      <x:c r="I30" s="17" t="n">
        <x:v>0.1445498552868371</x:v>
      </x:c>
      <x:c r="J30" s="17" t="n">
        <x:v>-0.031288308929324646</x:v>
      </x:c>
      <x:c r="K30" s="1"/>
      <x:c r="L30" s="1"/>
      <x:c r="M30" s="1"/>
      <x:c r="N30" s="1"/>
    </x:row>
    <x:row r="31" ht="22" customHeight="1">
      <x:c r="A31" s="1" t="n">
        <x:v>15</x:v>
      </x:c>
      <x:c r="B31" s="16" t="n">
        <x:v>0.7864914486145063</x:v>
      </x:c>
      <x:c r="C31" s="16" t="n">
        <x:f>$B$12+$D$12*B31</x:f>
        <x:v>0.010891176255062137</x:v>
      </x:c>
      <x:c r="D31" s="12" t="n">
        <x:f>D30*EXP(C31)</x:f>
        <x:v>98.48751028160686</x:v>
      </x:c>
      <x:c r="E31" s="16" t="n">
        <x:f>ABS(C31)</x:f>
        <x:v>0.010891176255062137</x:v>
      </x:c>
      <x:c r="F31" s="16" t="n">
        <x:f>C31^2</x:f>
        <x:v>0.00011861772021882931</x:v>
      </x:c>
      <x:c r="G31" s="1"/>
      <x:c r="H31" s="1" t="n">
        <x:v>20</x:v>
      </x:c>
      <x:c r="I31" s="17" t="n">
        <x:v>0.18265045694132945</x:v>
      </x:c>
      <x:c r="J31" s="17" t="n">
        <x:v>-0.035262830399559665</x:v>
      </x:c>
      <x:c r="K31" s="1"/>
      <x:c r="L31" s="1"/>
      <x:c r="M31" s="1"/>
      <x:c r="N31" s="1"/>
    </x:row>
    <x:row r="32" ht="22" customHeight="1">
      <x:c r="A32" s="1" t="n">
        <x:v>16</x:v>
      </x:c>
      <x:c r="B32" s="16" t="n">
        <x:v>-0.7594824362264111</x:v>
      </x:c>
      <x:c r="C32" s="16" t="n">
        <x:f>$B$12+$D$12*B32</x:f>
        <x:v>-0.009548647950651174</x:v>
      </x:c>
      <x:c r="D32" s="12" t="n">
        <x:f>D31*EXP(C32)</x:f>
        <x:v>97.55156334366399</x:v>
      </x:c>
      <x:c r="E32" s="16" t="n">
        <x:f>ABS(C32)</x:f>
        <x:v>0.009548647950651174</x:v>
      </x:c>
      <x:c r="F32" s="16" t="n">
        <x:f>C32^2</x:f>
        <x:v>0.00009117667768547487</x:v>
      </x:c>
      <x:c r="G32" s="1"/>
      <x:c r="H32" s="1"/>
      <x:c r="I32" s="1"/>
      <x:c r="J32" s="1"/>
      <x:c r="K32" s="1"/>
      <x:c r="L32" s="1"/>
      <x:c r="M32" s="1"/>
      <x:c r="N32" s="1"/>
    </x:row>
    <x:row r="33" ht="22" customHeight="1">
      <x:c r="A33" s="1" t="n">
        <x:v>17</x:v>
      </x:c>
      <x:c r="B33" s="16" t="n">
        <x:v>0.2538435038819222</x:v>
      </x:c>
      <x:c r="C33" s="16" t="n">
        <x:f>$B$12+$D$12*B33</x:f>
        <x:v>0.003848864311358879</x:v>
      </x:c>
      <x:c r="D33" s="12" t="n">
        <x:f>D32*EXP(C33)</x:f>
        <x:v>97.92774955478176</x:v>
      </x:c>
      <x:c r="E33" s="16" t="n">
        <x:f>ABS(C33)</x:f>
        <x:v>0.003848864311358879</x:v>
      </x:c>
      <x:c r="F33" s="16" t="n">
        <x:f>C33^2</x:f>
        <x:v>0.000014813756487252056</x:v>
      </x:c>
      <x:c r="G33" s="1"/>
      <x:c r="H33" s="1"/>
      <x:c r="I33" s="1"/>
      <x:c r="J33" s="1"/>
      <x:c r="K33" s="1"/>
      <x:c r="L33" s="1"/>
      <x:c r="M33" s="1"/>
      <x:c r="N33" s="1"/>
    </x:row>
    <x:row r="34" ht="22" customHeight="1">
      <x:c r="A34" s="1" t="n">
        <x:v>18</x:v>
      </x:c>
      <x:c r="B34" s="16" t="n">
        <x:v>0.9416432613290449</x:v>
      </x:c>
      <x:c r="C34" s="16" t="n">
        <x:f>$B$12+$D$12*B34</x:f>
        <x:v>0.01294248889894244</x:v>
      </x:c>
      <x:c r="D34" s="12" t="n">
        <x:f>D33*EXP(C34)</x:f>
        <x:v>99.2034157068226</x:v>
      </x:c>
      <x:c r="E34" s="16" t="n">
        <x:f>ABS(C34)</x:f>
        <x:v>0.01294248889894244</x:v>
      </x:c>
      <x:c r="F34" s="16" t="n">
        <x:f>C34^2</x:f>
        <x:v>0.0001675080188992483</x:v>
      </x:c>
      <x:c r="G34" s="1"/>
      <x:c r="H34" s="1"/>
      <x:c r="I34" s="1"/>
      <x:c r="J34" s="1"/>
      <x:c r="K34" s="1"/>
      <x:c r="L34" s="1"/>
      <x:c r="M34" s="1"/>
      <x:c r="N34" s="1"/>
    </x:row>
    <x:row r="35" ht="22" customHeight="1">
      <x:c r="A35" s="1" t="n">
        <x:v>19</x:v>
      </x:c>
      <x:c r="B35" s="16" t="n">
        <x:v>1.2283498136977022</x:v>
      </x:c>
      <x:c r="C35" s="16" t="n">
        <x:f>$B$12+$D$12*B35</x:f>
        <x:v>0.016733129598959517</x:v>
      </x:c>
      <x:c r="D35" s="12" t="n">
        <x:f>D34*EXP(C35)</x:f>
        <x:v>100.87736546934917</x:v>
      </x:c>
      <x:c r="E35" s="16" t="n">
        <x:f>ABS(C35)</x:f>
        <x:v>0.016733129598959517</x:v>
      </x:c>
      <x:c r="F35" s="16" t="n">
        <x:f>C35^2</x:f>
        <x:v>0.0002799976261755751</x:v>
      </x:c>
      <x:c r="G35" s="1"/>
      <x:c r="H35" s="1"/>
      <x:c r="I35" s="1"/>
      <x:c r="J35" s="1"/>
      <x:c r="K35" s="1"/>
      <x:c r="L35" s="1"/>
      <x:c r="M35" s="1"/>
      <x:c r="N35" s="1"/>
    </x:row>
    <x:row r="36" ht="22" customHeight="1">
      <x:c r="A36" s="1" t="n">
        <x:v>20</x:v>
      </x:c>
      <x:c r="B36" s="16" t="n">
        <x:v>0.7090082251426492</x:v>
      </x:c>
      <x:c r="C36" s="16" t="n">
        <x:f>$B$12+$D$12*B36</x:f>
        <x:v>0.009866745323733871</x:v>
      </x:c>
      <x:c r="D36" s="12" t="n">
        <x:f>D35*EXP(C36)</x:f>
        <x:v>101.8776232730679</x:v>
      </x:c>
      <x:c r="E36" s="16" t="n">
        <x:f>ABS(C36)</x:f>
        <x:v>0.009866745323733871</x:v>
      </x:c>
      <x:c r="F36" s="16" t="n">
        <x:f>C36^2</x:f>
        <x:v>0.00009735266328342421</x:v>
      </x:c>
      <x:c r="G36" s="1"/>
      <x:c r="H36" s="1"/>
      <x:c r="I36" s="1"/>
      <x:c r="J36" s="1"/>
      <x:c r="K36" s="1"/>
      <x:c r="L36" s="1"/>
      <x:c r="M36" s="1"/>
      <x:c r="N36" s="1"/>
    </x:row>
    <x:row r="37" ht="22" customHeight="1">
      <x:c r="A37" s="1" t="n">
        <x:v>21</x:v>
      </x:c>
      <x:c r="B37" s="16" t="n">
        <x:v>0.6907868961674658</x:v>
      </x:c>
      <x:c r="C37" s="16" t="n">
        <x:f>$B$12+$D$12*B37</x:f>
        <x:v>0.009625835199249108</x:v>
      </x:c>
      <x:c r="D37" s="12" t="n">
        <x:f>D36*EXP(C37)</x:f>
        <x:v>102.86301548813229</x:v>
      </x:c>
      <x:c r="E37" s="16" t="n">
        <x:f>ABS(C37)</x:f>
        <x:v>0.009625835199249108</x:v>
      </x:c>
      <x:c r="F37" s="16" t="n">
        <x:f>C37^2</x:f>
        <x:v>0.00009265670328310312</x:v>
      </x:c>
      <x:c r="G37" s="1"/>
      <x:c r="H37" s="1"/>
      <x:c r="I37" s="1"/>
      <x:c r="J37" s="1"/>
      <x:c r="K37" s="1"/>
      <x:c r="L37" s="1"/>
      <x:c r="M37" s="1"/>
      <x:c r="N37" s="1"/>
    </x:row>
    <x:row r="38" ht="22" customHeight="1">
      <x:c r="A38" s="1" t="n">
        <x:v>22</x:v>
      </x:c>
      <x:c r="B38" s="16" t="n">
        <x:v>0.06989111811984411</x:v>
      </x:c>
      <x:c r="C38" s="16" t="n">
        <x:f>$B$12+$D$12*B38</x:f>
        <x:v>0.0014167699117918768</x:v>
      </x:c>
      <x:c r="D38" s="12" t="n">
        <x:f>D37*EXP(C38)</x:f>
        <x:v>103.00885199750729</x:v>
      </x:c>
      <x:c r="E38" s="16" t="n">
        <x:f>ABS(C38)</x:f>
        <x:v>0.0014167699117918768</x:v>
      </x:c>
      <x:c r="F38" s="16" t="n">
        <x:f>C38^2</x:f>
        <x:v>0.0000020072369829587622</x:v>
      </x:c>
      <x:c r="G38" s="1"/>
      <x:c r="H38" s="1"/>
      <x:c r="I38" s="1"/>
      <x:c r="J38" s="1"/>
      <x:c r="K38" s="1"/>
      <x:c r="L38" s="1"/>
      <x:c r="M38" s="1"/>
      <x:c r="N38" s="1"/>
    </x:row>
    <x:row r="39" ht="22" customHeight="1">
      <x:c r="A39" s="1" t="n">
        <x:v>23</x:v>
      </x:c>
      <x:c r="B39" s="16" t="n">
        <x:v>1.6290959293208702</x:v>
      </x:c>
      <x:c r="C39" s="16" t="n">
        <x:f>$B$12+$D$12*B39</x:f>
        <x:v>0.022031524503801584</x:v>
      </x:c>
      <x:c r="D39" s="12" t="n">
        <x:f>D38*EXP(C39)</x:f>
        <x:v>105.30347828746426</x:v>
      </x:c>
      <x:c r="E39" s="16" t="n">
        <x:f>ABS(C39)</x:f>
        <x:v>0.022031524503801584</x:v>
      </x:c>
      <x:c r="F39" s="16" t="n">
        <x:f>C39^2</x:f>
        <x:v>0.00048538807196160964</x:v>
      </x:c>
      <x:c r="G39" s="1"/>
      <x:c r="H39" s="1"/>
      <x:c r="I39" s="1"/>
      <x:c r="J39" s="1"/>
      <x:c r="K39" s="1"/>
      <x:c r="L39" s="1"/>
      <x:c r="M39" s="1"/>
      <x:c r="N39" s="1"/>
    </x:row>
    <x:row r="40" ht="22" customHeight="1">
      <x:c r="A40" s="1" t="n">
        <x:v>24</x:v>
      </x:c>
      <x:c r="B40" s="16" t="n">
        <x:v>1.3385753949720474</x:v>
      </x:c>
      <x:c r="C40" s="16" t="n">
        <x:f>$B$12+$D$12*B40</x:f>
        <x:v>0.018190457905932836</x:v>
      </x:c>
      <x:c r="D40" s="12" t="n">
        <x:f>D39*EXP(C40)</x:f>
        <x:v>107.23652497651233</x:v>
      </x:c>
      <x:c r="E40" s="16" t="n">
        <x:f>ABS(C40)</x:f>
        <x:v>0.018190457905932836</x:v>
      </x:c>
      <x:c r="F40" s="16" t="n">
        <x:f>C40^2</x:f>
        <x:v>0.0003308927588275144</x:v>
      </x:c>
      <x:c r="G40" s="1"/>
      <x:c r="H40" s="1"/>
      <x:c r="I40" s="1"/>
      <x:c r="J40" s="1"/>
      <x:c r="K40" s="1"/>
      <x:c r="L40" s="1"/>
      <x:c r="M40" s="1"/>
      <x:c r="N40" s="1"/>
    </x:row>
    <x:row r="41" ht="22" customHeight="1">
      <x:c r="A41" s="1" t="n">
        <x:v>25</x:v>
      </x:c>
      <x:c r="B41" s="16" t="n">
        <x:v>0.27390179806957604</x:v>
      </x:c>
      <x:c r="C41" s="16" t="n">
        <x:f>$B$12+$D$12*B41</x:f>
        <x:v>0.004114061551158511</x:v>
      </x:c>
      <x:c r="D41" s="12" t="n">
        <x:f>D40*EXP(C41)</x:f>
        <x:v>107.67861140263766</x:v>
      </x:c>
      <x:c r="E41" s="16" t="n">
        <x:f>ABS(C41)</x:f>
        <x:v>0.004114061551158511</x:v>
      </x:c>
      <x:c r="F41" s="16" t="n">
        <x:f>C41^2</x:f>
        <x:v>0.000016925502446720773</x:v>
      </x:c>
      <x:c r="G41" s="1"/>
      <x:c r="H41" s="1"/>
      <x:c r="I41" s="1"/>
      <x:c r="J41" s="1"/>
      <x:c r="K41" s="1"/>
      <x:c r="L41" s="1"/>
      <x:c r="M41" s="1"/>
      <x:c r="N41" s="1"/>
    </x:row>
    <x:row r="42" ht="22" customHeight="1">
      <x:c r="A42" s="1" t="n">
        <x:v>26</x:v>
      </x:c>
      <x:c r="B42" s="16" t="n">
        <x:v>0.2854437383768706</x:v>
      </x:c>
      <x:c r="C42" s="16" t="n">
        <x:f>$B$12+$D$12*B42</x:f>
        <x:v>0.004266661302801931</x:v>
      </x:c>
      <x:c r="D42" s="12" t="n">
        <x:f>D41*EXP(C42)</x:f>
        <x:v>108.1390210746577</x:v>
      </x:c>
      <x:c r="E42" s="16" t="n">
        <x:f>ABS(C42)</x:f>
        <x:v>0.004266661302801931</x:v>
      </x:c>
      <x:c r="F42" s="16" t="n">
        <x:f>C42^2</x:f>
        <x:v>0.000018204398672827468</x:v>
      </x:c>
      <x:c r="G42" s="1"/>
      <x:c r="H42" s="1"/>
      <x:c r="I42" s="1"/>
      <x:c r="J42" s="1"/>
      <x:c r="K42" s="1"/>
      <x:c r="L42" s="1"/>
      <x:c r="M42" s="1"/>
      <x:c r="N42" s="1"/>
    </x:row>
    <x:row r="43" ht="22" customHeight="1">
      <x:c r="A43" s="1" t="n">
        <x:v>27</x:v>
      </x:c>
      <x:c r="B43" s="16" t="n">
        <x:v>-0.7544105720431954</x:v>
      </x:c>
      <x:c r="C43" s="16" t="n">
        <x:f>$B$12+$D$12*B43</x:f>
        <x:v>-0.009481591182540989</x:v>
      </x:c>
      <x:c r="D43" s="12" t="n">
        <x:f>D42*EXP(C43)</x:f>
        <x:v>107.11853663922643</x:v>
      </x:c>
      <x:c r="E43" s="16" t="n">
        <x:f>ABS(C43)</x:f>
        <x:v>0.009481591182540989</x:v>
      </x:c>
      <x:c r="F43" s="16" t="n">
        <x:f>C43^2</x:f>
        <x:v>0.00008990057135283903</x:v>
      </x:c>
      <x:c r="G43" s="1"/>
      <x:c r="H43" s="1"/>
      <x:c r="I43" s="1"/>
      <x:c r="J43" s="1"/>
      <x:c r="K43" s="1"/>
      <x:c r="L43" s="1"/>
      <x:c r="M43" s="1"/>
      <x:c r="N43" s="1"/>
    </x:row>
    <x:row r="44" ht="22" customHeight="1">
      <x:c r="A44" s="1" t="n">
        <x:v>28</x:v>
      </x:c>
      <x:c r="B44" s="16" t="n">
        <x:v>-2.124480581665676</x:v>
      </x:c>
      <x:c r="C44" s="16" t="n">
        <x:f>$B$12+$D$12*B44</x:f>
        <x:v>-0.02759573296772716</x:v>
      </x:c>
      <x:c r="D44" s="12" t="n">
        <x:f>D43*EXP(C44)</x:f>
        <x:v>104.20293619463531</x:v>
      </x:c>
      <x:c r="E44" s="16" t="n">
        <x:f>ABS(C44)</x:f>
        <x:v>0.02759573296772716</x:v>
      </x:c>
      <x:c r="F44" s="16" t="n">
        <x:f>C44^2</x:f>
        <x:v>0.0007615244780261037</x:v>
      </x:c>
      <x:c r="G44" s="1"/>
      <x:c r="H44" s="1"/>
      <x:c r="I44" s="1"/>
      <x:c r="J44" s="1"/>
      <x:c r="K44" s="1"/>
      <x:c r="L44" s="1"/>
      <x:c r="M44" s="1"/>
      <x:c r="N44" s="1"/>
    </x:row>
    <x:row r="45" ht="22" customHeight="1">
      <x:c r="A45" s="1" t="n">
        <x:v>29</x:v>
      </x:c>
      <x:c r="B45" s="16" t="n">
        <x:v>0.6834514325925376</x:v>
      </x:c>
      <x:c r="C45" s="16" t="n">
        <x:f>$B$12+$D$12*B45</x:f>
        <x:v>0.00952885064639919</x:v>
      </x:c>
      <x:c r="D45" s="12" t="n">
        <x:f>D44*EXP(C45)</x:f>
        <x:v>105.20061623357496</x:v>
      </x:c>
      <x:c r="E45" s="16" t="n">
        <x:f>ABS(C45)</x:f>
        <x:v>0.00952885064639919</x:v>
      </x:c>
      <x:c r="F45" s="16" t="n">
        <x:f>C45^2</x:f>
        <x:v>0.00009079899464138226</x:v>
      </x:c>
      <x:c r="G45" s="1"/>
      <x:c r="H45" s="1"/>
      <x:c r="I45" s="1"/>
      <x:c r="J45" s="1"/>
      <x:c r="K45" s="1"/>
      <x:c r="L45" s="1"/>
      <x:c r="M45" s="1"/>
      <x:c r="N45" s="1"/>
    </x:row>
    <x:row r="46" ht="22" customHeight="1">
      <x:c r="A46" s="1" t="n">
        <x:v>30</x:v>
      </x:c>
      <x:c r="B46" s="16" t="n">
        <x:v>0.8622725173321433</x:v>
      </x:c>
      <x:c r="C46" s="16" t="n">
        <x:f>$B$12+$D$12*B46</x:f>
        <x:v>0.011893102444047515</x:v>
      </x:c>
      <x:c r="D46" s="12" t="n">
        <x:f>D45*EXP(C46)</x:f>
        <x:v>106.45924761997571</x:v>
      </x:c>
      <x:c r="E46" s="16" t="n">
        <x:f>ABS(C46)</x:f>
        <x:v>0.011893102444047515</x:v>
      </x:c>
      <x:c r="F46" s="16" t="n">
        <x:f>C46^2</x:f>
        <x:v>0.00014144588574460898</x:v>
      </x:c>
      <x:c r="G46" s="1"/>
      <x:c r="H46" s="1"/>
      <x:c r="I46" s="1"/>
      <x:c r="J46" s="1"/>
      <x:c r="K46" s="1"/>
      <x:c r="L46" s="1"/>
      <x:c r="M46" s="1"/>
      <x:c r="N46" s="1"/>
    </x:row>
    <x:row r="47" ht="22" customHeight="1">
      <x:c r="A47" s="1" t="n">
        <x:v>31</x:v>
      </x:c>
      <x:c r="B47" s="16" t="n">
        <x:v>-0.058449193731504645</x:v>
      </x:c>
      <x:c r="C47" s="16" t="n">
        <x:f>$B$12+$D$12*B47</x:f>
        <x:v>-0.0002800591475281836</x:v>
      </x:c>
      <x:c r="D47" s="12" t="n">
        <x:f>D46*EXP(C47)</x:f>
        <x:v>106.42943690841685</x:v>
      </x:c>
      <x:c r="E47" s="16" t="n">
        <x:f>ABS(C47)</x:f>
        <x:v>0.0002800591475281836</x:v>
      </x:c>
      <x:c r="F47" s="16" t="n">
        <x:f>C47^2</x:f>
        <x:v>7.843312611421291e-8</x:v>
      </x:c>
      <x:c r="G47" s="1"/>
      <x:c r="H47" s="1"/>
      <x:c r="I47" s="1"/>
      <x:c r="J47" s="1"/>
      <x:c r="K47" s="1"/>
      <x:c r="L47" s="1"/>
      <x:c r="M47" s="1"/>
      <x:c r="N47" s="1"/>
    </x:row>
    <x:row r="48" ht="22" customHeight="1">
      <x:c r="A48" s="1" t="n">
        <x:v>32</x:v>
      </x:c>
      <x:c r="B48" s="16" t="n">
        <x:v>0.8864430742553872</x:v>
      </x:c>
      <x:c r="C48" s="16" t="n">
        <x:f>$B$12+$D$12*B48</x:f>
        <x:v>0.012212669248706787</x:v>
      </x:c>
      <x:c r="D48" s="12" t="n">
        <x:f>D47*EXP(C48)</x:f>
        <x:v>107.73719376647787</x:v>
      </x:c>
      <x:c r="E48" s="16" t="n">
        <x:f>ABS(C48)</x:f>
        <x:v>0.012212669248706787</x:v>
      </x:c>
      <x:c r="F48" s="16" t="n">
        <x:f>C48^2</x:f>
        <x:v>0.0001491492901783084</x:v>
      </x:c>
      <x:c r="G48" s="1"/>
      <x:c r="H48" s="1"/>
      <x:c r="I48" s="1"/>
      <x:c r="J48" s="1"/>
      <x:c r="K48" s="1"/>
      <x:c r="L48" s="1"/>
      <x:c r="M48" s="1"/>
      <x:c r="N48" s="1"/>
    </x:row>
    <x:row r="49" ht="22" customHeight="1">
      <x:c r="A49" s="1" t="n">
        <x:v>33</x:v>
      </x:c>
      <x:c r="B49" s="16" t="n">
        <x:v>-0.6183947890220106</x:v>
      </x:c>
      <x:c r="C49" s="16" t="n">
        <x:f>$B$12+$D$12*B49</x:f>
        <x:v>-0.007683282219229139</x:v>
      </x:c>
      <x:c r="D49" s="12" t="n">
        <x:f>D48*EXP(C49)</x:f>
        <x:v>106.91259038805157</x:v>
      </x:c>
      <x:c r="E49" s="16" t="n">
        <x:f>ABS(C49)</x:f>
        <x:v>0.007683282219229139</x:v>
      </x:c>
      <x:c r="F49" s="16" t="n">
        <x:f>C49^2</x:f>
        <x:v>0.00005903282566032264</x:v>
      </x:c>
      <x:c r="G49" s="1"/>
      <x:c r="H49" s="1"/>
      <x:c r="I49" s="1"/>
      <x:c r="J49" s="1"/>
      <x:c r="K49" s="1"/>
      <x:c r="L49" s="1"/>
      <x:c r="M49" s="1"/>
      <x:c r="N49" s="1"/>
    </x:row>
    <x:row r="50" ht="22" customHeight="1">
      <x:c r="A50" s="1" t="n">
        <x:v>34</x:v>
      </x:c>
      <x:c r="B50" s="16" t="n">
        <x:v>-0.4057928117874663</x:v>
      </x:c>
      <x:c r="C50" s="16" t="n">
        <x:f>$B$12+$D$12*B50</x:f>
        <x:v>-0.004872402240549348</x:v>
      </x:c>
      <x:c r="D50" s="12" t="n">
        <x:f>D49*EXP(C50)</x:f>
        <x:v>106.39293625314934</x:v>
      </x:c>
      <x:c r="E50" s="16" t="n">
        <x:f>ABS(C50)</x:f>
        <x:v>0.004872402240549348</x:v>
      </x:c>
      <x:c r="F50" s="16" t="n">
        <x:f>C50^2</x:f>
        <x:v>0.00002374030359371031</x:v>
      </x:c>
      <x:c r="G50" s="1"/>
      <x:c r="H50" s="1"/>
      <x:c r="I50" s="1"/>
      <x:c r="J50" s="1"/>
      <x:c r="K50" s="1"/>
      <x:c r="L50" s="1"/>
      <x:c r="M50" s="1"/>
      <x:c r="N50" s="1"/>
    </x:row>
    <x:row r="51" ht="22" customHeight="1">
      <x:c r="A51" s="1" t="n">
        <x:v>35</x:v>
      </x:c>
      <x:c r="B51" s="16" t="n">
        <x:v>0.4018450383559642</x:v>
      </x:c>
      <x:c r="C51" s="16" t="n">
        <x:f>$B$12+$D$12*B51</x:f>
        <x:v>0.005805640798004723</x:v>
      </x:c>
      <x:c r="D51" s="12" t="n">
        <x:f>D50*EXP(C51)</x:f>
        <x:v>107.0124119110814</x:v>
      </x:c>
      <x:c r="E51" s="16" t="n">
        <x:f>ABS(C51)</x:f>
        <x:v>0.005805640798004723</x:v>
      </x:c>
      <x:c r="F51" s="16" t="n">
        <x:f>C51^2</x:f>
        <x:v>0.000033705465075456916</x:v>
      </x:c>
      <x:c r="G51" s="1"/>
      <x:c r="H51" s="1"/>
      <x:c r="I51" s="1"/>
      <x:c r="J51" s="1"/>
      <x:c r="K51" s="1"/>
      <x:c r="L51" s="1"/>
      <x:c r="M51" s="1"/>
      <x:c r="N51" s="1"/>
    </x:row>
    <x:row r="52" ht="22" customHeight="1">
      <x:c r="A52" s="1" t="n">
        <x:v>36</x:v>
      </x:c>
      <x:c r="B52" s="16" t="n">
        <x:v>-0.9122925986201071</x:v>
      </x:c>
      <x:c r="C52" s="16" t="n">
        <x:f>$B$12+$D$12*B52</x:f>
        <x:v>-0.01156900087303903</x:v>
      </x:c>
      <x:c r="D52" s="12" t="n">
        <x:f>D51*EXP(C52)</x:f>
        <x:v>105.78151905324</x:v>
      </x:c>
      <x:c r="E52" s="16" t="n">
        <x:f>ABS(C52)</x:f>
        <x:v>0.01156900087303903</x:v>
      </x:c>
      <x:c r="F52" s="16" t="n">
        <x:f>C52^2</x:f>
        <x:v>0.00013384178120037782</x:v>
      </x:c>
      <x:c r="G52" s="1"/>
      <x:c r="H52" s="1"/>
      <x:c r="I52" s="1"/>
      <x:c r="J52" s="1"/>
      <x:c r="K52" s="1"/>
      <x:c r="L52" s="1"/>
      <x:c r="M52" s="1"/>
      <x:c r="N52" s="1"/>
    </x:row>
    <x:row r="53" ht="22" customHeight="1">
      <x:c r="A53" s="1" t="n">
        <x:v>37</x:v>
      </x:c>
      <x:c r="B53" s="16" t="n">
        <x:v>0.7764058654256247</x:v>
      </x:c>
      <x:c r="C53" s="16" t="n">
        <x:f>$B$12+$D$12*B53</x:f>
        <x:v>0.010757831475170173</x:v>
      </x:c>
      <x:c r="D53" s="12" t="n">
        <x:f>D52*EXP(C53)</x:f>
        <x:v>106.92564191468772</x:v>
      </x:c>
      <x:c r="E53" s="16" t="n">
        <x:f>ABS(C53)</x:f>
        <x:v>0.010757831475170173</x:v>
      </x:c>
      <x:c r="F53" s="16" t="n">
        <x:f>C53^2</x:f>
        <x:v>0.00011573093804816206</x:v>
      </x:c>
      <x:c r="G53" s="1"/>
      <x:c r="H53" s="1"/>
      <x:c r="I53" s="1"/>
      <x:c r="J53" s="1"/>
      <x:c r="K53" s="1"/>
      <x:c r="L53" s="1"/>
      <x:c r="M53" s="1"/>
      <x:c r="N53" s="1"/>
    </x:row>
    <x:row r="54" ht="22" customHeight="1">
      <x:c r="A54" s="1" t="n">
        <x:v>38</x:v>
      </x:c>
      <x:c r="B54" s="16" t="n">
        <x:v>1.8699664410861185</x:v>
      </x:c>
      <x:c r="C54" s="16" t="n">
        <x:f>$B$12+$D$12*B54</x:f>
        <x:v>0.02521615198366907</x:v>
      </x:c>
      <x:c r="D54" s="12" t="n">
        <x:f>D53*EXP(C54)</x:f>
        <x:v>109.65617726567164</x:v>
      </x:c>
      <x:c r="E54" s="16" t="n">
        <x:f>ABS(C54)</x:f>
        <x:v>0.02521615198366907</x:v>
      </x:c>
      <x:c r="F54" s="16" t="n">
        <x:f>C54^2</x:f>
        <x:v>0.0006358543208634975</x:v>
      </x:c>
      <x:c r="G54" s="1"/>
      <x:c r="H54" s="1"/>
      <x:c r="I54" s="1"/>
      <x:c r="J54" s="1"/>
      <x:c r="K54" s="1"/>
      <x:c r="L54" s="1"/>
      <x:c r="M54" s="1"/>
      <x:c r="N54" s="1"/>
    </x:row>
    <x:row r="55" ht="22" customHeight="1">
      <x:c r="A55" s="1" t="n">
        <x:v>39</x:v>
      </x:c>
      <x:c r="B55" s="16" t="n">
        <x:v>0.6131927213141378</x:v>
      </x:c>
      <x:c r="C55" s="16" t="n">
        <x:f>$B$12+$D$12*B55</x:f>
        <x:v>0.008599937343573099</x:v>
      </x:c>
      <x:c r="D55" s="12" t="n">
        <x:f>D54*EXP(C55)</x:f>
        <x:v>110.60328019519929</x:v>
      </x:c>
      <x:c r="E55" s="16" t="n">
        <x:f>ABS(C55)</x:f>
        <x:v>0.008599937343573099</x:v>
      </x:c>
      <x:c r="F55" s="16" t="n">
        <x:f>C55^2</x:f>
        <x:v>0.00007395892231338314</x:v>
      </x:c>
      <x:c r="G55" s="1"/>
      <x:c r="H55" s="1"/>
      <x:c r="I55" s="1"/>
      <x:c r="J55" s="1"/>
      <x:c r="K55" s="1"/>
      <x:c r="L55" s="1"/>
      <x:c r="M55" s="1"/>
      <x:c r="N55" s="1"/>
    </x:row>
    <x:row r="56" ht="22" customHeight="1">
      <x:c r="A56" s="1" t="n">
        <x:v>40</x:v>
      </x:c>
      <x:c r="B56" s="16" t="n">
        <x:v>1.707921336087159</x:v>
      </x:c>
      <x:c r="C56" s="16" t="n">
        <x:f>$B$12+$D$12*B56</x:f>
        <x:v>0.023073700877571688</x:v>
      </x:c>
      <x:c r="D56" s="12" t="n">
        <x:f>D55*EXP(C56)</x:f>
        <x:v>113.18497731267612</x:v>
      </x:c>
      <x:c r="E56" s="16" t="n">
        <x:f>ABS(C56)</x:f>
        <x:v>0.023073700877571688</x:v>
      </x:c>
      <x:c r="F56" s="16" t="n">
        <x:f>C56^2</x:f>
        <x:v>0.0005323956721876525</x:v>
      </x:c>
      <x:c r="G56" s="1"/>
      <x:c r="H56" s="1"/>
      <x:c r="I56" s="1"/>
      <x:c r="J56" s="1"/>
      <x:c r="K56" s="1"/>
      <x:c r="L56" s="1"/>
      <x:c r="M56" s="1"/>
      <x:c r="N56" s="1"/>
    </x:row>
    <x:row r="57" ht="22" customHeight="1">
      <x:c r="A57" s="1" t="n">
        <x:v>41</x:v>
      </x:c>
      <x:c r="B57" s="16" t="n">
        <x:v>0.7050310893508899</x:v>
      </x:c>
      <x:c r="C57" s="16" t="n">
        <x:f>$B$12+$D$12*B57</x:f>
        <x:v>0.00981416231620514</x:v>
      </x:c>
      <x:c r="D57" s="12" t="n">
        <x:f>D56*EXP(C57)</x:f>
        <x:v>114.30126179048416</x:v>
      </x:c>
      <x:c r="E57" s="16" t="n">
        <x:f>ABS(C57)</x:f>
        <x:v>0.00981416231620514</x:v>
      </x:c>
      <x:c r="F57" s="16" t="n">
        <x:f>C57^2</x:f>
        <x:v>0.00009631778196882103</x:v>
      </x:c>
      <x:c r="G57" s="1"/>
      <x:c r="H57" s="1"/>
      <x:c r="I57" s="1"/>
      <x:c r="J57" s="1"/>
      <x:c r="K57" s="1"/>
      <x:c r="L57" s="1"/>
      <x:c r="M57" s="1"/>
      <x:c r="N57" s="1"/>
    </x:row>
    <x:row r="58" ht="22" customHeight="1">
      <x:c r="A58" s="1" t="n">
        <x:v>42</x:v>
      </x:c>
      <x:c r="B58" s="16" t="n">
        <x:v>-0.13401213880375348</x:v>
      </x:c>
      <x:c r="C58" s="16" t="n">
        <x:f>$B$12+$D$12*B58</x:f>
        <x:v>-0.0012791014527619928</x:v>
      </x:c>
      <x:c r="D58" s="12" t="n">
        <x:f>D57*EXP(C58)</x:f>
        <x:v>114.15515234479835</x:v>
      </x:c>
      <x:c r="E58" s="16" t="n">
        <x:f>ABS(C58)</x:f>
        <x:v>0.0012791014527619928</x:v>
      </x:c>
      <x:c r="F58" s="16" t="n">
        <x:f>C58^2</x:f>
        <x:v>0.0000016361005264578405</x:v>
      </x:c>
      <x:c r="G58" s="1"/>
      <x:c r="H58" s="1"/>
      <x:c r="I58" s="1"/>
      <x:c r="J58" s="1"/>
      <x:c r="K58" s="1"/>
      <x:c r="L58" s="1"/>
      <x:c r="M58" s="1"/>
      <x:c r="N58" s="1"/>
    </x:row>
    <x:row r="59" ht="22" customHeight="1">
      <x:c r="A59" s="1" t="n">
        <x:v>43</x:v>
      </x:c>
      <x:c r="B59" s="16" t="n">
        <x:v>-0.07544272813852261</x:v>
      </x:c>
      <x:c r="C59" s="16" t="n">
        <x:f>$B$12+$D$12*B59</x:f>
        <x:v>-0.0005047362001738238</x:v>
      </x:c>
      <x:c r="D59" s="12" t="n">
        <x:f>D58*EXP(C59)</x:f>
        <x:v>114.09754864553264</x:v>
      </x:c>
      <x:c r="E59" s="16" t="n">
        <x:f>ABS(C59)</x:f>
        <x:v>0.0005047362001738238</x:v>
      </x:c>
      <x:c r="F59" s="16" t="n">
        <x:f>C59^2</x:f>
        <x:v>2.547586317659103e-7</x:v>
      </x:c>
      <x:c r="G59" s="1"/>
      <x:c r="H59" s="1"/>
      <x:c r="I59" s="1"/>
      <x:c r="J59" s="1"/>
      <x:c r="K59" s="1"/>
      <x:c r="L59" s="1"/>
      <x:c r="M59" s="1"/>
      <x:c r="N59" s="1"/>
    </x:row>
    <x:row r="60" ht="22" customHeight="1">
      <x:c r="A60" s="1" t="n">
        <x:v>44</x:v>
      </x:c>
      <x:c r="B60" s="16" t="n">
        <x:v>0.10595584164646066</x:v>
      </x:c>
      <x:c r="C60" s="16" t="n">
        <x:f>$B$12+$D$12*B60</x:f>
        <x:v>0.001893593366663852</x:v>
      </x:c>
      <x:c r="D60" s="12" t="n">
        <x:f>D59*EXP(C60)</x:f>
        <x:v>114.31380769553179</x:v>
      </x:c>
      <x:c r="E60" s="16" t="n">
        <x:f>ABS(C60)</x:f>
        <x:v>0.001893593366663852</x:v>
      </x:c>
      <x:c r="F60" s="16" t="n">
        <x:f>C60^2</x:f>
        <x:v>0.000003585695838273341</x:v>
      </x:c>
      <x:c r="G60" s="1"/>
      <x:c r="H60" s="1"/>
      <x:c r="I60" s="1"/>
      <x:c r="J60" s="1"/>
      <x:c r="K60" s="1"/>
      <x:c r="L60" s="1"/>
      <x:c r="M60" s="1"/>
      <x:c r="N60" s="1"/>
    </x:row>
    <x:row r="61" ht="22" customHeight="1">
      <x:c r="A61" s="1" t="n">
        <x:v>45</x:v>
      </x:c>
      <x:c r="B61" s="16" t="n">
        <x:v>-0.058530397796252055</x:v>
      </x:c>
      <x:c r="C61" s="16" t="n">
        <x:f>$B$12+$D$12*B61</x:f>
        <x:v>-0.0002811327729137749</x:v>
      </x:c>
      <x:c r="D61" s="12" t="n">
        <x:f>D60*EXP(C61)</x:f>
        <x:v>114.28167485480095</x:v>
      </x:c>
      <x:c r="E61" s="16" t="n">
        <x:f>ABS(C61)</x:f>
        <x:v>0.0002811327729137749</x:v>
      </x:c>
      <x:c r="F61" s="16" t="n">
        <x:f>C61^2</x:f>
        <x:v>7.903563600618812e-8</x:v>
      </x:c>
      <x:c r="G61" s="1"/>
      <x:c r="H61" s="1"/>
      <x:c r="I61" s="1"/>
      <x:c r="J61" s="1"/>
      <x:c r="K61" s="1"/>
      <x:c r="L61" s="1"/>
      <x:c r="M61" s="1"/>
      <x:c r="N61" s="1"/>
    </x:row>
    <x:row r="62" ht="22" customHeight="1">
      <x:c r="A62" s="1" t="n">
        <x:v>46</x:v>
      </x:c>
      <x:c r="B62" s="16" t="n">
        <x:v>2.1034088505970385</x:v>
      </x:c>
      <x:c r="C62" s="16" t="n">
        <x:f>$B$12+$D$12*B62</x:f>
        <x:v>0.028302570104536833</x:v>
      </x:c>
      <x:c r="D62" s="12" t="n">
        <x:f>D61*EXP(C62)</x:f>
        <x:v>117.56234669986493</x:v>
      </x:c>
      <x:c r="E62" s="16" t="n">
        <x:f>ABS(C62)</x:f>
        <x:v>0.028302570104536833</x:v>
      </x:c>
      <x:c r="F62" s="16" t="n">
        <x:f>C62^2</x:f>
        <x:v>0.000801035474522222</x:v>
      </x:c>
      <x:c r="G62" s="1"/>
      <x:c r="H62" s="1"/>
      <x:c r="I62" s="1"/>
      <x:c r="J62" s="1"/>
      <x:c r="K62" s="1"/>
      <x:c r="L62" s="1"/>
      <x:c r="M62" s="1"/>
      <x:c r="N62" s="1"/>
    </x:row>
    <x:row r="63" ht="22" customHeight="1">
      <x:c r="A63" s="1" t="n">
        <x:v>47</x:v>
      </x:c>
      <x:c r="B63" s="16" t="n">
        <x:v>-0.07309075842111613</x:v>
      </x:c>
      <x:c r="C63" s="16" t="n">
        <x:f>$B$12+$D$12*B63</x:f>
        <x:v>-0.0004736400425787061</x:v>
      </x:c>
      <x:c r="D63" s="12" t="n">
        <x:f>D62*EXP(C63)</x:f>
        <x:v>117.50667764955475</x:v>
      </x:c>
      <x:c r="E63" s="16" t="n">
        <x:f>ABS(C63)</x:f>
        <x:v>0.0004736400425787061</x:v>
      </x:c>
      <x:c r="F63" s="16" t="n">
        <x:f>C63^2</x:f>
        <x:v>2.243348899339585e-7</x:v>
      </x:c>
      <x:c r="G63" s="1"/>
      <x:c r="H63" s="1"/>
      <x:c r="I63" s="1"/>
      <x:c r="J63" s="1"/>
      <x:c r="K63" s="1"/>
      <x:c r="L63" s="1"/>
      <x:c r="M63" s="1"/>
      <x:c r="N63" s="1"/>
    </x:row>
    <x:row r="64" ht="22" customHeight="1">
      <x:c r="A64" s="1" t="n">
        <x:v>48</x:v>
      </x:c>
      <x:c r="B64" s="16" t="n">
        <x:v>-0.30101740271475885</x:v>
      </x:c>
      <x:c r="C64" s="16" t="n">
        <x:f>$B$12+$D$12*B64</x:f>
        <x:v>-0.0034871324352005913</x:v>
      </x:c>
      <x:c r="D64" s="12" t="n">
        <x:f>D63*EXP(C64)</x:f>
        <x:v>117.09762991887969</x:v>
      </x:c>
      <x:c r="E64" s="16" t="n">
        <x:f>ABS(C64)</x:f>
        <x:v>0.0034871324352005913</x:v>
      </x:c>
      <x:c r="F64" s="16" t="n">
        <x:f>C64^2</x:f>
        <x:v>0.000012160092620628005</x:v>
      </x:c>
      <x:c r="G64" s="1"/>
      <x:c r="H64" s="1"/>
      <x:c r="I64" s="1"/>
      <x:c r="J64" s="1"/>
      <x:c r="K64" s="1"/>
      <x:c r="L64" s="1"/>
      <x:c r="M64" s="1"/>
      <x:c r="N64" s="1"/>
    </x:row>
    <x:row r="65" ht="22" customHeight="1">
      <x:c r="A65" s="1" t="n">
        <x:v>49</x:v>
      </x:c>
      <x:c r="B65" s="16" t="n">
        <x:v>-1.1188573183904686</x:v>
      </x:c>
      <x:c r="C65" s="16" t="n">
        <x:f>$B$12+$D$12*B65</x:f>
        <x:v>-0.014300060304643262</x:v>
      </x:c>
      <x:c r="D65" s="12" t="n">
        <x:f>D64*EXP(C65)</x:f>
        <x:v>115.43504263076507</x:v>
      </x:c>
      <x:c r="E65" s="16" t="n">
        <x:f>ABS(C65)</x:f>
        <x:v>0.014300060304643262</x:v>
      </x:c>
      <x:c r="F65" s="16" t="n">
        <x:f>C65^2</x:f>
        <x:v>0.00020449172471643395</x:v>
      </x:c>
      <x:c r="G65" s="1"/>
      <x:c r="H65" s="1"/>
      <x:c r="I65" s="1"/>
      <x:c r="J65" s="1"/>
      <x:c r="K65" s="1"/>
      <x:c r="L65" s="1"/>
      <x:c r="M65" s="1"/>
      <x:c r="N65" s="1"/>
    </x:row>
    <x:row r="66" ht="22" customHeight="1">
      <x:c r="A66" s="1" t="n">
        <x:v>50</x:v>
      </x:c>
      <x:c r="B66" s="16" t="n">
        <x:v>-0.5571347000988267</x:v>
      </x:c>
      <x:c r="C66" s="16" t="n">
        <x:f>$B$12+$D$12*B66</x:f>
        <x:v>-0.006873342633124751</x:v>
      </x:c>
      <x:c r="D66" s="12" t="n">
        <x:f>D65*EXP(C66)</x:f>
        <x:v>114.6443385339071</x:v>
      </x:c>
      <x:c r="E66" s="16" t="n">
        <x:f>ABS(C66)</x:f>
        <x:v>0.006873342633124751</x:v>
      </x:c>
      <x:c r="F66" s="16" t="n">
        <x:f>C66^2</x:f>
        <x:v>0.00004724283895233028</x:v>
      </x:c>
      <x:c r="G66" s="1"/>
      <x:c r="H66" s="1"/>
      <x:c r="I66" s="1"/>
      <x:c r="J66" s="1"/>
      <x:c r="K66" s="1"/>
      <x:c r="L66" s="1"/>
      <x:c r="M66" s="1"/>
      <x:c r="N66" s="1"/>
    </x:row>
    <x:row r="67" ht="22" customHeight="1">
      <x:c r="A67" s="1" t="n">
        <x:v>51</x:v>
      </x:c>
      <x:c r="B67" s="16" t="n">
        <x:v>0.7043692066464802</x:v>
      </x:c>
      <x:c r="C67" s="16" t="n">
        <x:f>$B$12+$D$12*B67</x:f>
        <x:v>0.00980541134941612</x:v>
      </x:c>
      <x:c r="D67" s="12" t="n">
        <x:f>D66*EXP(C67)</x:f>
        <x:v>115.77400279243211</x:v>
      </x:c>
      <x:c r="E67" s="16" t="n">
        <x:f>ABS(C67)</x:f>
        <x:v>0.00980541134941612</x:v>
      </x:c>
      <x:c r="F67" s="16" t="n">
        <x:f>C67^2</x:f>
        <x:v>0.00009614609173125844</x:v>
      </x:c>
      <x:c r="G67" s="1"/>
      <x:c r="H67" s="1"/>
      <x:c r="I67" s="1"/>
      <x:c r="J67" s="1"/>
      <x:c r="K67" s="1"/>
      <x:c r="L67" s="1"/>
      <x:c r="M67" s="1"/>
      <x:c r="N67" s="1"/>
    </x:row>
    <x:row r="68" ht="22" customHeight="1">
      <x:c r="A68" s="1" t="n">
        <x:v>52</x:v>
      </x:c>
      <x:c r="B68" s="16" t="n">
        <x:v>-0.20811817805936028</x:v>
      </x:c>
      <x:c r="C68" s="16" t="n">
        <x:f>$B$12+$D$12*B68</x:f>
        <x:v>-0.0022588815317263655</x:v>
      </x:c>
      <x:c r="D68" s="12" t="n">
        <x:f>D67*EXP(C68)</x:f>
        <x:v>115.51277818446741</x:v>
      </x:c>
      <x:c r="E68" s="16" t="n">
        <x:f>ABS(C68)</x:f>
        <x:v>0.0022588815317263655</x:v>
      </x:c>
      <x:c r="F68" s="16" t="n">
        <x:f>C68^2</x:f>
        <x:v>0.000005102545774374451</x:v>
      </x:c>
      <x:c r="G68" s="1"/>
      <x:c r="H68" s="1"/>
      <x:c r="I68" s="1"/>
      <x:c r="J68" s="1"/>
      <x:c r="K68" s="1"/>
      <x:c r="L68" s="1"/>
      <x:c r="M68" s="1"/>
      <x:c r="N68" s="1"/>
    </x:row>
    <x:row r="69" ht="22" customHeight="1">
      <x:c r="A69" s="1" t="n">
        <x:v>53</x:v>
      </x:c>
      <x:c r="B69" s="16" t="n">
        <x:v>-0.7496380855576689</x:v>
      </x:c>
      <x:c r="C69" s="16" t="n">
        <x:f>$B$12+$D$12*B69</x:f>
        <x:v>-0.009418492584469687</x:v>
      </x:c>
      <x:c r="D69" s="12" t="n">
        <x:f>D68*EXP(C69)</x:f>
        <x:v>114.42992934636933</x:v>
      </x:c>
      <x:c r="E69" s="16" t="n">
        <x:f>ABS(C69)</x:f>
        <x:v>0.009418492584469687</x:v>
      </x:c>
      <x:c r="F69" s="16" t="n">
        <x:f>C69^2</x:f>
        <x:v>0.00008870800256371048</x:v>
      </x:c>
      <x:c r="G69" s="1"/>
      <x:c r="H69" s="1"/>
      <x:c r="I69" s="1"/>
      <x:c r="J69" s="1"/>
      <x:c r="K69" s="1"/>
      <x:c r="L69" s="1"/>
      <x:c r="M69" s="1"/>
      <x:c r="N69" s="1"/>
    </x:row>
    <x:row r="70" ht="22" customHeight="1">
      <x:c r="A70" s="1" t="n">
        <x:v>54</x:v>
      </x:c>
      <x:c r="B70" s="16" t="n">
        <x:v>1.2151501487617833</x:v>
      </x:c>
      <x:c r="C70" s="16" t="n">
        <x:f>$B$12+$D$12*B70</x:f>
        <x:v>0.01655861253013318</x:v>
      </x:c>
      <x:c r="D70" s="12" t="n">
        <x:f>D69*EXP(C70)</x:f>
        <x:v>116.34050479304898</x:v>
      </x:c>
      <x:c r="E70" s="16" t="n">
        <x:f>ABS(C70)</x:f>
        <x:v>0.01655861253013318</x:v>
      </x:c>
      <x:c r="F70" s="16" t="n">
        <x:f>C70^2</x:f>
        <x:v>0.00027418764892308357</x:v>
      </x:c>
      <x:c r="G70" s="1"/>
      <x:c r="H70" s="1"/>
      <x:c r="I70" s="1"/>
      <x:c r="J70" s="1"/>
      <x:c r="K70" s="1"/>
      <x:c r="L70" s="1"/>
      <x:c r="M70" s="1"/>
      <x:c r="N70" s="1"/>
    </x:row>
    <x:row r="71" ht="22" customHeight="1">
      <x:c r="A71" s="1" t="n">
        <x:v>55</x:v>
      </x:c>
      <x:c r="B71" s="16" t="n">
        <x:v>-0.2756306585654563</x:v>
      </x:c>
      <x:c r="C71" s="16" t="n">
        <x:f>$B$12+$D$12*B71</x:f>
        <x:v>-0.00315148602315233</x:v>
      </x:c>
      <x:c r="D71" s="12" t="n">
        <x:f>D70*EXP(C71)</x:f>
        <x:v>115.9744364508775</x:v>
      </x:c>
      <x:c r="E71" s="16" t="n">
        <x:f>ABS(C71)</x:f>
        <x:v>0.00315148602315233</x:v>
      </x:c>
      <x:c r="F71" s="16" t="n">
        <x:f>C71^2</x:f>
        <x:v>0.00000993186415412449</x:v>
      </x:c>
      <x:c r="G71" s="1"/>
      <x:c r="H71" s="1"/>
      <x:c r="I71" s="1"/>
      <x:c r="J71" s="1"/>
      <x:c r="K71" s="1"/>
      <x:c r="L71" s="1"/>
      <x:c r="M71" s="1"/>
      <x:c r="N71" s="1"/>
    </x:row>
    <x:row r="72" ht="22" customHeight="1">
      <x:c r="A72" s="1" t="n">
        <x:v>56</x:v>
      </x:c>
      <x:c r="B72" s="16" t="n">
        <x:v>0.9898214216948384</x:v>
      </x:c>
      <x:c r="C72" s="16" t="n">
        <x:f>$B$12+$D$12*B72</x:f>
        <x:v>0.013579468047223988</x:v>
      </x:c>
      <x:c r="D72" s="12" t="n">
        <x:f>D71*EXP(C72)</x:f>
        <x:v>117.56004912753137</x:v>
      </x:c>
      <x:c r="E72" s="16" t="n">
        <x:f>ABS(C72)</x:f>
        <x:v>0.013579468047223988</x:v>
      </x:c>
      <x:c r="F72" s="16" t="n">
        <x:f>C72^2</x:f>
        <x:v>0.00018440195244557727</x:v>
      </x:c>
      <x:c r="G72" s="1"/>
      <x:c r="H72" s="1"/>
      <x:c r="I72" s="1"/>
      <x:c r="J72" s="1"/>
      <x:c r="K72" s="1"/>
      <x:c r="L72" s="1"/>
      <x:c r="M72" s="1"/>
      <x:c r="N72" s="1"/>
    </x:row>
    <x:row r="73" ht="22" customHeight="1">
      <x:c r="A73" s="1" t="n">
        <x:v>57</x:v>
      </x:c>
      <x:c r="B73" s="16" t="n">
        <x:v>0.3116825186470755</x:v>
      </x:c>
      <x:c r="C73" s="16" t="n">
        <x:f>$B$12+$D$12*B73</x:f>
        <x:v>0.004613572761885547</x:v>
      </x:c>
      <x:c r="D73" s="12" t="n">
        <x:f>D72*EXP(C73)</x:f>
        <x:v>118.10367403033746</x:v>
      </x:c>
      <x:c r="E73" s="16" t="n">
        <x:f>ABS(C73)</x:f>
        <x:v>0.004613572761885547</x:v>
      </x:c>
      <x:c r="F73" s="16" t="n">
        <x:f>C73^2</x:f>
        <x:v>0.00002128505362921223</x:v>
      </x:c>
      <x:c r="G73" s="1"/>
      <x:c r="H73" s="1"/>
      <x:c r="I73" s="1"/>
      <x:c r="J73" s="1"/>
      <x:c r="K73" s="1"/>
      <x:c r="L73" s="1"/>
      <x:c r="M73" s="1"/>
      <x:c r="N73" s="1"/>
    </x:row>
    <x:row r="74" ht="22" customHeight="1">
      <x:c r="A74" s="1" t="n">
        <x:v>58</x:v>
      </x:c>
      <x:c r="B74" s="16" t="n">
        <x:v>-0.5581614057083705</x:v>
      </x:c>
      <x:c r="C74" s="16" t="n">
        <x:f>$B$12+$D$12*B74</x:f>
        <x:v>-0.006886917042353697</x:v>
      </x:c>
      <x:c r="D74" s="12" t="n">
        <x:f>D73*EXP(C74)</x:f>
        <x:v>117.2930982128722</x:v>
      </x:c>
      <x:c r="E74" s="16" t="n">
        <x:f>ABS(C74)</x:f>
        <x:v>0.006886917042353697</x:v>
      </x:c>
      <x:c r="F74" s="16" t="n">
        <x:f>C74^2</x:f>
        <x:v>0.00004742962634826179</x:v>
      </x:c>
      <x:c r="G74" s="1"/>
      <x:c r="H74" s="1"/>
      <x:c r="I74" s="1"/>
      <x:c r="J74" s="1"/>
      <x:c r="K74" s="1"/>
      <x:c r="L74" s="1"/>
      <x:c r="M74" s="1"/>
      <x:c r="N74" s="1"/>
    </x:row>
    <x:row r="75" ht="22" customHeight="1">
      <x:c r="A75" s="1" t="n">
        <x:v>59</x:v>
      </x:c>
      <x:c r="B75" s="16" t="n">
        <x:v>0.9156526461783597</x:v>
      </x:c>
      <x:c r="C75" s="16" t="n">
        <x:f>$B$12+$D$12*B75</x:f>
        <x:v>0.012598858511723435</x:v>
      </x:c>
      <x:c r="D75" s="12" t="n">
        <x:f>D74*EXP(C75)</x:f>
        <x:v>118.7802056187427</x:v>
      </x:c>
      <x:c r="E75" s="16" t="n">
        <x:f>ABS(C75)</x:f>
        <x:v>0.012598858511723435</x:v>
      </x:c>
      <x:c r="F75" s="16" t="n">
        <x:f>C75^2</x:f>
        <x:v>0.00015873123579842607</x:v>
      </x:c>
      <x:c r="G75" s="1"/>
      <x:c r="H75" s="1"/>
      <x:c r="I75" s="1"/>
      <x:c r="J75" s="1"/>
      <x:c r="K75" s="1"/>
      <x:c r="L75" s="1"/>
      <x:c r="M75" s="1"/>
      <x:c r="N75" s="1"/>
    </x:row>
    <x:row r="76" ht="22" customHeight="1">
      <x:c r="A76" s="1" t="n">
        <x:v>60</x:v>
      </x:c>
      <x:c r="B76" s="16" t="n">
        <x:v>-0.5145932219911649</x:v>
      </x:c>
      <x:c r="C76" s="16" t="n">
        <x:f>$B$12+$D$12*B76</x:f>
        <x:v>-0.00631088789666503</x:v>
      </x:c>
      <x:c r="D76" s="12" t="n">
        <x:f>D75*EXP(C76)</x:f>
        <x:v>118.03295743656619</x:v>
      </x:c>
      <x:c r="E76" s="16" t="n">
        <x:f>ABS(C76)</x:f>
        <x:v>0.00631088789666503</x:v>
      </x:c>
      <x:c r="F76" s="16" t="n">
        <x:f>C76^2</x:f>
        <x:v>0.000039827306044273166</x:v>
      </x:c>
      <x:c r="G76" s="1"/>
      <x:c r="H76" s="1"/>
      <x:c r="I76" s="1"/>
      <x:c r="J76" s="1"/>
      <x:c r="K76" s="1"/>
      <x:c r="L76" s="1"/>
      <x:c r="M76" s="1"/>
      <x:c r="N76" s="1"/>
    </x:row>
    <x:row r="77" ht="22" customHeight="1">
      <x:c r="A77" s="1" t="n">
        <x:v>61</x:v>
      </x:c>
      <x:c r="B77" s="16" t="n">
        <x:v>1.3096454901550052</x:v>
      </x:c>
      <x:c r="C77" s="16" t="n">
        <x:f>$B$12+$D$12*B77</x:f>
        <x:v>0.017807966212802322</x:v>
      </x:c>
      <x:c r="D77" s="12" t="n">
        <x:f>D76*EXP(C77)</x:f>
        <x:v>120.1537114678505</x:v>
      </x:c>
      <x:c r="E77" s="16" t="n">
        <x:f>ABS(C77)</x:f>
        <x:v>0.017807966212802322</x:v>
      </x:c>
      <x:c r="F77" s="16" t="n">
        <x:f>C77^2</x:f>
        <x:v>0.0003171236606363091</x:v>
      </x:c>
      <x:c r="G77" s="1"/>
      <x:c r="H77" s="1"/>
      <x:c r="I77" s="1"/>
      <x:c r="J77" s="1"/>
      <x:c r="K77" s="1"/>
      <x:c r="L77" s="1"/>
      <x:c r="M77" s="1"/>
      <x:c r="N77" s="1"/>
    </x:row>
    <x:row r="78" ht="22" customHeight="1">
      <x:c r="A78" s="1" t="n">
        <x:v>62</x:v>
      </x:c>
      <x:c r="B78" s="16" t="n">
        <x:v>0.5497494111385471</x:v>
      </x:c>
      <x:c r="C78" s="16" t="n">
        <x:f>$B$12+$D$12*B78</x:f>
        <x:v>0.007761132678285333</x:v>
      </x:c>
      <x:c r="D78" s="12" t="n">
        <x:f>D77*EXP(C78)</x:f>
        <x:v>121.08986848462081</x:v>
      </x:c>
      <x:c r="E78" s="16" t="n">
        <x:f>ABS(C78)</x:f>
        <x:v>0.007761132678285333</x:v>
      </x:c>
      <x:c r="F78" s="16" t="n">
        <x:f>C78^2</x:f>
        <x:v>0.00006023518044994846</x:v>
      </x:c>
      <x:c r="G78" s="1"/>
      <x:c r="H78" s="1"/>
      <x:c r="I78" s="1"/>
      <x:c r="J78" s="1"/>
      <x:c r="K78" s="1"/>
      <x:c r="L78" s="1"/>
      <x:c r="M78" s="1"/>
      <x:c r="N78" s="1"/>
    </x:row>
    <x:row r="79" ht="22" customHeight="1">
      <x:c r="A79" s="1" t="n">
        <x:v>63</x:v>
      </x:c>
      <x:c r="B79" s="16" t="n">
        <x:v>2.2033085695797885</x:v>
      </x:c>
      <x:c r="C79" s="16" t="n">
        <x:f>$B$12+$D$12*B79</x:f>
        <x:v>0.029623376823349996</x:v>
      </x:c>
      <x:c r="D79" s="12" t="n">
        <x:f>D78*EXP(C79)</x:f>
        <x:v>124.73061870665072</x:v>
      </x:c>
      <x:c r="E79" s="16" t="n">
        <x:f>ABS(C79)</x:f>
        <x:v>0.029623376823349996</x:v>
      </x:c>
      <x:c r="F79" s="16" t="n">
        <x:f>C79^2</x:f>
        <x:v>0.0008775444544181897</x:v>
      </x:c>
      <x:c r="G79" s="1"/>
      <x:c r="H79" s="1"/>
      <x:c r="I79" s="1"/>
      <x:c r="J79" s="1"/>
      <x:c r="K79" s="1"/>
      <x:c r="L79" s="1"/>
      <x:c r="M79" s="1"/>
      <x:c r="N79" s="1"/>
    </x:row>
    <x:row r="80" ht="22" customHeight="1">
      <x:c r="A80" s="1" t="n">
        <x:v>64</x:v>
      </x:c>
      <x:c r="B80" s="16" t="n">
        <x:v>1.2688487199273784</x:v>
      </x:c>
      <x:c r="C80" s="16" t="n">
        <x:f>$B$12+$D$12*B80</x:f>
        <x:v>0.017268578827420077</x:v>
      </x:c>
      <x:c r="D80" s="12" t="n">
        <x:f>D79*EXP(C80)</x:f>
        <x:v>126.90324431611037</x:v>
      </x:c>
      <x:c r="E80" s="16" t="n">
        <x:f>ABS(C80)</x:f>
        <x:v>0.017268578827420077</x:v>
      </x:c>
      <x:c r="F80" s="16" t="n">
        <x:f>C80^2</x:f>
        <x:v>0.0002982038147188209</x:v>
      </x:c>
      <x:c r="G80" s="1"/>
      <x:c r="H80" s="1"/>
      <x:c r="I80" s="1"/>
      <x:c r="J80" s="1"/>
      <x:c r="K80" s="1"/>
      <x:c r="L80" s="1"/>
      <x:c r="M80" s="1"/>
      <x:c r="N80" s="1"/>
    </x:row>
    <x:row r="81" ht="22" customHeight="1">
      <x:c r="A81" s="1" t="n">
        <x:v>65</x:v>
      </x:c>
      <x:c r="B81" s="16" t="n">
        <x:v>1.2347295019254754</x:v>
      </x:c>
      <x:c r="C81" s="16" t="n">
        <x:f>$B$12+$D$12*B81</x:f>
        <x:v>0.016817477534679246</x:v>
      </x:c>
      <x:c r="D81" s="12" t="n">
        <x:f>D80*EXP(C81)</x:f>
        <x:v>129.05548366914937</x:v>
      </x:c>
      <x:c r="E81" s="16" t="n">
        <x:f>ABS(C81)</x:f>
        <x:v>0.016817477534679246</x:v>
      </x:c>
      <x:c r="F81" s="16" t="n">
        <x:f>C81^2</x:f>
        <x:v>0.0002828275506294411</x:v>
      </x:c>
      <x:c r="G81" s="1"/>
      <x:c r="H81" s="1"/>
      <x:c r="I81" s="1"/>
      <x:c r="J81" s="1"/>
      <x:c r="K81" s="1"/>
      <x:c r="L81" s="1"/>
      <x:c r="M81" s="1"/>
      <x:c r="N81" s="1"/>
    </x:row>
    <x:row r="82" ht="22" customHeight="1">
      <x:c r="A82" s="1" t="n">
        <x:v>66</x:v>
      </x:c>
      <x:c r="B82" s="16" t="n">
        <x:v>-0.13373136003630096</x:v>
      </x:c>
      <x:c r="C82" s="16" t="n">
        <x:f>$B$12+$D$12*B82</x:f>
        <x:v>-0.0012753891852368415</x:v>
      </x:c>
      <x:c r="D82" s="12" t="n">
        <x:f>D81*EXP(C82)</x:f>
        <x:v>128.89099261833286</x:v>
      </x:c>
      <x:c r="E82" s="16" t="n">
        <x:f>ABS(C82)</x:f>
        <x:v>0.0012753891852368415</x:v>
      </x:c>
      <x:c r="F82" s="16" t="n">
        <x:f>C82^2</x:f>
        <x:v>0.0000016266175738190945</x:v>
      </x:c>
      <x:c r="G82" s="1"/>
      <x:c r="H82" s="1"/>
      <x:c r="I82" s="1"/>
      <x:c r="J82" s="1"/>
      <x:c r="K82" s="1"/>
      <x:c r="L82" s="1"/>
      <x:c r="M82" s="1"/>
      <x:c r="N82" s="1"/>
    </x:row>
    <x:row r="83" ht="22" customHeight="1">
      <x:c r="A83" s="1" t="n">
        <x:v>67</x:v>
      </x:c>
      <x:c r="B83" s="16" t="n">
        <x:v>0.7032984007911428</x:v>
      </x:c>
      <x:c r="C83" s="16" t="n">
        <x:f>$B$12+$D$12*B83</x:f>
        <x:v>0.009791253876475498</x:v>
      </x:c>
      <x:c r="D83" s="12" t="n">
        <x:f>D82*EXP(C83)</x:f>
        <x:v>130.15919556623868</x:v>
      </x:c>
      <x:c r="E83" s="16" t="n">
        <x:f>ABS(C83)</x:f>
        <x:v>0.009791253876475498</x:v>
      </x:c>
      <x:c r="F83" s="16" t="n">
        <x:f>C83^2</x:f>
        <x:v>0.00009586865247359646</x:v>
      </x:c>
      <x:c r="G83" s="1"/>
      <x:c r="H83" s="1"/>
      <x:c r="I83" s="1"/>
      <x:c r="J83" s="1"/>
      <x:c r="K83" s="1"/>
      <x:c r="L83" s="1"/>
      <x:c r="M83" s="1"/>
      <x:c r="N83" s="1"/>
    </x:row>
    <x:row r="84" ht="22" customHeight="1">
      <x:c r="A84" s="1" t="n">
        <x:v>68</x:v>
      </x:c>
      <x:c r="B84" s="16" t="n">
        <x:v>0.2839911407717796</x:v>
      </x:c>
      <x:c r="C84" s="16" t="n">
        <x:f>$B$12+$D$12*B84</x:f>
        <x:v>0.004247456036800459</x:v>
      </x:c>
      <x:c r="D84" s="12" t="n">
        <x:f>D83*EXP(C84)</x:f>
        <x:v>130.71321678465685</x:v>
      </x:c>
      <x:c r="E84" s="16" t="n">
        <x:f>ABS(C84)</x:f>
        <x:v>0.004247456036800459</x:v>
      </x:c>
      <x:c r="F84" s="16" t="n">
        <x:f>C84^2</x:f>
        <x:v>0.00001804088278455266</x:v>
      </x:c>
      <x:c r="G84" s="1"/>
      <x:c r="H84" s="1"/>
      <x:c r="I84" s="1"/>
      <x:c r="J84" s="1"/>
      <x:c r="K84" s="1"/>
      <x:c r="L84" s="1"/>
      <x:c r="M84" s="1"/>
      <x:c r="N84" s="1"/>
    </x:row>
    <x:row r="85" ht="22" customHeight="1">
      <x:c r="A85" s="1" t="n">
        <x:v>69</x:v>
      </x:c>
      <x:c r="B85" s="16" t="n">
        <x:v>-3.0309517783220548</x:v>
      </x:c>
      <x:c r="C85" s="16" t="n">
        <x:f>$B$12+$D$12*B85</x:f>
        <x:v>-0.039580483867387745</x:v>
      </x:c>
      <x:c r="D85" s="12" t="n">
        <x:f>D84*EXP(C85)</x:f>
        <x:v>125.64057543819915</x:v>
      </x:c>
      <x:c r="E85" s="16" t="n">
        <x:f>ABS(C85)</x:f>
        <x:v>0.039580483867387745</x:v>
      </x:c>
      <x:c r="F85" s="16" t="n">
        <x:f>C85^2</x:f>
        <x:v>0.0015666147031765415</x:v>
      </x:c>
      <x:c r="G85" s="1"/>
      <x:c r="H85" s="1"/>
      <x:c r="I85" s="1"/>
      <x:c r="J85" s="1"/>
      <x:c r="K85" s="1"/>
      <x:c r="L85" s="1"/>
      <x:c r="M85" s="1"/>
      <x:c r="N85" s="1"/>
    </x:row>
    <x:row r="86" ht="22" customHeight="1">
      <x:c r="A86" s="1" t="n">
        <x:v>70</x:v>
      </x:c>
      <x:c r="B86" s="16" t="n">
        <x:v>-0.19982425680442154</x:v>
      </x:c>
      <x:c r="C86" s="16" t="n">
        <x:f>$B$12+$D$12*B86</x:f>
        <x:v>-0.002149224897750028</x:v>
      </x:c>
      <x:c r="D86" s="12" t="n">
        <x:f>D85*EXP(C86)</x:f>
        <x:v>125.37083555496736</x:v>
      </x:c>
      <x:c r="E86" s="16" t="n">
        <x:f>ABS(C86)</x:f>
        <x:v>0.002149224897750028</x:v>
      </x:c>
      <x:c r="F86" s="16" t="n">
        <x:f>C86^2</x:f>
        <x:v>0.000004619167661108618</x:v>
      </x:c>
      <x:c r="G86" s="1"/>
      <x:c r="H86" s="1"/>
      <x:c r="I86" s="1"/>
      <x:c r="J86" s="1"/>
      <x:c r="K86" s="1"/>
      <x:c r="L86" s="1"/>
      <x:c r="M86" s="1"/>
      <x:c r="N86" s="1"/>
    </x:row>
    <x:row r="87" ht="22" customHeight="1">
      <x:c r="A87" s="1" t="n">
        <x:v>71</x:v>
      </x:c>
      <x:c r="B87" s="16" t="n">
        <x:v>-0.027299915108644223</x:v>
      </x:c>
      <x:c r="C87" s="16" t="n">
        <x:f>$B$12+$D$12*B87</x:f>
        <x:v>0.0001317756094680942</x:v>
      </x:c>
      <x:c r="D87" s="12" t="n">
        <x:f>D86*EXP(C87)</x:f>
        <x:v>125.38735746180039</x:v>
      </x:c>
      <x:c r="E87" s="16" t="n">
        <x:f>ABS(C87)</x:f>
        <x:v>0.0001317756094680942</x:v>
      </x:c>
      <x:c r="F87" s="16" t="n">
        <x:f>C87^2</x:f>
        <x:v>1.736481125068768e-8</x:v>
      </x:c>
      <x:c r="G87" s="1"/>
      <x:c r="H87" s="1"/>
      <x:c r="I87" s="1"/>
      <x:c r="J87" s="1"/>
      <x:c r="K87" s="1"/>
      <x:c r="L87" s="1"/>
      <x:c r="M87" s="1"/>
      <x:c r="N87" s="1"/>
    </x:row>
    <x:row r="88" ht="22" customHeight="1">
      <x:c r="A88" s="1" t="n">
        <x:v>72</x:v>
      </x:c>
      <x:c r="B88" s="16" t="n">
        <x:v>-1.173370635804307</x:v>
      </x:c>
      <x:c r="C88" s="16" t="n">
        <x:f>$B$12+$D$12*B88</x:f>
        <x:v>-0.01502079862741497</x:v>
      </x:c>
      <x:c r="D88" s="12" t="n">
        <x:f>D87*EXP(C88)</x:f>
        <x:v>123.51801387903096</x:v>
      </x:c>
      <x:c r="E88" s="16" t="n">
        <x:f>ABS(C88)</x:f>
        <x:v>0.01502079862741497</x:v>
      </x:c>
      <x:c r="F88" s="16" t="n">
        <x:f>C88^2</x:f>
        <x:v>0.00022562439140535147</x:v>
      </x:c>
      <x:c r="G88" s="1"/>
      <x:c r="H88" s="1"/>
      <x:c r="I88" s="1"/>
      <x:c r="J88" s="1"/>
      <x:c r="K88" s="1"/>
      <x:c r="L88" s="1"/>
      <x:c r="M88" s="1"/>
      <x:c r="N88" s="1"/>
    </x:row>
    <x:row r="89" ht="22" customHeight="1">
      <x:c r="A89" s="1" t="n">
        <x:v>73</x:v>
      </x:c>
      <x:c r="B89" s="16" t="n">
        <x:v>-1.8641757006764696</x:v>
      </x:c>
      <x:c r="C89" s="16" t="n">
        <x:f>$B$12+$D$12*B89</x:f>
        <x:v>-0.02415415736319746</x:v>
      </x:c>
      <x:c r="D89" s="12" t="n">
        <x:f>D88*EXP(C89)</x:f>
        <x:v>120.57028361805507</x:v>
      </x:c>
      <x:c r="E89" s="16" t="n">
        <x:f>ABS(C89)</x:f>
        <x:v>0.02415415736319746</x:v>
      </x:c>
      <x:c r="F89" s="16" t="n">
        <x:f>C89^2</x:f>
        <x:v>0.0005834233179261061</x:v>
      </x:c>
      <x:c r="G89" s="1"/>
      <x:c r="H89" s="1"/>
      <x:c r="I89" s="1"/>
      <x:c r="J89" s="1"/>
      <x:c r="K89" s="1"/>
      <x:c r="L89" s="1"/>
      <x:c r="M89" s="1"/>
      <x:c r="N89" s="1"/>
    </x:row>
    <x:row r="90" ht="22" customHeight="1">
      <x:c r="A90" s="1" t="n">
        <x:v>74</x:v>
      </x:c>
      <x:c r="B90" s="16" t="n">
        <x:v>1.246867971948116</x:v>
      </x:c>
      <x:c r="C90" s="16" t="n">
        <x:f>$B$12+$D$12*B90</x:f>
        <x:v>0.016977964199959898</x:v>
      </x:c>
      <x:c r="D90" s="12" t="n">
        <x:f>D89*EXP(C90)</x:f>
        <x:v>122.63479760787978</x:v>
      </x:c>
      <x:c r="E90" s="16" t="n">
        <x:f>ABS(C90)</x:f>
        <x:v>0.016977964199959898</x:v>
      </x:c>
      <x:c r="F90" s="16" t="n">
        <x:f>C90^2</x:f>
        <x:v>0.0002882512683751199</x:v>
      </x:c>
      <x:c r="G90" s="1"/>
      <x:c r="H90" s="1"/>
      <x:c r="I90" s="1"/>
      <x:c r="J90" s="1"/>
      <x:c r="K90" s="1"/>
      <x:c r="L90" s="1"/>
      <x:c r="M90" s="1"/>
      <x:c r="N90" s="1"/>
    </x:row>
    <x:row r="91" ht="22" customHeight="1">
      <x:c r="A91" s="1" t="n">
        <x:v>75</x:v>
      </x:c>
      <x:c r="B91" s="16" t="n">
        <x:v>-1.6373149934733073</x:v>
      </x:c>
      <x:c r="C91" s="16" t="n">
        <x:f>$B$12+$D$12*B91</x:f>
        <x:v>-0.021154758071990423</x:v>
      </x:c>
      <x:c r="D91" s="12" t="n">
        <x:f>D90*EXP(C91)</x:f>
        <x:v>120.06773664445295</x:v>
      </x:c>
      <x:c r="E91" s="16" t="n">
        <x:f>ABS(C91)</x:f>
        <x:v>0.021154758071990423</x:v>
      </x:c>
      <x:c r="F91" s="16" t="n">
        <x:f>C91^2</x:f>
        <x:v>0.00044752378908444396</x:v>
      </x:c>
      <x:c r="G91" s="1"/>
      <x:c r="H91" s="1"/>
      <x:c r="I91" s="1"/>
      <x:c r="J91" s="1"/>
      <x:c r="K91" s="1"/>
      <x:c r="L91" s="1"/>
      <x:c r="M91" s="1"/>
      <x:c r="N91" s="1"/>
    </x:row>
    <x:row r="92" ht="22" customHeight="1">
      <x:c r="A92" s="1" t="n">
        <x:v>76</x:v>
      </x:c>
      <x:c r="B92" s="16" t="n">
        <x:v>1.248874901681002</x:v>
      </x:c>
      <x:c r="C92" s="16" t="n">
        <x:f>$B$12+$D$12*B92</x:f>
        <x:v>0.017004498471551187</x:v>
      </x:c>
      <x:c r="D92" s="12" t="n">
        <x:f>D91*EXP(C92)</x:f>
        <x:v>122.12688607317116</x:v>
      </x:c>
      <x:c r="E92" s="16" t="n">
        <x:f>ABS(C92)</x:f>
        <x:v>0.017004498471551187</x:v>
      </x:c>
      <x:c r="F92" s="16" t="n">
        <x:f>C92^2</x:f>
        <x:v>0.0002891529682689866</x:v>
      </x:c>
      <x:c r="G92" s="1"/>
      <x:c r="H92" s="1"/>
      <x:c r="I92" s="1"/>
      <x:c r="J92" s="1"/>
      <x:c r="K92" s="1"/>
      <x:c r="L92" s="1"/>
      <x:c r="M92" s="1"/>
      <x:c r="N92" s="1"/>
    </x:row>
    <x:row r="93" ht="22" customHeight="1">
      <x:c r="A93" s="1" t="n">
        <x:v>77</x:v>
      </x:c>
      <x:c r="B93" s="16" t="n">
        <x:v>1.0459647256148223</x:v>
      </x:c>
      <x:c r="C93" s="16" t="n">
        <x:f>$B$12+$D$12*B93</x:f>
        <x:v>0.014321756952427902</x:v>
      </x:c>
      <x:c r="D93" s="12" t="n">
        <x:f>D92*EXP(C93)</x:f>
        <x:v>123.88854254940108</x:v>
      </x:c>
      <x:c r="E93" s="16" t="n">
        <x:f>ABS(C93)</x:f>
        <x:v>0.014321756952427902</x:v>
      </x:c>
      <x:c r="F93" s="16" t="n">
        <x:f>C93^2</x:f>
        <x:v>0.00020511272220441695</x:v>
      </x:c>
      <x:c r="G93" s="1"/>
      <x:c r="H93" s="1"/>
      <x:c r="I93" s="1"/>
      <x:c r="J93" s="1"/>
      <x:c r="K93" s="1"/>
      <x:c r="L93" s="1"/>
      <x:c r="M93" s="1"/>
      <x:c r="N93" s="1"/>
    </x:row>
    <x:row r="94" ht="22" customHeight="1">
      <x:c r="A94" s="1" t="n">
        <x:v>78</x:v>
      </x:c>
      <x:c r="B94" s="16" t="n">
        <x:v>0.24926095809691406</x:v>
      </x:c>
      <x:c r="C94" s="16" t="n">
        <x:f>$B$12+$D$12*B94</x:f>
        <x:v>0.003788276981146741</x:v>
      </x:c>
      <x:c r="D94" s="12" t="n">
        <x:f>D93*EXP(C94)</x:f>
        <x:v>124.35875675184994</x:v>
      </x:c>
      <x:c r="E94" s="16" t="n">
        <x:f>ABS(C94)</x:f>
        <x:v>0.003788276981146741</x:v>
      </x:c>
      <x:c r="F94" s="16" t="n">
        <x:f>C94^2</x:f>
        <x:v>0.000014351042485886264</x:v>
      </x:c>
      <x:c r="G94" s="1"/>
      <x:c r="H94" s="1"/>
      <x:c r="I94" s="1"/>
      <x:c r="J94" s="1"/>
      <x:c r="K94" s="1"/>
      <x:c r="L94" s="1"/>
      <x:c r="M94" s="1"/>
      <x:c r="N94" s="1"/>
    </x:row>
    <x:row r="95" ht="22" customHeight="1">
      <x:c r="A95" s="1" t="n">
        <x:v>79</x:v>
      </x:c>
      <x:c r="B95" s="16" t="n">
        <x:v>-0.9155612676655684</x:v>
      </x:c>
      <x:c r="C95" s="16" t="n">
        <x:f>$B$12+$D$12*B95</x:f>
        <x:v>-0.011612217010990002</x:v>
      </x:c>
      <x:c r="D95" s="12" t="n">
        <x:f>D94*EXP(C95)</x:f>
        <x:v>122.92302801128055</x:v>
      </x:c>
      <x:c r="E95" s="16" t="n">
        <x:f>ABS(C95)</x:f>
        <x:v>0.011612217010990002</x:v>
      </x:c>
      <x:c r="F95" s="16" t="n">
        <x:f>C95^2</x:f>
        <x:v>0.00013484358391032558</x:v>
      </x:c>
      <x:c r="G95" s="1"/>
      <x:c r="H95" s="1"/>
      <x:c r="I95" s="1"/>
      <x:c r="J95" s="1"/>
      <x:c r="K95" s="1"/>
      <x:c r="L95" s="1"/>
      <x:c r="M95" s="1"/>
      <x:c r="N95" s="1"/>
    </x:row>
    <x:row r="96" ht="22" customHeight="1">
      <x:c r="A96" s="1" t="n">
        <x:v>80</x:v>
      </x:c>
      <x:c r="B96" s="16" t="n">
        <x:v>-0.875544874722522</x:v>
      </x:c>
      <x:c r="C96" s="16" t="n">
        <x:f>$B$12+$D$12*B96</x:f>
        <x:v>-0.01108314724783111</x:v>
      </x:c>
      <x:c r="D96" s="12" t="n">
        <x:f>D95*EXP(C96)</x:f>
        <x:v>121.5681758732616</x:v>
      </x:c>
      <x:c r="E96" s="16" t="n">
        <x:f>ABS(C96)</x:f>
        <x:v>0.01108314724783111</x:v>
      </x:c>
      <x:c r="F96" s="16" t="n">
        <x:f>C96^2</x:f>
        <x:v>0.0001228361529171063</x:v>
      </x:c>
      <x:c r="G96" s="1"/>
      <x:c r="H96" s="1"/>
      <x:c r="I96" s="1"/>
      <x:c r="J96" s="1"/>
      <x:c r="K96" s="1"/>
      <x:c r="L96" s="1"/>
      <x:c r="M96" s="1"/>
      <x:c r="N96" s="1"/>
    </x:row>
    <x:row r="97" ht="22" customHeight="1">
      <x:c r="A97" s="1" t="n">
        <x:v>81</x:v>
      </x:c>
      <x:c r="B97" s="16" t="n">
        <x:v>0.3009362787089903</x:v>
      </x:c>
      <x:c r="C97" s="16" t="n">
        <x:f>$B$12+$D$12*B97</x:f>
        <x:v>0.0044714932239575955</x:v>
      </x:c>
      <x:c r="D97" s="12" t="n">
        <x:f>D96*EXP(C97)</x:f>
        <x:v>122.1129842937553</x:v>
      </x:c>
      <x:c r="E97" s="16" t="n">
        <x:f>ABS(C97)</x:f>
        <x:v>0.0044714932239575955</x:v>
      </x:c>
      <x:c r="F97" s="16" t="n">
        <x:f>C97^2</x:f>
        <x:v>0.000019994251651898693</x:v>
      </x:c>
      <x:c r="G97" s="1"/>
      <x:c r="H97" s="1"/>
      <x:c r="I97" s="1"/>
      <x:c r="J97" s="1"/>
      <x:c r="K97" s="1"/>
      <x:c r="L97" s="1"/>
      <x:c r="M97" s="1"/>
      <x:c r="N97" s="1"/>
    </x:row>
    <x:row r="98" ht="22" customHeight="1">
      <x:c r="A98" s="1" t="n">
        <x:v>82</x:v>
      </x:c>
      <x:c r="B98" s="16" t="n">
        <x:v>-0.9523056615094017</x:v>
      </x:c>
      <x:c r="C98" s="16" t="n">
        <x:f>$B$12+$D$12*B98</x:f>
        <x:v>-0.012098026608472775</x:v>
      </x:c>
      <x:c r="D98" s="12" t="n">
        <x:f>D97*EXP(C98)</x:f>
        <x:v>120.6445585972341</x:v>
      </x:c>
      <x:c r="E98" s="16" t="n">
        <x:f>ABS(C98)</x:f>
        <x:v>0.012098026608472775</x:v>
      </x:c>
      <x:c r="F98" s="16" t="n">
        <x:f>C98^2</x:f>
        <x:v>0.00014636224781931529</x:v>
      </x:c>
      <x:c r="G98" s="1"/>
      <x:c r="H98" s="1"/>
      <x:c r="I98" s="1"/>
      <x:c r="J98" s="1"/>
      <x:c r="K98" s="1"/>
      <x:c r="L98" s="1"/>
      <x:c r="M98" s="1"/>
      <x:c r="N98" s="1"/>
    </x:row>
    <x:row r="99" ht="22" customHeight="1">
      <x:c r="A99" s="1" t="n">
        <x:v>83</x:v>
      </x:c>
      <x:c r="B99" s="16" t="n">
        <x:v>-0.7742529533657038</x:v>
      </x:c>
      <x:c r="C99" s="16" t="n">
        <x:f>$B$12+$D$12*B99</x:f>
        <x:v>-0.00974393376803462</x:v>
      </x:c>
      <x:c r="D99" s="12" t="n">
        <x:f>D98*EXP(C99)</x:f>
        <x:v>119.47471470530397</x:v>
      </x:c>
      <x:c r="E99" s="16" t="n">
        <x:f>ABS(C99)</x:f>
        <x:v>0.00974393376803462</x:v>
      </x:c>
      <x:c r="F99" s="16" t="n">
        <x:f>C99^2</x:f>
        <x:v>0.00009494424527584535</x:v>
      </x:c>
      <x:c r="G99" s="1"/>
      <x:c r="H99" s="1"/>
      <x:c r="I99" s="1"/>
      <x:c r="J99" s="1"/>
      <x:c r="K99" s="1"/>
      <x:c r="L99" s="1"/>
      <x:c r="M99" s="1"/>
      <x:c r="N99" s="1"/>
    </x:row>
    <x:row r="100" ht="22" customHeight="1">
      <x:c r="A100" s="1" t="n">
        <x:v>84</x:v>
      </x:c>
      <x:c r="B100" s="16" t="n">
        <x:v>0.7220034936163595</x:v>
      </x:c>
      <x:c r="C100" s="16" t="n">
        <x:f>$B$12+$D$12*B100</x:f>
        <x:v>0.01003856000036796</x:v>
      </x:c>
      <x:c r="D100" s="12" t="n">
        <x:f>D99*EXP(C100)</x:f>
        <x:v>120.68010888575174</x:v>
      </x:c>
      <x:c r="E100" s="16" t="n">
        <x:f>ABS(C100)</x:f>
        <x:v>0.01003856000036796</x:v>
      </x:c>
      <x:c r="F100" s="16" t="n">
        <x:f>C100^2</x:f>
        <x:v>0.00010077268688098756</x:v>
      </x:c>
      <x:c r="G100" s="1"/>
      <x:c r="H100" s="1"/>
      <x:c r="I100" s="1"/>
      <x:c r="J100" s="1"/>
      <x:c r="K100" s="1"/>
      <x:c r="L100" s="1"/>
      <x:c r="M100" s="1"/>
      <x:c r="N100" s="1"/>
    </x:row>
    <x:row r="101" ht="22" customHeight="1">
      <x:c r="A101" s="1" t="n">
        <x:v>85</x:v>
      </x:c>
      <x:c r="B101" s="16" t="n">
        <x:v>-1.17421961494384</x:v>
      </x:c>
      <x:c r="C101" s="16" t="n">
        <x:f>$B$12+$D$12*B101</x:f>
        <x:v>-0.015032023257104078</x:v>
      </x:c>
      <x:c r="D101" s="12" t="n">
        <x:f>D100*EXP(C101)</x:f>
        <x:v>118.87960916270752</x:v>
      </x:c>
      <x:c r="E101" s="16" t="n">
        <x:f>ABS(C101)</x:f>
        <x:v>0.015032023257104078</x:v>
      </x:c>
      <x:c r="F101" s="16" t="n">
        <x:f>C101^2</x:f>
        <x:v>0.0002259617232021179</x:v>
      </x:c>
      <x:c r="G101" s="1"/>
      <x:c r="H101" s="1"/>
      <x:c r="I101" s="1"/>
      <x:c r="J101" s="1"/>
      <x:c r="K101" s="1"/>
      <x:c r="L101" s="1"/>
      <x:c r="M101" s="1"/>
      <x:c r="N101" s="1"/>
    </x:row>
    <x:row r="102" ht="22" customHeight="1">
      <x:c r="A102" s="1" t="n">
        <x:v>86</x:v>
      </x:c>
      <x:c r="B102" s="16" t="n">
        <x:v>0.12695481695001498</x:v>
      </x:c>
      <x:c r="C102" s="16" t="n">
        <x:f>$B$12+$D$12*B102</x:f>
        <x:v>0.002171227657846547</x:v>
      </x:c>
      <x:c r="D102" s="12" t="n">
        <x:f>D101*EXP(C102)</x:f>
        <x:v>119.13800427387044</x:v>
      </x:c>
      <x:c r="E102" s="16" t="n">
        <x:f>ABS(C102)</x:f>
        <x:v>0.002171227657846547</x:v>
      </x:c>
      <x:c r="F102" s="16" t="n">
        <x:f>C102^2</x:f>
        <x:v>0.000004714229542197803</x:v>
      </x:c>
      <x:c r="G102" s="1"/>
      <x:c r="H102" s="1"/>
      <x:c r="I102" s="1"/>
      <x:c r="J102" s="1"/>
      <x:c r="K102" s="1"/>
      <x:c r="L102" s="1"/>
      <x:c r="M102" s="1"/>
      <x:c r="N102" s="1"/>
    </x:row>
    <x:row r="103" ht="22" customHeight="1">
      <x:c r="A103" s="1" t="n">
        <x:v>87</x:v>
      </x:c>
      <x:c r="B103" s="16" t="n">
        <x:v>0.4576684055097274</x:v>
      </x:c>
      <x:c r="C103" s="16" t="n">
        <x:f>$B$12+$D$12*B103</x:f>
        <x:v>0.006543699715029265</x:v>
      </x:c>
      <x:c r="D103" s="12" t="n">
        <x:f>D102*EXP(C103)</x:f>
        <x:v>119.92016391639675</x:v>
      </x:c>
      <x:c r="E103" s="16" t="n">
        <x:f>ABS(C103)</x:f>
        <x:v>0.006543699715029265</x:v>
      </x:c>
      <x:c r="F103" s="16" t="n">
        <x:f>C103^2</x:f>
        <x:v>0.000042820005960474085</x:v>
      </x:c>
      <x:c r="G103" s="1"/>
      <x:c r="H103" s="1"/>
      <x:c r="I103" s="1"/>
      <x:c r="J103" s="1"/>
      <x:c r="K103" s="1"/>
      <x:c r="L103" s="1"/>
      <x:c r="M103" s="1"/>
      <x:c r="N103" s="1"/>
    </x:row>
    <x:row r="104" ht="22" customHeight="1">
      <x:c r="A104" s="1" t="n">
        <x:v>88</x:v>
      </x:c>
      <x:c r="B104" s="16" t="n">
        <x:v>-0.8791742600044363</x:v>
      </x:c>
      <x:c r="C104" s="16" t="n">
        <x:f>$B$12+$D$12*B104</x:f>
        <x:v>-0.011131132532617964</x:v>
      </x:c>
      <x:c r="D104" s="12" t="n">
        <x:f>D103*EXP(C104)</x:f>
        <x:v>118.59271837073986</x:v>
      </x:c>
      <x:c r="E104" s="16" t="n">
        <x:f>ABS(C104)</x:f>
        <x:v>0.011131132532617964</x:v>
      </x:c>
      <x:c r="F104" s="16" t="n">
        <x:f>C104^2</x:f>
        <x:v>0.00012390211145870601</x:v>
      </x:c>
      <x:c r="G104" s="1"/>
      <x:c r="H104" s="1"/>
      <x:c r="I104" s="1"/>
      <x:c r="J104" s="1"/>
      <x:c r="K104" s="1"/>
      <x:c r="L104" s="1"/>
      <x:c r="M104" s="1"/>
      <x:c r="N104" s="1"/>
    </x:row>
    <x:row r="105" ht="22" customHeight="1">
      <x:c r="A105" s="1" t="n">
        <x:v>89</x:v>
      </x:c>
      <x:c r="B105" s="16" t="n">
        <x:v>0.864080277627111</x:v>
      </x:c>
      <x:c r="C105" s="16" t="n">
        <x:f>$B$12+$D$12*B105</x:f>
        <x:v>0.011917003431636973</x:v>
      </x:c>
      <x:c r="D105" s="12" t="n">
        <x:f>D104*EXP(C105)</x:f>
        <x:v>120.01444272405773</x:v>
      </x:c>
      <x:c r="E105" s="16" t="n">
        <x:f>ABS(C105)</x:f>
        <x:v>0.011917003431636973</x:v>
      </x:c>
      <x:c r="F105" s="16" t="n">
        <x:f>C105^2</x:f>
        <x:v>0.00014201497078964739</x:v>
      </x:c>
      <x:c r="G105" s="1"/>
      <x:c r="H105" s="1"/>
      <x:c r="I105" s="1"/>
      <x:c r="J105" s="1"/>
      <x:c r="K105" s="1"/>
      <x:c r="L105" s="1"/>
      <x:c r="M105" s="1"/>
      <x:c r="N105" s="1"/>
    </x:row>
    <x:row r="106" ht="22" customHeight="1">
      <x:c r="A106" s="1" t="n">
        <x:v>90</x:v>
      </x:c>
      <x:c r="B106" s="16" t="n">
        <x:v>-0.8760580311663687</x:v>
      </x:c>
      <x:c r="C106" s="16" t="n">
        <x:f>$B$12+$D$12*B106</x:f>
        <x:v>-0.011089931856293842</x:v>
      </x:c>
      <x:c r="D106" s="12" t="n">
        <x:f>D105*EXP(C106)</x:f>
        <x:v>118.69084360985148</x:v>
      </x:c>
      <x:c r="E106" s="16" t="n">
        <x:f>ABS(C106)</x:f>
        <x:v>0.011089931856293842</x:v>
      </x:c>
      <x:c r="F106" s="16" t="n">
        <x:f>C106^2</x:f>
        <x:v>0.00012298658857724099</x:v>
      </x:c>
      <x:c r="G106" s="1"/>
      <x:c r="H106" s="1"/>
      <x:c r="I106" s="1"/>
      <x:c r="J106" s="1"/>
      <x:c r="K106" s="1"/>
      <x:c r="L106" s="1"/>
      <x:c r="M106" s="1"/>
      <x:c r="N106" s="1"/>
    </x:row>
    <x:row r="107" ht="22" customHeight="1">
      <x:c r="A107" s="1" t="n">
        <x:v>91</x:v>
      </x:c>
      <x:c r="B107" s="16" t="n">
        <x:v>0.5747884001629817</x:v>
      </x:c>
      <x:c r="C107" s="16" t="n">
        <x:f>$B$12+$D$12*B107</x:f>
        <x:v>0.008092181306574995</x:v>
      </x:c>
      <x:c r="D107" s="12" t="n">
        <x:f>D106*EXP(C107)</x:f>
        <x:v>119.65520807935636</x:v>
      </x:c>
      <x:c r="E107" s="16" t="n">
        <x:f>ABS(C107)</x:f>
        <x:v>0.008092181306574995</x:v>
      </x:c>
      <x:c r="F107" s="16" t="n">
        <x:f>C107^2</x:f>
        <x:v>0.0000654833982984818</x:v>
      </x:c>
      <x:c r="G107" s="1"/>
      <x:c r="H107" s="1"/>
      <x:c r="I107" s="1"/>
      <x:c r="J107" s="1"/>
      <x:c r="K107" s="1"/>
      <x:c r="L107" s="1"/>
      <x:c r="M107" s="1"/>
      <x:c r="N107" s="1"/>
    </x:row>
    <x:row r="108" ht="22" customHeight="1">
      <x:c r="A108" s="1" t="n">
        <x:v>92</x:v>
      </x:c>
      <x:c r="B108" s="16" t="n">
        <x:v>1.0335270761049997</x:v>
      </x:c>
      <x:c r="C108" s="16" t="n">
        <x:f>$B$12+$D$12*B108</x:f>
        <x:v>0.01415731473771403</x:v>
      </x:c>
      <x:c r="D108" s="12" t="n">
        <x:f>D107*EXP(C108)</x:f>
        <x:v>121.36125252920925</x:v>
      </x:c>
      <x:c r="E108" s="16" t="n">
        <x:f>ABS(C108)</x:f>
        <x:v>0.01415731473771403</x:v>
      </x:c>
      <x:c r="F108" s="16" t="n">
        <x:f>C108^2</x:f>
        <x:v>0.00020042956058269486</x:v>
      </x:c>
      <x:c r="G108" s="1"/>
      <x:c r="H108" s="1"/>
      <x:c r="I108" s="1"/>
      <x:c r="J108" s="1"/>
      <x:c r="K108" s="1"/>
      <x:c r="L108" s="1"/>
      <x:c r="M108" s="1"/>
      <x:c r="N108" s="1"/>
    </x:row>
    <x:row r="109" ht="22" customHeight="1">
      <x:c r="A109" s="1" t="n">
        <x:v>93</x:v>
      </x:c>
      <x:c r="B109" s="16" t="n">
        <x:v>-2.3200035865878172</x:v>
      </x:c>
      <x:c r="C109" s="16" t="n">
        <x:f>$B$12+$D$12*B109</x:f>
        <x:v>-0.030180806291389816</x:v>
      </x:c>
      <x:c r="D109" s="12" t="n">
        <x:f>D108*EXP(C109)</x:f>
        <x:v>117.75319301984867</x:v>
      </x:c>
      <x:c r="E109" s="16" t="n">
        <x:f>ABS(C109)</x:f>
        <x:v>0.030180806291389816</x:v>
      </x:c>
      <x:c r="F109" s="16" t="n">
        <x:f>C109^2</x:f>
        <x:v>0.0009108810683983951</x:v>
      </x:c>
      <x:c r="G109" s="1"/>
      <x:c r="H109" s="1"/>
      <x:c r="I109" s="1"/>
      <x:c r="J109" s="1"/>
      <x:c r="K109" s="1"/>
      <x:c r="L109" s="1"/>
      <x:c r="M109" s="1"/>
      <x:c r="N109" s="1"/>
    </x:row>
    <x:row r="110" ht="22" customHeight="1">
      <x:c r="A110" s="1" t="n">
        <x:v>94</x:v>
      </x:c>
      <x:c r="B110" s="16" t="n">
        <x:v>0.5904786778118455</x:v>
      </x:c>
      <x:c r="C110" s="16" t="n">
        <x:f>$B$12+$D$12*B110</x:f>
        <x:v>0.00829962757719205</x:v>
      </x:c>
      <x:c r="D110" s="12" t="n">
        <x:f>D109*EXP(C110)</x:f>
        <x:v>118.73456755612544</x:v>
      </x:c>
      <x:c r="E110" s="16" t="n">
        <x:f>ABS(C110)</x:f>
        <x:v>0.00829962757719205</x:v>
      </x:c>
      <x:c r="F110" s="16" t="n">
        <x:f>C110^2</x:f>
        <x:v>0.00006888381792008677</x:v>
      </x:c>
      <x:c r="G110" s="1"/>
      <x:c r="H110" s="1"/>
      <x:c r="I110" s="1"/>
      <x:c r="J110" s="1"/>
      <x:c r="K110" s="1"/>
      <x:c r="L110" s="1"/>
      <x:c r="M110" s="1"/>
      <x:c r="N110" s="1"/>
    </x:row>
    <x:row r="111" ht="22" customHeight="1">
      <x:c r="A111" s="1" t="n">
        <x:v>95</x:v>
      </x:c>
      <x:c r="B111" s="16" t="n">
        <x:v>0.6146316345286905</x:v>
      </x:c>
      <x:c r="C111" s="16" t="n">
        <x:f>$B$12+$D$12*B111</x:f>
        <x:v>0.008618961683790697</x:v>
      </x:c>
      <x:c r="D111" s="12" t="n">
        <x:f>D110*EXP(C111)</x:f>
        <x:v>119.76235912995129</x:v>
      </x:c>
      <x:c r="E111" s="16" t="n">
        <x:f>ABS(C111)</x:f>
        <x:v>0.008618961683790697</x:v>
      </x:c>
      <x:c r="F111" s="16" t="n">
        <x:f>C111^2</x:f>
        <x:v>0.00007428650050665217</x:v>
      </x:c>
      <x:c r="G111" s="1"/>
      <x:c r="H111" s="1"/>
      <x:c r="I111" s="1"/>
      <x:c r="J111" s="1"/>
      <x:c r="K111" s="1"/>
      <x:c r="L111" s="1"/>
      <x:c r="M111" s="1"/>
      <x:c r="N111" s="1"/>
    </x:row>
    <x:row r="112" ht="22" customHeight="1">
      <x:c r="A112" s="1" t="n">
        <x:v>96</x:v>
      </x:c>
      <x:c r="B112" s="16" t="n">
        <x:v>-0.3586188223267573</x:v>
      </x:c>
      <x:c r="C112" s="16" t="n">
        <x:f>$B$12+$D$12*B112</x:f>
        <x:v>-0.004248699562830258</x:v>
      </x:c>
      <x:c r="D112" s="12" t="n">
        <x:f>D111*EXP(C112)</x:f>
        <x:v>119.2546042598287</x:v>
      </x:c>
      <x:c r="E112" s="16" t="n">
        <x:f>ABS(C112)</x:f>
        <x:v>0.004248699562830258</x:v>
      </x:c>
      <x:c r="F112" s="16" t="n">
        <x:f>C112^2</x:f>
        <x:v>0.000018051447975194026</x:v>
      </x:c>
      <x:c r="G112" s="1"/>
      <x:c r="H112" s="1"/>
      <x:c r="I112" s="1"/>
      <x:c r="J112" s="1"/>
      <x:c r="K112" s="1"/>
      <x:c r="L112" s="1"/>
      <x:c r="M112" s="1"/>
      <x:c r="N112" s="1"/>
    </x:row>
    <x:row r="113" ht="22" customHeight="1">
      <x:c r="A113" s="1" t="n">
        <x:v>97</x:v>
      </x:c>
      <x:c r="B113" s="16" t="n">
        <x:v>-1.3361685941736565</x:v>
      </x:c>
      <x:c r="C113" s="16" t="n">
        <x:f>$B$12+$D$12*B113</x:f>
        <x:v>-0.017173203453102533</x:v>
      </x:c>
      <x:c r="D113" s="12" t="n">
        <x:f>D112*EXP(C113)</x:f>
        <x:v>117.22410566336816</x:v>
      </x:c>
      <x:c r="E113" s="16" t="n">
        <x:f>ABS(C113)</x:f>
        <x:v>0.017173203453102533</x:v>
      </x:c>
      <x:c r="F113" s="16" t="n">
        <x:f>C113^2</x:f>
        <x:v>0.00029491891684165275</x:v>
      </x:c>
      <x:c r="G113" s="1"/>
      <x:c r="H113" s="1"/>
      <x:c r="I113" s="1"/>
      <x:c r="J113" s="1"/>
      <x:c r="K113" s="1"/>
      <x:c r="L113" s="1"/>
      <x:c r="M113" s="1"/>
      <x:c r="N113" s="1"/>
    </x:row>
    <x:row r="114" ht="22" customHeight="1">
      <x:c r="A114" s="1" t="n">
        <x:v>98</x:v>
      </x:c>
      <x:c r="B114" s="16" t="n">
        <x:v>-0.584199593937376</x:v>
      </x:c>
      <x:c r="C114" s="16" t="n">
        <x:f>$B$12+$D$12*B114</x:f>
        <x:v>-0.007231176408734204</x:v>
      </x:c>
      <x:c r="D114" s="12" t="n">
        <x:f>D113*EXP(C114)</x:f>
        <x:v>116.37949492097964</x:v>
      </x:c>
      <x:c r="E114" s="16" t="n">
        <x:f>ABS(C114)</x:f>
        <x:v>0.007231176408734204</x:v>
      </x:c>
      <x:c r="F114" s="16" t="n">
        <x:f>C114^2</x:f>
        <x:v>0.0000522899122542341</x:v>
      </x:c>
      <x:c r="G114" s="1"/>
      <x:c r="H114" s="1"/>
      <x:c r="I114" s="1"/>
      <x:c r="J114" s="1"/>
      <x:c r="K114" s="1"/>
      <x:c r="L114" s="1"/>
      <x:c r="M114" s="1"/>
      <x:c r="N114" s="1"/>
    </x:row>
    <x:row r="115" ht="22" customHeight="1">
      <x:c r="A115" s="1" t="n">
        <x:v>99</x:v>
      </x:c>
      <x:c r="B115" s="16" t="n">
        <x:v>0.4233533169252785</x:v>
      </x:c>
      <x:c r="C115" s="16" t="n">
        <x:f>$B$12+$D$12*B115</x:f>
        <x:v>0.00609000875352781</x:v>
      </x:c>
      <x:c r="D115" s="12" t="n">
        <x:f>D114*EXP(C115)</x:f>
        <x:v>117.09040960489237</x:v>
      </x:c>
      <x:c r="E115" s="16" t="n">
        <x:f>ABS(C115)</x:f>
        <x:v>0.00609000875352781</x:v>
      </x:c>
      <x:c r="F115" s="16" t="n">
        <x:f>C115^2</x:f>
        <x:v>0.00003708820661804535</x:v>
      </x:c>
      <x:c r="G115" s="1"/>
      <x:c r="H115" s="1"/>
      <x:c r="I115" s="1"/>
      <x:c r="J115" s="1"/>
      <x:c r="K115" s="1"/>
      <x:c r="L115" s="1"/>
      <x:c r="M115" s="1"/>
      <x:c r="N115" s="1"/>
    </x:row>
    <x:row r="116" ht="22" customHeight="1">
      <x:c r="A116" s="1" t="n">
        <x:v>100</x:v>
      </x:c>
      <x:c r="B116" s="16" t="n">
        <x:v>0.3527276477712124</x:v>
      </x:c>
      <x:c r="C116" s="16" t="n">
        <x:f>$B$12+$D$12*B116</x:f>
        <x:v>0.005156243781121095</x:v>
      </x:c>
      <x:c r="D116" s="12" t="n">
        <x:f>D115*EXP(C116)</x:f>
        <x:v>117.69571551256003</x:v>
      </x:c>
      <x:c r="E116" s="16" t="n">
        <x:f>ABS(C116)</x:f>
        <x:v>0.005156243781121095</x:v>
      </x:c>
      <x:c r="F116" s="16" t="n">
        <x:f>C116^2</x:f>
        <x:v>0.00002658684993034997</x:v>
      </x:c>
      <x:c r="G116" s="1"/>
      <x:c r="H116" s="1"/>
      <x:c r="I116" s="1"/>
      <x:c r="J116" s="1"/>
      <x:c r="K116" s="1"/>
      <x:c r="L116" s="1"/>
      <x:c r="M116" s="1"/>
      <x:c r="N116" s="1"/>
    </x:row>
    <x:row r="117" ht="22" customHeight="1">
      <x:c r="A117" s="1" t="n">
        <x:v>101</x:v>
      </x:c>
      <x:c r="B117" s="16" t="n">
        <x:v>-1.325997163757803</x:v>
      </x:c>
      <x:c r="C117" s="16" t="n">
        <x:f>$B$12+$D$12*B117</x:f>
        <x:v>-0.017038723659065075</x:v>
      </x:c>
      <x:c r="D117" s="12" t="n">
        <x:f>D116*EXP(C117)</x:f>
        <x:v>115.70731871724509</x:v>
      </x:c>
      <x:c r="E117" s="16" t="n">
        <x:f>ABS(C117)</x:f>
        <x:v>0.017038723659065075</x:v>
      </x:c>
      <x:c r="F117" s="16" t="n">
        <x:f>C117^2</x:f>
        <x:v>0.00029031810392998394</x:v>
      </x:c>
      <x:c r="G117" s="1"/>
      <x:c r="H117" s="1"/>
      <x:c r="I117" s="1"/>
      <x:c r="J117" s="1"/>
      <x:c r="K117" s="1"/>
      <x:c r="L117" s="1"/>
      <x:c r="M117" s="1"/>
      <x:c r="N117" s="1"/>
    </x:row>
    <x:row r="118" ht="22" customHeight="1">
      <x:c r="A118" s="1" t="n">
        <x:v>102</x:v>
      </x:c>
      <x:c r="B118" s="16" t="n">
        <x:v>-0.6243357929053394</x:v>
      </x:c>
      <x:c r="C118" s="16" t="n">
        <x:f>$B$12+$D$12*B118</x:f>
        <x:v>-0.007761830166365512</x:v>
      </x:c>
      <x:c r="D118" s="12" t="n">
        <x:f>D117*EXP(C118)</x:f>
        <x:v>114.81269461199652</x:v>
      </x:c>
      <x:c r="E118" s="16" t="n">
        <x:f>ABS(C118)</x:f>
        <x:v>0.007761830166365512</x:v>
      </x:c>
      <x:c r="F118" s="16" t="n">
        <x:f>C118^2</x:f>
        <x:v>0.000060246007531501666</x:v>
      </x:c>
      <x:c r="G118" s="1"/>
      <x:c r="H118" s="1"/>
      <x:c r="I118" s="1"/>
      <x:c r="J118" s="1"/>
      <x:c r="K118" s="1"/>
      <x:c r="L118" s="1"/>
      <x:c r="M118" s="1"/>
      <x:c r="N118" s="1"/>
    </x:row>
    <x:row r="119" ht="22" customHeight="1">
      <x:c r="A119" s="1" t="n">
        <x:v>103</x:v>
      </x:c>
      <x:c r="B119" s="16" t="n">
        <x:v>0.030118392749266407</x:v>
      </x:c>
      <x:c r="C119" s="16" t="n">
        <x:f>$B$12+$D$12*B119</x:f>
        <x:v>0.0008909217569633267</x:v>
      </x:c>
      <x:c r="D119" s="12" t="n">
        <x:f>D118*EXP(C119)</x:f>
        <x:v>114.91502931894144</x:v>
      </x:c>
      <x:c r="E119" s="16" t="n">
        <x:f>ABS(C119)</x:f>
        <x:v>0.0008909217569633267</x:v>
      </x:c>
      <x:c r="F119" s="16" t="n">
        <x:f>C119^2</x:f>
        <x:v>7.937415770306209e-7</x:v>
      </x:c>
      <x:c r="G119" s="1"/>
      <x:c r="H119" s="1"/>
      <x:c r="I119" s="1"/>
      <x:c r="J119" s="1"/>
      <x:c r="K119" s="1"/>
      <x:c r="L119" s="1"/>
      <x:c r="M119" s="1"/>
      <x:c r="N119" s="1"/>
    </x:row>
    <x:row r="120" ht="22" customHeight="1">
      <x:c r="A120" s="1" t="n">
        <x:v>104</x:v>
      </x:c>
      <x:c r="B120" s="16" t="n">
        <x:v>-0.042499484441355546</x:v>
      </x:c>
      <x:c r="C120" s="16" t="n">
        <x:f>$B$12+$D$12*B120</x:f>
        <x:v>-0.00006918284669311036</x:v>
      </x:c>
      <x:c r="D120" s="12" t="n">
        <x:f>D119*EXP(C120)</x:f>
        <x:v>114.90707944508596</x:v>
      </x:c>
      <x:c r="E120" s="16" t="n">
        <x:f>ABS(C120)</x:f>
        <x:v>0.00006918284669311036</x:v>
      </x:c>
      <x:c r="F120" s="16" t="n">
        <x:f>C120^2</x:f>
        <x:v>4.786266276562411e-9</x:v>
      </x:c>
      <x:c r="G120" s="1"/>
      <x:c r="H120" s="1"/>
      <x:c r="I120" s="1"/>
      <x:c r="J120" s="1"/>
      <x:c r="K120" s="1"/>
      <x:c r="L120" s="1"/>
      <x:c r="M120" s="1"/>
      <x:c r="N120" s="1"/>
    </x:row>
    <x:row r="121" ht="22" customHeight="1">
      <x:c r="A121" s="1" t="n">
        <x:v>105</x:v>
      </x:c>
      <x:c r="B121" s="16" t="n">
        <x:v>-2.1748149612071885</x:v>
      </x:c>
      <x:c r="C121" s="16" t="n">
        <x:f>$B$12+$D$12*B121</x:f>
        <x:v>-0.028261220191942483</x:v>
      </x:c>
      <x:c r="D121" s="12" t="n">
        <x:f>D120*EXP(C121)</x:f>
        <x:v>111.70512387012329</x:v>
      </x:c>
      <x:c r="E121" s="16" t="n">
        <x:f>ABS(C121)</x:f>
        <x:v>0.028261220191942483</x:v>
      </x:c>
      <x:c r="F121" s="16" t="n">
        <x:f>C121^2</x:f>
        <x:v>0.0007986965667374575</x:v>
      </x:c>
      <x:c r="G121" s="1"/>
      <x:c r="H121" s="1"/>
      <x:c r="I121" s="1"/>
      <x:c r="J121" s="1"/>
      <x:c r="K121" s="1"/>
      <x:c r="L121" s="1"/>
      <x:c r="M121" s="1"/>
      <x:c r="N121" s="1"/>
    </x:row>
    <x:row r="122" ht="22" customHeight="1">
      <x:c r="A122" s="1" t="n">
        <x:v>106</x:v>
      </x:c>
      <x:c r="B122" s="16" t="n">
        <x:v>1.0867928600787433</x:v>
      </x:c>
      <x:c r="C122" s="16" t="n">
        <x:f>$B$12+$D$12*B122</x:f>
        <x:v>0.014861559014592518</x:v>
      </x:c>
      <x:c r="D122" s="12" t="n">
        <x:f>D121*EXP(C122)</x:f>
        <x:v>113.37763342724182</x:v>
      </x:c>
      <x:c r="E122" s="16" t="n">
        <x:f>ABS(C122)</x:f>
        <x:v>0.014861559014592518</x:v>
      </x:c>
      <x:c r="F122" s="16" t="n">
        <x:f>C122^2</x:f>
        <x:v>0.00022086593634421613</x:v>
      </x:c>
      <x:c r="G122" s="1"/>
      <x:c r="H122" s="1"/>
      <x:c r="I122" s="1"/>
      <x:c r="J122" s="1"/>
      <x:c r="K122" s="1"/>
      <x:c r="L122" s="1"/>
      <x:c r="M122" s="1"/>
      <x:c r="N122" s="1"/>
    </x:row>
    <x:row r="123" ht="22" customHeight="1">
      <x:c r="A123" s="1" t="n">
        <x:v>107</x:v>
      </x:c>
      <x:c r="B123" s="16" t="n">
        <x:v>-1.440749997109069</x:v>
      </x:c>
      <x:c r="C123" s="16" t="n">
        <x:f>$B$12+$D$12*B123</x:f>
        <x:v>-0.01855590824012852</x:v>
      </x:c>
      <x:c r="D123" s="12" t="n">
        <x:f>D122*EXP(C123)</x:f>
        <x:v>111.29320748225311</x:v>
      </x:c>
      <x:c r="E123" s="16" t="n">
        <x:f>ABS(C123)</x:f>
        <x:v>0.01855590824012852</x:v>
      </x:c>
      <x:c r="F123" s="16" t="n">
        <x:f>C123^2</x:f>
        <x:v>0.0003443217306160695</x:v>
      </x:c>
      <x:c r="G123" s="1"/>
      <x:c r="H123" s="1"/>
      <x:c r="I123" s="1"/>
      <x:c r="J123" s="1"/>
      <x:c r="K123" s="1"/>
      <x:c r="L123" s="1"/>
      <x:c r="M123" s="1"/>
      <x:c r="N123" s="1"/>
    </x:row>
    <x:row r="124" ht="22" customHeight="1">
      <x:c r="A124" s="1" t="n">
        <x:v>108</x:v>
      </x:c>
      <x:c r="B124" s="16" t="n">
        <x:v>-0.5643595160493305</x:v>
      </x:c>
      <x:c r="C124" s="16" t="n">
        <x:f>$B$12+$D$12*B124</x:f>
        <x:v>-0.006968864277697762</x:v>
      </x:c>
      <x:c r="D124" s="12" t="n">
        <x:f>D123*EXP(C124)</x:f>
        <x:v>110.52031643862826</x:v>
      </x:c>
      <x:c r="E124" s="16" t="n">
        <x:f>ABS(C124)</x:f>
        <x:v>0.006968864277697762</x:v>
      </x:c>
      <x:c r="F124" s="16" t="n">
        <x:f>C124^2</x:f>
        <x:v>0.00004856506932097196</x:v>
      </x:c>
      <x:c r="G124" s="1"/>
      <x:c r="H124" s="1"/>
      <x:c r="I124" s="1"/>
      <x:c r="J124" s="1"/>
      <x:c r="K124" s="1"/>
      <x:c r="L124" s="1"/>
      <x:c r="M124" s="1"/>
      <x:c r="N124" s="1"/>
    </x:row>
    <x:row r="125" ht="22" customHeight="1">
      <x:c r="A125" s="1" t="n">
        <x:v>109</x:v>
      </x:c>
      <x:c r="B125" s="16" t="n">
        <x:v>0.22014736922220765</x:v>
      </x:c>
      <x:c r="C125" s="16" t="n">
        <x:f>$B$12+$D$12*B125</x:f>
        <x:v>0.0034033567412698274</x:v>
      </x:c>
      <x:c r="D125" s="12" t="n">
        <x:f>D124*EXP(C125)</x:f>
        <x:v>110.8970972987846</x:v>
      </x:c>
      <x:c r="E125" s="16" t="n">
        <x:f>ABS(C125)</x:f>
        <x:v>0.0034033567412698274</x:v>
      </x:c>
      <x:c r="F125" s="16" t="n">
        <x:f>C125^2</x:f>
        <x:v>0.00001158283710834678</x:v>
      </x:c>
      <x:c r="G125" s="1"/>
      <x:c r="H125" s="1"/>
      <x:c r="I125" s="1"/>
      <x:c r="J125" s="1"/>
      <x:c r="K125" s="1"/>
      <x:c r="L125" s="1"/>
      <x:c r="M125" s="1"/>
      <x:c r="N125" s="1"/>
    </x:row>
    <x:row r="126" ht="22" customHeight="1">
      <x:c r="A126" s="1" t="n">
        <x:v>110</x:v>
      </x:c>
      <x:c r="B126" s="16" t="n">
        <x:v>-1.079419091294471</x:v>
      </x:c>
      <x:c r="C126" s="16" t="n">
        <x:f>$B$12+$D$12*B126</x:f>
        <x:v>-0.01377863466043832</x:v>
      </x:c>
      <x:c r="D126" s="12" t="n">
        <x:f>D125*EXP(C126)</x:f>
        <x:v>109.37956547711956</x:v>
      </x:c>
      <x:c r="E126" s="16" t="n">
        <x:f>ABS(C126)</x:f>
        <x:v>0.01377863466043832</x:v>
      </x:c>
      <x:c r="F126" s="16" t="n">
        <x:f>C126^2</x:f>
        <x:v>0.0001898507731058322</x:v>
      </x:c>
      <x:c r="G126" s="1"/>
      <x:c r="H126" s="1"/>
      <x:c r="I126" s="1"/>
      <x:c r="J126" s="1"/>
      <x:c r="K126" s="1"/>
      <x:c r="L126" s="1"/>
      <x:c r="M126" s="1"/>
      <x:c r="N126" s="1"/>
    </x:row>
    <x:row r="127" ht="22" customHeight="1">
      <x:c r="A127" s="1" t="n">
        <x:v>111</x:v>
      </x:c>
      <x:c r="B127" s="16" t="n">
        <x:v>1.295561444917553</x:v>
      </x:c>
      <x:c r="C127" s="16" t="n">
        <x:f>$B$12+$D$12*B127</x:f>
        <x:v>0.017621756463995046</x:v>
      </x:c>
      <x:c r="D127" s="12" t="n">
        <x:f>D126*EXP(C127)</x:f>
        <x:v>111.32410835354763</x:v>
      </x:c>
      <x:c r="E127" s="16" t="n">
        <x:f>ABS(C127)</x:f>
        <x:v>0.017621756463995046</x:v>
      </x:c>
      <x:c r="F127" s="16" t="n">
        <x:f>C127^2</x:f>
        <x:v>0.00031052630087635117</x:v>
      </x:c>
      <x:c r="G127" s="1"/>
      <x:c r="H127" s="1"/>
      <x:c r="I127" s="1"/>
      <x:c r="J127" s="1"/>
      <x:c r="K127" s="1"/>
      <x:c r="L127" s="1"/>
      <x:c r="M127" s="1"/>
      <x:c r="N127" s="1"/>
    </x:row>
    <x:row r="128" ht="22" customHeight="1">
      <x:c r="A128" s="1" t="n">
        <x:v>112</x:v>
      </x:c>
      <x:c r="B128" s="16" t="n">
        <x:v>1.0727538383383437</x:v>
      </x:c>
      <x:c r="C128" s="16" t="n">
        <x:f>$B$12+$D$12*B128</x:f>
        <x:v>0.014675944536102487</x:v>
      </x:c>
      <x:c r="D128" s="12" t="n">
        <x:f>D127*EXP(C128)</x:f>
        <x:v>112.96994233707419</x:v>
      </x:c>
      <x:c r="E128" s="16" t="n">
        <x:f>ABS(C128)</x:f>
        <x:v>0.014675944536102487</x:v>
      </x:c>
      <x:c r="F128" s="16" t="n">
        <x:f>C128^2</x:f>
        <x:v>0.00021538334802675643</x:v>
      </x:c>
      <x:c r="G128" s="1"/>
      <x:c r="H128" s="1"/>
      <x:c r="I128" s="1"/>
      <x:c r="J128" s="1"/>
      <x:c r="K128" s="1"/>
      <x:c r="L128" s="1"/>
      <x:c r="M128" s="1"/>
      <x:c r="N128" s="1"/>
    </x:row>
    <x:row r="129" ht="22" customHeight="1">
      <x:c r="A129" s="1" t="n">
        <x:v>113</x:v>
      </x:c>
      <x:c r="B129" s="16" t="n">
        <x:v>-1.9872492090501392</x:v>
      </x:c>
      <x:c r="C129" s="16" t="n">
        <x:f>$B$12+$D$12*B129</x:f>
        <x:v>-0.02578135229850974</x:v>
      </x:c>
      <x:c r="D129" s="12" t="n">
        <x:f>D128*EXP(C129)</x:f>
        <x:v>110.09464820041825</x:v>
      </x:c>
      <x:c r="E129" s="16" t="n">
        <x:f>ABS(C129)</x:f>
        <x:v>0.02578135229850974</x:v>
      </x:c>
      <x:c r="F129" s="16" t="n">
        <x:f>C129^2</x:f>
        <x:v>0.0006646781263398735</x:v>
      </x:c>
      <x:c r="G129" s="1"/>
      <x:c r="H129" s="1"/>
      <x:c r="I129" s="1"/>
      <x:c r="J129" s="1"/>
      <x:c r="K129" s="1"/>
      <x:c r="L129" s="1"/>
      <x:c r="M129" s="1"/>
      <x:c r="N129" s="1"/>
    </x:row>
    <x:row r="130" ht="22" customHeight="1">
      <x:c r="A130" s="1" t="n">
        <x:v>114</x:v>
      </x:c>
      <x:c r="B130" s="16" t="n">
        <x:v>1.5929946715343701</x:v>
      </x:c>
      <x:c r="C130" s="16" t="n">
        <x:f>$B$12+$D$12*B130</x:f>
        <x:v>0.021554218017581648</x:v>
      </x:c>
      <x:c r="D130" s="12" t="n">
        <x:f>D129*EXP(C130)</x:f>
        <x:v>112.49341111142776</x:v>
      </x:c>
      <x:c r="E130" s="16" t="n">
        <x:f>ABS(C130)</x:f>
        <x:v>0.021554218017581648</x:v>
      </x:c>
      <x:c r="F130" s="16" t="n">
        <x:f>C130^2</x:f>
        <x:v>0.00046458431434944137</x:v>
      </x:c>
      <x:c r="G130" s="1"/>
      <x:c r="H130" s="1"/>
      <x:c r="I130" s="1"/>
      <x:c r="J130" s="1"/>
      <x:c r="K130" s="1"/>
      <x:c r="L130" s="1"/>
      <x:c r="M130" s="1"/>
      <x:c r="N130" s="1"/>
    </x:row>
    <x:row r="131" ht="22" customHeight="1">
      <x:c r="A131" s="1" t="n">
        <x:v>115</x:v>
      </x:c>
      <x:c r="B131" s="16" t="n">
        <x:v>0.9549906098797623</x:v>
      </x:c>
      <x:c r="C131" s="16" t="n">
        <x:f>$B$12+$D$12*B131</x:f>
        <x:v>0.013118958540935855</x:v>
      </x:c>
      <x:c r="D131" s="12" t="n">
        <x:f>D130*EXP(C131)</x:f>
        <x:v>113.9789304355017</x:v>
      </x:c>
      <x:c r="E131" s="16" t="n">
        <x:f>ABS(C131)</x:f>
        <x:v>0.013118958540935855</x:v>
      </x:c>
      <x:c r="F131" s="16" t="n">
        <x:f>C131^2</x:f>
        <x:v>0.00017210707319879383</x:v>
      </x:c>
      <x:c r="G131" s="1"/>
      <x:c r="H131" s="1"/>
      <x:c r="I131" s="1"/>
      <x:c r="J131" s="1"/>
      <x:c r="K131" s="1"/>
      <x:c r="L131" s="1"/>
      <x:c r="M131" s="1"/>
      <x:c r="N131" s="1"/>
    </x:row>
    <x:row r="132" ht="22" customHeight="1">
      <x:c r="A132" s="1" t="n">
        <x:v>116</x:v>
      </x:c>
      <x:c r="B132" s="16" t="n">
        <x:v>-1.55335718735201</x:v>
      </x:c>
      <x:c r="C132" s="16" t="n">
        <x:f>$B$12+$D$12*B132</x:f>
        <x:v>-0.02004472457488949</x:v>
      </x:c>
      <x:c r="D132" s="12" t="n">
        <x:f>D131*EXP(C132)</x:f>
        <x:v>111.71699979074342</x:v>
      </x:c>
      <x:c r="E132" s="16" t="n">
        <x:f>ABS(C132)</x:f>
        <x:v>0.02004472457488949</x:v>
      </x:c>
      <x:c r="F132" s="16" t="n">
        <x:f>C132^2</x:f>
        <x:v>0.00040179098328317863</x:v>
      </x:c>
      <x:c r="G132" s="1"/>
      <x:c r="H132" s="1"/>
      <x:c r="I132" s="1"/>
      <x:c r="J132" s="1"/>
      <x:c r="K132" s="1"/>
      <x:c r="L132" s="1"/>
      <x:c r="M132" s="1"/>
      <x:c r="N132" s="1"/>
    </x:row>
    <x:row r="133" ht="22" customHeight="1">
      <x:c r="A133" s="1" t="n">
        <x:v>117</x:v>
      </x:c>
      <x:c r="B133" s="16" t="n">
        <x:v>0.554218336100147</x:v>
      </x:c>
      <x:c r="C133" s="16" t="n">
        <x:f>$B$12+$D$12*B133</x:f>
        <x:v>0.007820217790588523</x:v>
      </x:c>
      <x:c r="D133" s="12" t="n">
        <x:f>D132*EXP(C133)</x:f>
        <x:v>112.59407605386215</x:v>
      </x:c>
      <x:c r="E133" s="16" t="n">
        <x:f>ABS(C133)</x:f>
        <x:v>0.007820217790588523</x:v>
      </x:c>
      <x:c r="F133" s="16" t="n">
        <x:f>C133^2</x:f>
        <x:v>0.00006115580629223723</x:v>
      </x:c>
      <x:c r="G133" s="1"/>
      <x:c r="H133" s="1"/>
      <x:c r="I133" s="1"/>
      <x:c r="J133" s="1"/>
      <x:c r="K133" s="1"/>
      <x:c r="L133" s="1"/>
      <x:c r="M133" s="1"/>
      <x:c r="N133" s="1"/>
    </x:row>
    <x:row r="134" ht="22" customHeight="1">
      <x:c r="A134" s="1" t="n">
        <x:v>118</x:v>
      </x:c>
      <x:c r="B134" s="16" t="n">
        <x:v>-0.8748594854720528</x:v>
      </x:c>
      <x:c r="C134" s="16" t="n">
        <x:f>$B$12+$D$12*B134</x:f>
        <x:v>-0.011074085493341306</x:v>
      </x:c>
      <x:c r="D134" s="12" t="n">
        <x:f>D133*EXP(C134)</x:f>
        <x:v>111.35407822286736</x:v>
      </x:c>
      <x:c r="E134" s="16" t="n">
        <x:f>ABS(C134)</x:f>
        <x:v>0.011074085493341306</x:v>
      </x:c>
      <x:c r="F134" s="16" t="n">
        <x:f>C134^2</x:f>
        <x:v>0.00012263536951383235</x:v>
      </x:c>
      <x:c r="G134" s="1"/>
      <x:c r="H134" s="1"/>
      <x:c r="I134" s="1"/>
      <x:c r="J134" s="1"/>
      <x:c r="K134" s="1"/>
      <x:c r="L134" s="1"/>
      <x:c r="M134" s="1"/>
      <x:c r="N134" s="1"/>
    </x:row>
    <x:row r="135" ht="22" customHeight="1">
      <x:c r="A135" s="1" t="n">
        <x:v>119</x:v>
      </x:c>
      <x:c r="B135" s="16" t="n">
        <x:v>-0.712640751051328</x:v>
      </x:c>
      <x:c r="C135" s="16" t="n">
        <x:f>$B$12+$D$12*B135</x:f>
        <x:v>-0.008929338776113219</x:v>
      </x:c>
      <x:c r="D135" s="12" t="n">
        <x:f>D134*EXP(C135)</x:f>
        <x:v>110.36418605283737</x:v>
      </x:c>
      <x:c r="E135" s="16" t="n">
        <x:f>ABS(C135)</x:f>
        <x:v>0.008929338776113219</x:v>
      </x:c>
      <x:c r="F135" s="16" t="n">
        <x:f>C135^2</x:f>
        <x:v>0.00007973309097859912</x:v>
      </x:c>
      <x:c r="G135" s="1"/>
      <x:c r="H135" s="1"/>
      <x:c r="I135" s="1"/>
      <x:c r="J135" s="1"/>
      <x:c r="K135" s="1"/>
      <x:c r="L135" s="1"/>
      <x:c r="M135" s="1"/>
      <x:c r="N135" s="1"/>
    </x:row>
    <x:row r="136" ht="22" customHeight="1">
      <x:c r="A136" s="1" t="n">
        <x:v>120</x:v>
      </x:c>
      <x:c r="B136" s="16" t="n">
        <x:v>1.4656460284129402</x:v>
      </x:c>
      <x:c r="C136" s="16" t="n">
        <x:f>$B$12+$D$12*B136</x:f>
        <x:v>0.019870500133494624</x:v>
      </x:c>
      <x:c r="D136" s="12" t="n">
        <x:f>D135*EXP(C136)</x:f>
        <x:v>112.57911057824697</x:v>
      </x:c>
      <x:c r="E136" s="16" t="n">
        <x:f>ABS(C136)</x:f>
        <x:v>0.019870500133494624</x:v>
      </x:c>
      <x:c r="F136" s="16" t="n">
        <x:f>C136^2</x:f>
        <x:v>0.00039483677555520987</x:v>
      </x:c>
      <x:c r="G136" s="1"/>
      <x:c r="H136" s="1"/>
      <x:c r="I136" s="1"/>
      <x:c r="J136" s="1"/>
      <x:c r="K136" s="1"/>
      <x:c r="L136" s="1"/>
      <x:c r="M136" s="1"/>
      <x:c r="N136" s="1"/>
    </x:row>
    <x:row r="137" ht="22" customHeight="1">
      <x:c r="A137" s="1" t="n">
        <x:v>121</x:v>
      </x:c>
      <x:c r="B137" s="16" t="n">
        <x:v>-1.4299043013112167</x:v>
      </x:c>
      <x:c r="C137" s="16" t="n">
        <x:f>$B$12+$D$12*B137</x:f>
        <x:v>-0.018412513763889</x:v>
      </x:c>
      <x:c r="D137" s="12" t="n">
        <x:f>D136*EXP(C137)</x:f>
        <x:v>110.52521289073754</x:v>
      </x:c>
      <x:c r="E137" s="16" t="n">
        <x:f>ABS(C137)</x:f>
        <x:v>0.018412513763889</x:v>
      </x:c>
      <x:c r="F137" s="16" t="n">
        <x:f>C137^2</x:f>
        <x:v>0.00033902066310540185</x:v>
      </x:c>
      <x:c r="G137" s="1"/>
      <x:c r="H137" s="1"/>
      <x:c r="I137" s="1"/>
      <x:c r="J137" s="1"/>
      <x:c r="K137" s="1"/>
      <x:c r="L137" s="1"/>
      <x:c r="M137" s="1"/>
      <x:c r="N137" s="1"/>
    </x:row>
    <x:row r="138" ht="22" customHeight="1">
      <x:c r="A138" s="1" t="n">
        <x:v>122</x:v>
      </x:c>
      <x:c r="B138" s="16" t="n">
        <x:v>-1.6407862856373858</x:v>
      </x:c>
      <x:c r="C138" s="16" t="n">
        <x:f>$B$12+$D$12*B138</x:f>
        <x:v>-0.0212006531561805</x:v>
      </x:c>
      <x:c r="D138" s="12" t="n">
        <x:f>D137*EXP(C138)</x:f>
        <x:v>108.20667033732677</x:v>
      </x:c>
      <x:c r="E138" s="16" t="n">
        <x:f>ABS(C138)</x:f>
        <x:v>0.0212006531561805</x:v>
      </x:c>
      <x:c r="F138" s="16" t="n">
        <x:f>C138^2</x:f>
        <x:v>0.00044946769424866615</x:v>
      </x:c>
      <x:c r="G138" s="1"/>
      <x:c r="H138" s="1"/>
      <x:c r="I138" s="1"/>
      <x:c r="J138" s="1"/>
      <x:c r="K138" s="1"/>
      <x:c r="L138" s="1"/>
      <x:c r="M138" s="1"/>
      <x:c r="N138" s="1"/>
    </x:row>
    <x:row r="139" ht="22" customHeight="1">
      <x:c r="A139" s="1" t="n">
        <x:v>123</x:v>
      </x:c>
      <x:c r="B139" s="16" t="n">
        <x:v>-0.6703311454135628</x:v>
      </x:c>
      <x:c r="C139" s="16" t="n">
        <x:f>$B$12+$D$12*B139</x:f>
        <x:v>-0.008369949701091445</x:v>
      </x:c>
      <x:c r="D139" s="12" t="n">
        <x:f>D138*EXP(C139)</x:f>
        <x:v>107.3047656629782</x:v>
      </x:c>
      <x:c r="E139" s="16" t="n">
        <x:f>ABS(C139)</x:f>
        <x:v>0.008369949701091445</x:v>
      </x:c>
      <x:c r="F139" s="16" t="n">
        <x:f>C139^2</x:f>
        <x:v>0.00007005605799880077</x:v>
      </x:c>
      <x:c r="G139" s="1"/>
      <x:c r="H139" s="1"/>
      <x:c r="I139" s="1"/>
      <x:c r="J139" s="1"/>
      <x:c r="K139" s="1"/>
      <x:c r="L139" s="1"/>
      <x:c r="M139" s="1"/>
      <x:c r="N139" s="1"/>
    </x:row>
    <x:row r="140" ht="22" customHeight="1">
      <x:c r="A140" s="1" t="n">
        <x:v>124</x:v>
      </x:c>
      <x:c r="B140" s="16" t="n">
        <x:v>-0.6791139337495542</x:v>
      </x:c>
      <x:c r="C140" s="16" t="n">
        <x:f>$B$12+$D$12*B140</x:f>
        <x:v>-0.008486069805954748</x:v>
      </x:c>
      <x:c r="D140" s="12" t="n">
        <x:f>D139*EXP(C140)</x:f>
        <x:v>106.39802271449125</x:v>
      </x:c>
      <x:c r="E140" s="16" t="n">
        <x:f>ABS(C140)</x:f>
        <x:v>0.008486069805954748</x:v>
      </x:c>
      <x:c r="F140" s="16" t="n">
        <x:f>C140^2</x:f>
        <x:v>0.00007201338075153686</x:v>
      </x:c>
      <x:c r="G140" s="1"/>
      <x:c r="H140" s="1"/>
      <x:c r="I140" s="1"/>
      <x:c r="J140" s="1"/>
      <x:c r="K140" s="1"/>
      <x:c r="L140" s="1"/>
      <x:c r="M140" s="1"/>
      <x:c r="N140" s="1"/>
    </x:row>
    <x:row r="141" ht="22" customHeight="1">
      <x:c r="A141" s="1" t="n">
        <x:v>125</x:v>
      </x:c>
      <x:c r="B141" s="16" t="n">
        <x:v>0.885229949563125</x:v>
      </x:c>
      <x:c r="C141" s="16" t="n">
        <x:f>$B$12+$D$12*B141</x:f>
        <x:v>0.012196630132074488</x:v>
      </x:c>
      <x:c r="D141" s="12" t="n">
        <x:f>D140*EXP(C141)</x:f>
        <x:v>107.70366608360803</x:v>
      </x:c>
      <x:c r="E141" s="16" t="n">
        <x:f>ABS(C141)</x:f>
        <x:v>0.012196630132074488</x:v>
      </x:c>
      <x:c r="F141" s="16" t="n">
        <x:f>C141^2</x:f>
        <x:v>0.00014875778657862736</x:v>
      </x:c>
      <x:c r="G141" s="1"/>
      <x:c r="H141" s="1"/>
      <x:c r="I141" s="1"/>
      <x:c r="J141" s="1"/>
      <x:c r="K141" s="1"/>
      <x:c r="L141" s="1"/>
      <x:c r="M141" s="1"/>
      <x:c r="N141" s="1"/>
    </x:row>
    <x:row r="142" ht="22" customHeight="1">
      <x:c r="A142" s="1" t="n">
        <x:v>126</x:v>
      </x:c>
      <x:c r="B142" s="16" t="n">
        <x:v>-0.40962331298659094</x:v>
      </x:c>
      <x:c r="C142" s="16" t="n">
        <x:f>$B$12+$D$12*B142</x:f>
        <x:v>-0.00492304654437466</x:v>
      </x:c>
      <x:c r="D142" s="12" t="n">
        <x:f>D141*EXP(C142)</x:f>
        <x:v>107.17473895718275</x:v>
      </x:c>
      <x:c r="E142" s="16" t="n">
        <x:f>ABS(C142)</x:f>
        <x:v>0.00492304654437466</x:v>
      </x:c>
      <x:c r="F142" s="16" t="n">
        <x:f>C142^2</x:f>
        <x:v>0.000024236387278079285</x:v>
      </x:c>
      <x:c r="G142" s="1"/>
      <x:c r="H142" s="1"/>
      <x:c r="I142" s="1"/>
      <x:c r="J142" s="1"/>
      <x:c r="K142" s="1"/>
      <x:c r="L142" s="1"/>
      <x:c r="M142" s="1"/>
      <x:c r="N142" s="1"/>
    </x:row>
    <x:row r="143" ht="22" customHeight="1">
      <x:c r="A143" s="1" t="n">
        <x:v>127</x:v>
      </x:c>
      <x:c r="B143" s="16" t="n">
        <x:v>-1.139645832855782</x:v>
      </x:c>
      <x:c r="C143" s="16" t="n">
        <x:f>$B$12+$D$12*B143</x:f>
        <x:v>-0.01457491202454321</x:v>
      </x:c>
      <x:c r="D143" s="12" t="n">
        <x:f>D142*EXP(C143)</x:f>
        <x:v>105.62400492320916</x:v>
      </x:c>
      <x:c r="E143" s="16" t="n">
        <x:f>ABS(C143)</x:f>
        <x:v>0.01457491202454321</x:v>
      </x:c>
      <x:c r="F143" s="16" t="n">
        <x:f>C143^2</x:f>
        <x:v>0.00021242806052317425</x:v>
      </x:c>
      <x:c r="G143" s="1"/>
      <x:c r="H143" s="1"/>
      <x:c r="I143" s="1"/>
      <x:c r="J143" s="1"/>
      <x:c r="K143" s="1"/>
      <x:c r="L143" s="1"/>
      <x:c r="M143" s="1"/>
      <x:c r="N143" s="1"/>
    </x:row>
    <x:row r="144" ht="22" customHeight="1">
      <x:c r="A144" s="1" t="n">
        <x:v>128</x:v>
      </x:c>
      <x:c r="B144" s="16" t="n">
        <x:v>-1.9423412514638903</x:v>
      </x:c>
      <x:c r="C144" s="16" t="n">
        <x:f>$B$12+$D$12*B144</x:f>
        <x:v>-0.025187609566176966</x:v>
      </x:c>
      <x:c r="D144" s="12" t="n">
        <x:f>D143*EXP(C144)</x:f>
        <x:v>102.99681394943185</x:v>
      </x:c>
      <x:c r="E144" s="16" t="n">
        <x:f>ABS(C144)</x:f>
        <x:v>0.025187609566176966</x:v>
      </x:c>
      <x:c r="F144" s="16" t="n">
        <x:f>C144^2</x:f>
        <x:v>0.0006344156756581694</x:v>
      </x:c>
      <x:c r="G144" s="1"/>
      <x:c r="H144" s="1"/>
      <x:c r="I144" s="1"/>
      <x:c r="J144" s="1"/>
      <x:c r="K144" s="1"/>
      <x:c r="L144" s="1"/>
      <x:c r="M144" s="1"/>
      <x:c r="N144" s="1"/>
    </x:row>
    <x:row r="145" ht="22" customHeight="1">
      <x:c r="A145" s="1" t="n">
        <x:v>129</x:v>
      </x:c>
      <x:c r="B145" s="16" t="n">
        <x:v>0.5319174022953076</x:v>
      </x:c>
      <x:c r="C145" s="16" t="n">
        <x:f>$B$12+$D$12*B145</x:f>
        <x:v>0.00752536988205411</x:v>
      </x:c>
      <x:c r="D145" s="12" t="n">
        <x:f>D144*EXP(C145)</x:f>
        <x:v>103.77482681672794</x:v>
      </x:c>
      <x:c r="E145" s="16" t="n">
        <x:f>ABS(C145)</x:f>
        <x:v>0.00752536988205411</x:v>
      </x:c>
      <x:c r="F145" s="16" t="n">
        <x:f>C145^2</x:f>
        <x:v>0.00005663119186172709</x:v>
      </x:c>
      <x:c r="G145" s="1"/>
      <x:c r="H145" s="1"/>
      <x:c r="I145" s="1"/>
      <x:c r="J145" s="1"/>
      <x:c r="K145" s="1"/>
      <x:c r="L145" s="1"/>
      <x:c r="M145" s="1"/>
      <x:c r="N145" s="1"/>
    </x:row>
    <x:row r="146" ht="22" customHeight="1">
      <x:c r="A146" s="1" t="n">
        <x:v>130</x:v>
      </x:c>
      <x:c r="B146" s="16" t="n">
        <x:v>0.28435501908445326</x:v>
      </x:c>
      <x:c r="C146" s="16" t="n">
        <x:f>$B$12+$D$12*B146</x:f>
        <x:v>0.004252266990475841</x:v>
      </x:c>
      <x:c r="D146" s="12" t="n">
        <x:f>D145*EXP(C146)</x:f>
        <x:v>104.21704463501868</x:v>
      </x:c>
      <x:c r="E146" s="16" t="n">
        <x:f>ABS(C146)</x:f>
        <x:v>0.004252266990475841</x:v>
      </x:c>
      <x:c r="F146" s="16" t="n">
        <x:f>C146^2</x:f>
        <x:v>0.00001808177455829047</x:v>
      </x:c>
      <x:c r="G146" s="1"/>
      <x:c r="H146" s="1"/>
      <x:c r="I146" s="1"/>
      <x:c r="J146" s="1"/>
      <x:c r="K146" s="1"/>
      <x:c r="L146" s="1"/>
      <x:c r="M146" s="1"/>
      <x:c r="N146" s="1"/>
    </x:row>
    <x:row r="147" ht="22" customHeight="1">
      <x:c r="A147" s="1" t="n">
        <x:v>131</x:v>
      </x:c>
      <x:c r="B147" s="16" t="n">
        <x:v>-1.0726827170549085</x:v>
      </x:c>
      <x:c r="C147" s="16" t="n">
        <x:f>$B$12+$D$12*B147</x:f>
        <x:v>-0.013689570862795502</x:v>
      </x:c>
      <x:c r="D147" s="12" t="n">
        <x:f>D146*EXP(C147)</x:f>
        <x:v>102.80007897202832</x:v>
      </x:c>
      <x:c r="E147" s="16" t="n">
        <x:f>ABS(C147)</x:f>
        <x:v>0.013689570862795502</x:v>
      </x:c>
      <x:c r="F147" s="16" t="n">
        <x:f>C147^2</x:f>
        <x:v>0.00018740435040749958</x:v>
      </x:c>
      <x:c r="G147" s="1"/>
      <x:c r="H147" s="1"/>
      <x:c r="I147" s="1"/>
      <x:c r="J147" s="1"/>
      <x:c r="K147" s="1"/>
      <x:c r="L147" s="1"/>
      <x:c r="M147" s="1"/>
      <x:c r="N147" s="1"/>
    </x:row>
    <x:row r="148" ht="22" customHeight="1">
      <x:c r="A148" s="1" t="n">
        <x:v>132</x:v>
      </x:c>
      <x:c r="B148" s="16" t="n">
        <x:v>1.4864435550766468</x:v>
      </x:c>
      <x:c r="C148" s="16" t="n">
        <x:f>$B$12+$D$12*B148</x:f>
        <x:v>0.020145471006604514</x:v>
      </x:c>
      <x:c r="D148" s="12" t="n">
        <x:f>D147*EXP(C148)</x:f>
        <x:v>104.8920359623768</x:v>
      </x:c>
      <x:c r="E148" s="16" t="n">
        <x:f>ABS(C148)</x:f>
        <x:v>0.020145471006604514</x:v>
      </x:c>
      <x:c r="F148" s="16" t="n">
        <x:f>C148^2</x:f>
        <x:v>0.0004058400020779431</x:v>
      </x:c>
      <x:c r="G148" s="1"/>
      <x:c r="H148" s="1"/>
      <x:c r="I148" s="1"/>
      <x:c r="J148" s="1"/>
      <x:c r="K148" s="1"/>
      <x:c r="L148" s="1"/>
      <x:c r="M148" s="1"/>
      <x:c r="N148" s="1"/>
    </x:row>
    <x:row r="149" ht="22" customHeight="1">
      <x:c r="A149" s="1" t="n">
        <x:v>133</x:v>
      </x:c>
      <x:c r="B149" s="16" t="n">
        <x:v>0.6279458404734959</x:v>
      </x:c>
      <x:c r="C149" s="16" t="n">
        <x:f>$B$12+$D$12*B149</x:f>
        <x:v>0.008794993136597864</x:v>
      </x:c>
      <x:c r="D149" s="12" t="n">
        <x:f>D148*EXP(C149)</x:f>
        <x:v>105.8186294174824</x:v>
      </x:c>
      <x:c r="E149" s="16" t="n">
        <x:f>ABS(C149)</x:f>
        <x:v>0.008794993136597864</x:v>
      </x:c>
      <x:c r="F149" s="16" t="n">
        <x:f>C149^2</x:f>
        <x:v>0.00007735190427280354</x:v>
      </x:c>
      <x:c r="G149" s="1"/>
      <x:c r="H149" s="1"/>
      <x:c r="I149" s="1"/>
      <x:c r="J149" s="1"/>
      <x:c r="K149" s="1"/>
      <x:c r="L149" s="1"/>
      <x:c r="M149" s="1"/>
      <x:c r="N149" s="1"/>
    </x:row>
    <x:row r="150" ht="22" customHeight="1">
      <x:c r="A150" s="1" t="n">
        <x:v>134</x:v>
      </x:c>
      <x:c r="B150" s="16" t="n">
        <x:v>0.6957189087819939</x:v>
      </x:c>
      <x:c r="C150" s="16" t="n">
        <x:f>$B$12+$D$12*B150</x:f>
        <x:v>0.009691042944224496</x:v>
      </x:c>
      <x:c r="D150" s="12" t="n">
        <x:f>D149*EXP(C150)</x:f>
        <x:v>106.84910743796222</x:v>
      </x:c>
      <x:c r="E150" s="16" t="n">
        <x:f>ABS(C150)</x:f>
        <x:v>0.009691042944224496</x:v>
      </x:c>
      <x:c r="F150" s="16" t="n">
        <x:f>C150^2</x:f>
        <x:v>0.00009391631334680338</x:v>
      </x:c>
      <x:c r="G150" s="1"/>
      <x:c r="H150" s="1"/>
      <x:c r="I150" s="1"/>
      <x:c r="J150" s="1"/>
      <x:c r="K150" s="1"/>
      <x:c r="L150" s="1"/>
      <x:c r="M150" s="1"/>
      <x:c r="N150" s="1"/>
    </x:row>
    <x:row r="151" ht="22" customHeight="1">
      <x:c r="A151" s="1" t="n">
        <x:v>135</x:v>
      </x:c>
      <x:c r="B151" s="16" t="n">
        <x:v>-0.16961491796002415</x:v>
      </x:c>
      <x:c r="C151" s="16" t="n">
        <x:f>$B$12+$D$12*B151</x:f>
        <x:v>-0.001749817390673123</x:v>
      </x:c>
      <x:c r="D151" s="12" t="n">
        <x:f>D150*EXP(C151)</x:f>
        <x:v>106.6623044947724</x:v>
      </x:c>
      <x:c r="E151" s="16" t="n">
        <x:f>ABS(C151)</x:f>
        <x:v>0.001749817390673123</x:v>
      </x:c>
      <x:c r="F151" s="16" t="n">
        <x:f>C151^2</x:f>
        <x:v>0.000003061860900702097</x:v>
      </x:c>
      <x:c r="G151" s="1"/>
      <x:c r="H151" s="1"/>
      <x:c r="I151" s="1"/>
      <x:c r="J151" s="1"/>
      <x:c r="K151" s="1"/>
      <x:c r="L151" s="1"/>
      <x:c r="M151" s="1"/>
      <x:c r="N151" s="1"/>
    </x:row>
    <x:row r="152" ht="22" customHeight="1">
      <x:c r="A152" s="1" t="n">
        <x:v>136</x:v>
      </x:c>
      <x:c r="B152" s="16" t="n">
        <x:v>1.1421407589249128</x:v>
      </x:c>
      <x:c r="C152" s="16" t="n">
        <x:f>$B$12+$D$12*B152</x:f>
        <x:v>0.01559333161027755</x:v>
      </x:c>
      <x:c r="D152" s="12" t="n">
        <x:f>D151*EXP(C152)</x:f>
        <x:v>108.3385604210608</x:v>
      </x:c>
      <x:c r="E152" s="16" t="n">
        <x:f>ABS(C152)</x:f>
        <x:v>0.01559333161027755</x:v>
      </x:c>
      <x:c r="F152" s="16" t="n">
        <x:f>C152^2</x:f>
        <x:v>0.00024315199070808102</x:v>
      </x:c>
      <x:c r="G152" s="1"/>
      <x:c r="H152" s="1"/>
      <x:c r="I152" s="1"/>
      <x:c r="J152" s="1"/>
      <x:c r="K152" s="1"/>
      <x:c r="L152" s="1"/>
      <x:c r="M152" s="1"/>
      <x:c r="N152" s="1"/>
    </x:row>
    <x:row r="153" ht="22" customHeight="1">
      <x:c r="A153" s="1" t="n">
        <x:v>137</x:v>
      </x:c>
      <x:c r="B153" s="16" t="n">
        <x:v>0.21857545373888393</x:v>
      </x:c>
      <x:c r="C153" s="16" t="n">
        <x:f>$B$12+$D$12*B153</x:f>
        <x:v>0.0033825739347422244</x:v>
      </x:c>
      <x:c r="D153" s="12" t="n">
        <x:f>D152*EXP(C153)</x:f>
        <x:v>108.70564410551172</x:v>
      </x:c>
      <x:c r="E153" s="16" t="n">
        <x:f>ABS(C153)</x:f>
        <x:v>0.0033825739347422244</x:v>
      </x:c>
      <x:c r="F153" s="16" t="n">
        <x:f>C153^2</x:f>
        <x:v>0.000011441806423997494</x:v>
      </x:c>
      <x:c r="G153" s="1"/>
      <x:c r="H153" s="1"/>
      <x:c r="I153" s="1"/>
      <x:c r="J153" s="1"/>
      <x:c r="K153" s="1"/>
      <x:c r="L153" s="1"/>
      <x:c r="M153" s="1"/>
      <x:c r="N153" s="1"/>
    </x:row>
    <x:row r="154" ht="22" customHeight="1">
      <x:c r="A154" s="1" t="n">
        <x:v>138</x:v>
      </x:c>
      <x:c r="B154" s="16" t="n">
        <x:v>0.4812922671423244</x:v>
      </x:c>
      <x:c r="C154" s="16" t="n">
        <x:f>$B$12+$D$12*B154</x:f>
        <x:v>0.006856038483209728</x:v>
      </x:c>
      <x:c r="D154" s="12" t="n">
        <x:f>D153*EXP(C154)</x:f>
        <x:v>109.45349490235462</x:v>
      </x:c>
      <x:c r="E154" s="16" t="n">
        <x:f>ABS(C154)</x:f>
        <x:v>0.006856038483209728</x:v>
      </x:c>
      <x:c r="F154" s="16" t="n">
        <x:f>C154^2</x:f>
        <x:v>0.00004700526368325275</x:v>
      </x:c>
      <x:c r="G154" s="1"/>
      <x:c r="H154" s="1"/>
      <x:c r="I154" s="1"/>
      <x:c r="J154" s="1"/>
      <x:c r="K154" s="1"/>
      <x:c r="L154" s="1"/>
      <x:c r="M154" s="1"/>
      <x:c r="N154" s="1"/>
    </x:row>
    <x:row r="155" ht="22" customHeight="1">
      <x:c r="A155" s="1" t="n">
        <x:v>139</x:v>
      </x:c>
      <x:c r="B155" s="16" t="n">
        <x:v>-1.0216840295902325</x:v>
      </x:c>
      <x:c r="C155" s="16" t="n">
        <x:f>$B$12+$D$12*B155</x:f>
        <x:v>-0.013015300607184194</x:v>
      </x:c>
      <x:c r="D155" s="12" t="n">
        <x:f>D154*EXP(C155)</x:f>
        <x:v>108.03815527861694</x:v>
      </x:c>
      <x:c r="E155" s="16" t="n">
        <x:f>ABS(C155)</x:f>
        <x:v>0.013015300607184194</x:v>
      </x:c>
      <x:c r="F155" s="16" t="n">
        <x:f>C155^2</x:f>
        <x:v>0.00016939804989536924</x:v>
      </x:c>
      <x:c r="G155" s="1"/>
      <x:c r="H155" s="1"/>
      <x:c r="I155" s="1"/>
      <x:c r="J155" s="1"/>
      <x:c r="K155" s="1"/>
      <x:c r="L155" s="1"/>
      <x:c r="M155" s="1"/>
      <x:c r="N155" s="1"/>
    </x:row>
    <x:row r="156" ht="22" customHeight="1">
      <x:c r="A156" s="1" t="n">
        <x:v>140</x:v>
      </x:c>
      <x:c r="B156" s="16" t="n">
        <x:v>-1.142990706692123</x:v>
      </x:c>
      <x:c r="C156" s="16" t="n">
        <x:f>$B$12+$D$12*B156</x:f>
        <x:v>-0.014619135690851865</x:v>
      </x:c>
      <x:c r="D156" s="12" t="n">
        <x:f>D155*EXP(C156)</x:f>
        <x:v>106.47021968314151</x:v>
      </x:c>
      <x:c r="E156" s="16" t="n">
        <x:f>ABS(C156)</x:f>
        <x:v>0.014619135690851865</x:v>
      </x:c>
      <x:c r="F156" s="16" t="n">
        <x:f>C156^2</x:f>
        <x:v>0.00021371912834753886</x:v>
      </x:c>
      <x:c r="G156" s="1"/>
      <x:c r="H156" s="1"/>
      <x:c r="I156" s="1"/>
      <x:c r="J156" s="1"/>
      <x:c r="K156" s="1"/>
      <x:c r="L156" s="1"/>
      <x:c r="M156" s="1"/>
      <x:c r="N156" s="1"/>
    </x:row>
    <x:row r="157" ht="22" customHeight="1">
      <x:c r="A157" s="1" t="n">
        <x:v>141</x:v>
      </x:c>
      <x:c r="B157" s="16" t="n">
        <x:v>-0.5464035318015984</x:v>
      </x:c>
      <x:c r="C157" s="16" t="n">
        <x:f>$B$12+$D$12*B157</x:f>
        <x:v>-0.006731462362268919</x:v>
      </x:c>
      <x:c r="D157" s="12" t="n">
        <x:f>D156*EXP(C157)</x:f>
        <x:v>105.75592622361606</x:v>
      </x:c>
      <x:c r="E157" s="16" t="n">
        <x:f>ABS(C157)</x:f>
        <x:v>0.006731462362268919</x:v>
      </x:c>
      <x:c r="F157" s="16" t="n">
        <x:f>C157^2</x:f>
        <x:v>0.00004531258553464306</x:v>
      </x:c>
      <x:c r="G157" s="1"/>
      <x:c r="H157" s="1"/>
      <x:c r="I157" s="1"/>
      <x:c r="J157" s="1"/>
      <x:c r="K157" s="1"/>
      <x:c r="L157" s="1"/>
      <x:c r="M157" s="1"/>
      <x:c r="N157" s="1"/>
    </x:row>
    <x:row r="158" ht="22" customHeight="1">
      <x:c r="A158" s="1" t="n">
        <x:v>142</x:v>
      </x:c>
      <x:c r="B158" s="16" t="n">
        <x:v>-0.6491065336556763</x:v>
      </x:c>
      <x:c r="C158" s="16" t="n">
        <x:f>$B$12+$D$12*B158</x:f>
        <x:v>-0.00808933219686345</x:v>
      </x:c>
      <x:c r="D158" s="12" t="n">
        <x:f>D157*EXP(C158)</x:f>
        <x:v>104.90388228412519</x:v>
      </x:c>
      <x:c r="E158" s="16" t="n">
        <x:f>ABS(C158)</x:f>
        <x:v>0.00808933219686345</x:v>
      </x:c>
      <x:c r="F158" s="16" t="n">
        <x:f>C158^2</x:f>
        <x:v>0.00006543729539121166</x:v>
      </x:c>
      <x:c r="G158" s="1"/>
      <x:c r="H158" s="1"/>
      <x:c r="I158" s="1"/>
      <x:c r="J158" s="1"/>
      <x:c r="K158" s="1"/>
      <x:c r="L158" s="1"/>
      <x:c r="M158" s="1"/>
      <x:c r="N158" s="1"/>
    </x:row>
    <x:row r="159" ht="22" customHeight="1">
      <x:c r="A159" s="1" t="n">
        <x:v>143</x:v>
      </x:c>
      <x:c r="B159" s="16" t="n">
        <x:v>-0.4377217116259371</x:v>
      </x:c>
      <x:c r="C159" s="16" t="n">
        <x:f>$B$12+$D$12*B159</x:f>
        <x:v>-0.005294544623534897</x:v>
      </x:c>
      <x:c r="D159" s="12" t="n">
        <x:f>D158*EXP(C159)</x:f>
        <x:v>104.34993175013774</x:v>
      </x:c>
      <x:c r="E159" s="16" t="n">
        <x:f>ABS(C159)</x:f>
        <x:v>0.005294544623534897</x:v>
      </x:c>
      <x:c r="F159" s="16" t="n">
        <x:f>C159^2</x:f>
        <x:v>0.00002803220277060229</x:v>
      </x:c>
      <x:c r="G159" s="1"/>
      <x:c r="H159" s="1"/>
      <x:c r="I159" s="1"/>
      <x:c r="J159" s="1"/>
      <x:c r="K159" s="1"/>
      <x:c r="L159" s="1"/>
      <x:c r="M159" s="1"/>
      <x:c r="N159" s="1"/>
    </x:row>
    <x:row r="160" ht="22" customHeight="1">
      <x:c r="A160" s="1" t="n">
        <x:v>144</x:v>
      </x:c>
      <x:c r="B160" s="16" t="n">
        <x:v>0.35306073747004846</x:v>
      </x:c>
      <x:c r="C160" s="16" t="n">
        <x:f>$B$12+$D$12*B160</x:f>
        <x:v>0.005160647668506065</x:v>
      </x:c>
      <x:c r="D160" s="12" t="n">
        <x:f>D159*EXP(C160)</x:f>
        <x:v>104.88983691405376</x:v>
      </x:c>
      <x:c r="E160" s="16" t="n">
        <x:f>ABS(C160)</x:f>
        <x:v>0.005160647668506065</x:v>
      </x:c>
      <x:c r="F160" s="16" t="n">
        <x:f>C160^2</x:f>
        <x:v>0.00002663228435845708</x:v>
      </x:c>
      <x:c r="G160" s="1"/>
      <x:c r="H160" s="1"/>
      <x:c r="I160" s="1"/>
      <x:c r="J160" s="1"/>
      <x:c r="K160" s="1"/>
      <x:c r="L160" s="1"/>
      <x:c r="M160" s="1"/>
      <x:c r="N160" s="1"/>
    </x:row>
    <x:row r="161" ht="22" customHeight="1">
      <x:c r="A161" s="1" t="n">
        <x:v>145</x:v>
      </x:c>
      <x:c r="B161" s="16" t="n">
        <x:v>1.2863513395248416</x:v>
      </x:c>
      <x:c r="C161" s="16" t="n">
        <x:f>$B$12+$D$12*B161</x:f>
        <x:v>0.017499986661161353</x:v>
      </x:c>
      <x:c r="D161" s="12" t="n">
        <x:f>D160*EXP(C161)</x:f>
        <x:v>106.74156299451577</x:v>
      </x:c>
      <x:c r="E161" s="16" t="n">
        <x:f>ABS(C161)</x:f>
        <x:v>0.017499986661161353</x:v>
      </x:c>
      <x:c r="F161" s="16" t="n">
        <x:f>C161^2</x:f>
        <x:v>0.0003062495331408253</x:v>
      </x:c>
      <x:c r="G161" s="1"/>
      <x:c r="H161" s="1"/>
      <x:c r="I161" s="1"/>
      <x:c r="J161" s="1"/>
      <x:c r="K161" s="1"/>
      <x:c r="L161" s="1"/>
      <x:c r="M161" s="1"/>
      <x:c r="N161" s="1"/>
    </x:row>
    <x:row r="162" ht="22" customHeight="1">
      <x:c r="A162" s="1" t="n">
        <x:v>146</x:v>
      </x:c>
      <x:c r="B162" s="16" t="n">
        <x:v>-0.4011333561722027</x:v>
      </x:c>
      <x:c r="C162" s="16" t="n">
        <x:f>$B$12+$D$12*B162</x:f>
        <x:v>-0.004810798060424331</x:v>
      </x:c>
      <x:c r="D162" s="12" t="n">
        <x:f>D161*EXP(C162)</x:f>
        <x:v>106.22928411342421</x:v>
      </x:c>
      <x:c r="E162" s="16" t="n">
        <x:f>ABS(C162)</x:f>
        <x:v>0.004810798060424331</x:v>
      </x:c>
      <x:c r="F162" s="16" t="n">
        <x:f>C162^2</x:f>
        <x:v>0.000023143777978182505</x:v>
      </x:c>
      <x:c r="G162" s="1"/>
      <x:c r="H162" s="1"/>
      <x:c r="I162" s="1"/>
      <x:c r="J162" s="1"/>
      <x:c r="K162" s="1"/>
      <x:c r="L162" s="1"/>
      <x:c r="M162" s="1"/>
      <x:c r="N162" s="1"/>
    </x:row>
    <x:row r="163" ht="22" customHeight="1">
      <x:c r="A163" s="1" t="n">
        <x:v>147</x:v>
      </x:c>
      <x:c r="B163" s="16" t="n">
        <x:v>0.7236363522044573</x:v>
      </x:c>
      <x:c r="C163" s="16" t="n">
        <x:f>$B$12+$D$12*B163</x:f>
        <x:v>0.010060148555531</x:v>
      </x:c>
      <x:c r="D163" s="12" t="n">
        <x:f>D162*EXP(C163)</x:f>
        <x:v>107.30336011601051</x:v>
      </x:c>
      <x:c r="E163" s="16" t="n">
        <x:f>ABS(C163)</x:f>
        <x:v>0.010060148555531</x:v>
      </x:c>
      <x:c r="F163" s="16" t="n">
        <x:f>C163^2</x:f>
        <x:v>0.00010120658895935246</x:v>
      </x:c>
      <x:c r="G163" s="1"/>
      <x:c r="H163" s="1"/>
      <x:c r="I163" s="1"/>
      <x:c r="J163" s="1"/>
      <x:c r="K163" s="1"/>
      <x:c r="L163" s="1"/>
      <x:c r="M163" s="1"/>
      <x:c r="N163" s="1"/>
    </x:row>
    <x:row r="164" ht="22" customHeight="1">
      <x:c r="A164" s="1" t="n">
        <x:v>148</x:v>
      </x:c>
      <x:c r="B164" s="16" t="n">
        <x:v>0.42986073957861415</x:v>
      </x:c>
      <x:c r="C164" s="16" t="n">
        <x:f>$B$12+$D$12*B164</x:f>
        <x:v>0.006176045507686917</x:v>
      </x:c>
      <x:c r="D164" s="12" t="n">
        <x:f>D163*EXP(C164)</x:f>
        <x:v>107.96812123565095</x:v>
      </x:c>
      <x:c r="E164" s="16" t="n">
        <x:f>ABS(C164)</x:f>
        <x:v>0.006176045507686917</x:v>
      </x:c>
      <x:c r="F164" s="16" t="n">
        <x:f>C164^2</x:f>
        <x:v>0.000038143538113019744</x:v>
      </x:c>
      <x:c r="G164" s="1"/>
      <x:c r="H164" s="1"/>
      <x:c r="I164" s="1"/>
      <x:c r="J164" s="1"/>
      <x:c r="K164" s="1"/>
      <x:c r="L164" s="1"/>
      <x:c r="M164" s="1"/>
      <x:c r="N164" s="1"/>
    </x:row>
    <x:row r="165" ht="22" customHeight="1">
      <x:c r="A165" s="1" t="n">
        <x:v>149</x:v>
      </x:c>
      <x:c r="B165" s="16" t="n">
        <x:v>0.4220931550663337</x:v>
      </x:c>
      <x:c r="C165" s="16" t="n">
        <x:f>$B$12+$D$12*B165</x:f>
        <x:v>0.006073347743196301</x:v>
      </x:c>
      <x:c r="D165" s="12" t="n">
        <x:f>D164*EXP(C165)</x:f>
        <x:v>108.62584445028949</x:v>
      </x:c>
      <x:c r="E165" s="16" t="n">
        <x:f>ABS(C165)</x:f>
        <x:v>0.006073347743196301</x:v>
      </x:c>
      <x:c r="F165" s="16" t="n">
        <x:f>C165^2</x:f>
        <x:v>0.00003688555280978761</x:v>
      </x:c>
      <x:c r="G165" s="1"/>
      <x:c r="H165" s="1"/>
      <x:c r="I165" s="1"/>
      <x:c r="J165" s="1"/>
      <x:c r="K165" s="1"/>
      <x:c r="L165" s="1"/>
      <x:c r="M165" s="1"/>
      <x:c r="N165" s="1"/>
    </x:row>
    <x:row r="166" ht="22" customHeight="1">
      <x:c r="A166" s="1" t="n">
        <x:v>150</x:v>
      </x:c>
      <x:c r="B166" s="16" t="n">
        <x:v>0.14708184980774763</x:v>
      </x:c>
      <x:c r="C166" s="16" t="n">
        <x:f>$B$12+$D$12*B166</x:f>
        <x:v>0.002437333713989277</x:v>
      </x:c>
      <x:c r="D166" s="12" t="n">
        <x:f>D165*EXP(C166)</x:f>
        <x:v>108.89092479658329</x:v>
      </x:c>
      <x:c r="E166" s="16" t="n">
        <x:f>ABS(C166)</x:f>
        <x:v>0.002437333713989277</x:v>
      </x:c>
      <x:c r="F166" s="16" t="n">
        <x:f>C166^2</x:f>
        <x:v>0.000005940595633348762</x:v>
      </x:c>
      <x:c r="G166" s="1"/>
      <x:c r="H166" s="1"/>
      <x:c r="I166" s="1"/>
      <x:c r="J166" s="1"/>
      <x:c r="K166" s="1"/>
      <x:c r="L166" s="1"/>
      <x:c r="M166" s="1"/>
      <x:c r="N166" s="1"/>
    </x:row>
    <x:row r="167" ht="22" customHeight="1">
      <x:c r="A167" s="1" t="n">
        <x:v>151</x:v>
      </x:c>
      <x:c r="B167" s="16" t="n">
        <x:v>0.9865823470219803</x:v>
      </x:c>
      <x:c r="C167" s="16" t="n">
        <x:f>$B$12+$D$12*B167</x:f>
        <x:v>0.013536643186111143</x:v>
      </x:c>
      <x:c r="D167" s="12" t="n">
        <x:f>D166*EXP(C167)</x:f>
        <x:v>110.3749641863068</x:v>
      </x:c>
      <x:c r="E167" s="16" t="n">
        <x:f>ABS(C167)</x:f>
        <x:v>0.013536643186111143</x:v>
      </x:c>
      <x:c r="F167" s="16" t="n">
        <x:f>C167^2</x:f>
        <x:v>0.00018324070874808923</x:v>
      </x:c>
      <x:c r="G167" s="1"/>
      <x:c r="H167" s="1"/>
      <x:c r="I167" s="1"/>
      <x:c r="J167" s="1"/>
      <x:c r="K167" s="1"/>
      <x:c r="L167" s="1"/>
      <x:c r="M167" s="1"/>
      <x:c r="N167" s="1"/>
    </x:row>
    <x:row r="168" ht="22" customHeight="1">
      <x:c r="A168" s="1" t="n">
        <x:v>152</x:v>
      </x:c>
      <x:c r="B168" s="16" t="n">
        <x:v>2.1618291379760013</x:v>
      </x:c>
      <x:c r="C168" s="16" t="n">
        <x:f>$B$12+$D$12*B168</x:f>
        <x:v>0.029074963749592567</x:v>
      </x:c>
      <x:c r="D168" s="12" t="n">
        <x:f>D167*EXP(C168)</x:f>
        <x:v>113.63122065079575</x:v>
      </x:c>
      <x:c r="E168" s="16" t="n">
        <x:f>ABS(C168)</x:f>
        <x:v>0.029074963749592567</x:v>
      </x:c>
      <x:c r="F168" s="16" t="n">
        <x:f>C168^2</x:f>
        <x:v>0.0008453535170401218</x:v>
      </x:c>
      <x:c r="G168" s="1"/>
      <x:c r="H168" s="1"/>
      <x:c r="I168" s="1"/>
      <x:c r="J168" s="1"/>
      <x:c r="K168" s="1"/>
      <x:c r="L168" s="1"/>
      <x:c r="M168" s="1"/>
      <x:c r="N168" s="1"/>
    </x:row>
    <x:row r="169" ht="22" customHeight="1">
      <x:c r="A169" s="1" t="n">
        <x:v>153</x:v>
      </x:c>
      <x:c r="B169" s="16" t="n">
        <x:v>-1.5012176999570535</x:v>
      </x:c>
      <x:c r="C169" s="16" t="n">
        <x:f>$B$12+$D$12*B169</x:f>
        <x:v>-0.019355371431877905</x:v>
      </x:c>
      <x:c r="D169" s="12" t="n">
        <x:f>D168*EXP(C169)</x:f>
        <x:v>111.4529943603572</x:v>
      </x:c>
      <x:c r="E169" s="16" t="n">
        <x:f>ABS(C169)</x:f>
        <x:v>0.019355371431877905</x:v>
      </x:c>
      <x:c r="F169" s="16" t="n">
        <x:f>C169^2</x:f>
        <x:v>0.00037463040326595533</x:v>
      </x:c>
      <x:c r="G169" s="1"/>
      <x:c r="H169" s="1"/>
      <x:c r="I169" s="1"/>
      <x:c r="J169" s="1"/>
      <x:c r="K169" s="1"/>
      <x:c r="L169" s="1"/>
      <x:c r="M169" s="1"/>
      <x:c r="N169" s="1"/>
    </x:row>
    <x:row r="170" ht="22" customHeight="1">
      <x:c r="A170" s="1" t="n">
        <x:v>154</x:v>
      </x:c>
      <x:c r="B170" s="16" t="n">
        <x:v>0.38187674276664074</x:v>
      </x:c>
      <x:c r="C170" s="16" t="n">
        <x:f>$B$12+$D$12*B170</x:f>
        <x:v>0.005541633458983281</x:v>
      </x:c>
      <x:c r="D170" s="12" t="n">
        <x:f>D169*EXP(C170)</x:f>
        <x:v>112.07234051269486</x:v>
      </x:c>
      <x:c r="E170" s="16" t="n">
        <x:f>ABS(C170)</x:f>
        <x:v>0.005541633458983281</x:v>
      </x:c>
      <x:c r="F170" s="16" t="n">
        <x:f>C170^2</x:f>
        <x:v>0.000030709701393723</x:v>
      </x:c>
      <x:c r="G170" s="1"/>
      <x:c r="H170" s="1"/>
      <x:c r="I170" s="1"/>
      <x:c r="J170" s="1"/>
      <x:c r="K170" s="1"/>
      <x:c r="L170" s="1"/>
      <x:c r="M170" s="1"/>
      <x:c r="N170" s="1"/>
    </x:row>
    <x:row r="171" ht="22" customHeight="1">
      <x:c r="A171" s="1" t="n">
        <x:v>155</x:v>
      </x:c>
      <x:c r="B171" s="16" t="n">
        <x:v>1.2089736948453382</x:v>
      </x:c>
      <x:c r="C171" s="16" t="n">
        <x:f>$B$12+$D$12*B171</x:f>
        <x:v>0.01647695162143043</x:v>
      </x:c>
      <x:c r="D171" s="12" t="n">
        <x:f>D170*EXP(C171)</x:f>
        <x:v>113.93424820298206</x:v>
      </x:c>
      <x:c r="E171" s="16" t="n">
        <x:f>ABS(C171)</x:f>
        <x:v>0.01647695162143043</x:v>
      </x:c>
      <x:c r="F171" s="16" t="n">
        <x:f>C171^2</x:f>
        <x:v>0.00027148993473495895</x:v>
      </x:c>
      <x:c r="G171" s="1"/>
      <x:c r="H171" s="1"/>
      <x:c r="I171" s="1"/>
      <x:c r="J171" s="1"/>
      <x:c r="K171" s="1"/>
      <x:c r="L171" s="1"/>
      <x:c r="M171" s="1"/>
      <x:c r="N171" s="1"/>
    </x:row>
    <x:row r="172" ht="22" customHeight="1">
      <x:c r="A172" s="1" t="n">
        <x:v>156</x:v>
      </x:c>
      <x:c r="B172" s="16" t="n">
        <x:v>-0.7056565468793363</x:v>
      </x:c>
      <x:c r="C172" s="16" t="n">
        <x:f>$B$12+$D$12*B172</x:f>
        <x:v>-0.008836998338223476</x:v>
      </x:c>
      <x:c r="D172" s="12" t="n">
        <x:f>D171*EXP(C172)</x:f>
        <x:v>112.93184707283524</x:v>
      </x:c>
      <x:c r="E172" s="16" t="n">
        <x:f>ABS(C172)</x:f>
        <x:v>0.008836998338223476</x:v>
      </x:c>
      <x:c r="F172" s="16" t="n">
        <x:f>C172^2</x:f>
        <x:v>0.00007809253962976447</x:v>
      </x:c>
      <x:c r="G172" s="1"/>
      <x:c r="H172" s="1"/>
      <x:c r="I172" s="1"/>
      <x:c r="J172" s="1"/>
      <x:c r="K172" s="1"/>
      <x:c r="L172" s="1"/>
      <x:c r="M172" s="1"/>
      <x:c r="N172" s="1"/>
    </x:row>
    <x:row r="173" ht="22" customHeight="1">
      <x:c r="A173" s="1" t="n">
        <x:v>157</x:v>
      </x:c>
      <x:c r="B173" s="16" t="n">
        <x:v>-1.1771717863799769</x:v>
      </x:c>
      <x:c r="C173" s="16" t="n">
        <x:f>$B$12+$D$12*B173</x:f>
        <x:v>-0.015071054877089029</x:v>
      </x:c>
      <x:c r="D173" s="12" t="n">
        <x:f>D172*EXP(C173)</x:f>
        <x:v>111.24260630233206</x:v>
      </x:c>
      <x:c r="E173" s="16" t="n">
        <x:f>ABS(C173)</x:f>
        <x:v>0.015071054877089029</x:v>
      </x:c>
      <x:c r="F173" s="16" t="n">
        <x:f>C173^2</x:f>
        <x:v>0.000227136695108229</x:v>
      </x:c>
      <x:c r="G173" s="1"/>
      <x:c r="H173" s="1"/>
      <x:c r="I173" s="1"/>
      <x:c r="J173" s="1"/>
      <x:c r="K173" s="1"/>
      <x:c r="L173" s="1"/>
      <x:c r="M173" s="1"/>
      <x:c r="N173" s="1"/>
    </x:row>
    <x:row r="174" ht="22" customHeight="1">
      <x:c r="A174" s="1" t="n">
        <x:v>158</x:v>
      </x:c>
      <x:c r="B174" s="16" t="n">
        <x:v>-0.0739527930237891</x:v>
      </x:c>
      <x:c r="C174" s="16" t="n">
        <x:f>$B$12+$D$12*B174</x:f>
        <x:v>-0.000485037282797735</x:v>
      </x:c>
      <x:c r="D174" s="12" t="n">
        <x:f>D173*EXP(C174)</x:f>
        <x:v>111.18866257425705</x:v>
      </x:c>
      <x:c r="E174" s="16" t="n">
        <x:f>ABS(C174)</x:f>
        <x:v>0.000485037282797735</x:v>
      </x:c>
      <x:c r="F174" s="16" t="n">
        <x:f>C174^2</x:f>
        <x:v>2.3526116570380997e-7</x:v>
      </x:c>
      <x:c r="G174" s="1"/>
      <x:c r="H174" s="1"/>
      <x:c r="I174" s="1"/>
      <x:c r="J174" s="1"/>
      <x:c r="K174" s="1"/>
      <x:c r="L174" s="1"/>
      <x:c r="M174" s="1"/>
      <x:c r="N174" s="1"/>
    </x:row>
    <x:row r="175" ht="22" customHeight="1">
      <x:c r="A175" s="1" t="n">
        <x:v>159</x:v>
      </x:c>
      <x:c r="B175" s="16" t="n">
        <x:v>-0.7897083201698928</x:v>
      </x:c>
      <x:c r="C175" s="16" t="n">
        <x:f>$B$12+$D$12*B175</x:f>
        <x:v>-0.009948274205871284</x:v>
      </x:c>
      <x:c r="D175" s="12" t="n">
        <x:f>D174*EXP(C175)</x:f>
        <x:v>110.08801113896487</x:v>
      </x:c>
      <x:c r="E175" s="16" t="n">
        <x:f>ABS(C175)</x:f>
        <x:v>0.009948274205871284</x:v>
      </x:c>
      <x:c r="F175" s="16" t="n">
        <x:f>C175^2</x:f>
        <x:v>0.00009896815967520392</x:v>
      </x:c>
      <x:c r="G175" s="1"/>
      <x:c r="H175" s="1"/>
      <x:c r="I175" s="1"/>
      <x:c r="J175" s="1"/>
      <x:c r="K175" s="1"/>
      <x:c r="L175" s="1"/>
      <x:c r="M175" s="1"/>
      <x:c r="N175" s="1"/>
    </x:row>
    <x:row r="176" ht="22" customHeight="1">
      <x:c r="A176" s="1" t="n">
        <x:v>160</x:v>
      </x:c>
      <x:c r="B176" s="16" t="n">
        <x:v>0.39613242388929465</x:v>
      </x:c>
      <x:c r="C176" s="16" t="n">
        <x:f>$B$12+$D$12*B176</x:f>
        <x:v>0.005730112461725126</x:v>
      </x:c>
      <x:c r="D176" s="12" t="n">
        <x:f>D175*EXP(C176)</x:f>
        <x:v>110.72063860576117</x:v>
      </x:c>
      <x:c r="E176" s="16" t="n">
        <x:f>ABS(C176)</x:f>
        <x:v>0.005730112461725126</x:v>
      </x:c>
      <x:c r="F176" s="16" t="n">
        <x:f>C176^2</x:f>
        <x:v>0.000032834188824017583</x:v>
      </x:c>
      <x:c r="G176" s="1"/>
      <x:c r="H176" s="1"/>
      <x:c r="I176" s="1"/>
      <x:c r="J176" s="1"/>
      <x:c r="K176" s="1"/>
      <x:c r="L176" s="1"/>
      <x:c r="M176" s="1"/>
      <x:c r="N176" s="1"/>
    </x:row>
    <x:row r="177" ht="22" customHeight="1">
      <x:c r="A177" s="1" t="n">
        <x:v>161</x:v>
      </x:c>
      <x:c r="B177" s="16" t="n">
        <x:v>-0.05052885888546161</x:v>
      </x:c>
      <x:c r="C177" s="16" t="n">
        <x:f>$B$12+$D$12*B177</x:f>
        <x:v>-0.0001753418211289968</x:v>
      </x:c>
      <x:c r="D177" s="12" t="n">
        <x:f>D176*EXP(C177)</x:f>
        <x:v>110.7012263492914</x:v>
      </x:c>
      <x:c r="E177" s="16" t="n">
        <x:f>ABS(C177)</x:f>
        <x:v>0.0001753418211289968</x:v>
      </x:c>
      <x:c r="F177" s="16" t="n">
        <x:f>C177^2</x:f>
        <x:v>3.074475423683311e-8</x:v>
      </x:c>
      <x:c r="G177" s="1"/>
      <x:c r="H177" s="1"/>
      <x:c r="I177" s="1"/>
      <x:c r="J177" s="1"/>
      <x:c r="K177" s="1"/>
      <x:c r="L177" s="1"/>
      <x:c r="M177" s="1"/>
      <x:c r="N177" s="1"/>
    </x:row>
    <x:row r="178" ht="22" customHeight="1">
      <x:c r="A178" s="1" t="n">
        <x:v>162</x:v>
      </x:c>
      <x:c r="B178" s="16" t="n">
        <x:v>0.7957321840505415</x:v>
      </x:c>
      <x:c r="C178" s="16" t="n">
        <x:f>$B$12+$D$12*B178</x:f>
        <x:v>0.011013351027673837</x:v>
      </x:c>
      <x:c r="D178" s="12" t="n">
        <x:f>D177*EXP(C178)</x:f>
        <x:v>111.92715622081569</x:v>
      </x:c>
      <x:c r="E178" s="16" t="n">
        <x:f>ABS(C178)</x:f>
        <x:v>0.011013351027673837</x:v>
      </x:c>
      <x:c r="F178" s="16" t="n">
        <x:f>C178^2</x:f>
        <x:v>0.00012129390085876435</x:v>
      </x:c>
      <x:c r="G178" s="1"/>
      <x:c r="H178" s="1"/>
      <x:c r="I178" s="1"/>
      <x:c r="J178" s="1"/>
      <x:c r="K178" s="1"/>
      <x:c r="L178" s="1"/>
      <x:c r="M178" s="1"/>
      <x:c r="N178" s="1"/>
    </x:row>
    <x:row r="179" ht="22" customHeight="1">
      <x:c r="A179" s="1" t="n">
        <x:v>163</x:v>
      </x:c>
      <x:c r="B179" s="16" t="n">
        <x:v>-1.1515584258443259</x:v>
      </x:c>
      <x:c r="C179" s="16" t="n">
        <x:f>$B$12+$D$12*B179</x:f>
        <x:v>-0.014732412295995147</x:v>
      </x:c>
      <x:c r="D179" s="12" t="n">
        <x:f>D178*EXP(C179)</x:f>
        <x:v>110.29028633522182</x:v>
      </x:c>
      <x:c r="E179" s="16" t="n">
        <x:f>ABS(C179)</x:f>
        <x:v>0.014732412295995147</x:v>
      </x:c>
      <x:c r="F179" s="16" t="n">
        <x:f>C179^2</x:f>
        <x:v>0.000217043972059189</x:v>
      </x:c>
      <x:c r="G179" s="1"/>
      <x:c r="H179" s="1"/>
      <x:c r="I179" s="1"/>
      <x:c r="J179" s="1"/>
      <x:c r="K179" s="1"/>
      <x:c r="L179" s="1"/>
      <x:c r="M179" s="1"/>
      <x:c r="N179" s="1"/>
    </x:row>
    <x:row r="180" ht="22" customHeight="1">
      <x:c r="A180" s="1" t="n">
        <x:v>164</x:v>
      </x:c>
      <x:c r="B180" s="16" t="n">
        <x:v>-0.20475112125650996</x:v>
      </x:c>
      <x:c r="C180" s="16" t="n">
        <x:f>$B$12+$D$12*B180</x:f>
        <x:v>-0.0022143645771932085</x:v>
      </x:c>
      <x:c r="D180" s="12" t="n">
        <x:f>D179*EXP(C180)</x:f>
        <x:v>110.0463336317485</x:v>
      </x:c>
      <x:c r="E180" s="16" t="n">
        <x:f>ABS(C180)</x:f>
        <x:v>0.0022143645771932085</x:v>
      </x:c>
      <x:c r="F180" s="16" t="n">
        <x:f>C180^2</x:f>
        <x:v>0.000004903410480728057</x:v>
      </x:c>
      <x:c r="G180" s="1"/>
      <x:c r="H180" s="1"/>
      <x:c r="I180" s="1"/>
      <x:c r="J180" s="1"/>
      <x:c r="K180" s="1"/>
      <x:c r="L180" s="1"/>
      <x:c r="M180" s="1"/>
      <x:c r="N180" s="1"/>
    </x:row>
    <x:row r="181" ht="22" customHeight="1">
      <x:c r="A181" s="1" t="n">
        <x:v>165</x:v>
      </x:c>
      <x:c r="B181" s="16" t="n">
        <x:v>0.9303532588637454</x:v>
      </x:c>
      <x:c r="C181" s="16" t="n">
        <x:f>$B$12+$D$12*B181</x:f>
        <x:v>0.012793220099556132</x:v>
      </x:c>
      <x:c r="D181" s="12" t="n">
        <x:f>D180*EXP(C181)</x:f>
        <x:v>111.46322457314037</x:v>
      </x:c>
      <x:c r="E181" s="16" t="n">
        <x:f>ABS(C181)</x:f>
        <x:v>0.012793220099556132</x:v>
      </x:c>
      <x:c r="F181" s="16" t="n">
        <x:f>C181^2</x:f>
        <x:v>0.000163666480515687</x:v>
      </x:c>
      <x:c r="G181" s="1"/>
      <x:c r="H181" s="1"/>
      <x:c r="I181" s="1"/>
      <x:c r="J181" s="1"/>
      <x:c r="K181" s="1"/>
      <x:c r="L181" s="1"/>
      <x:c r="M181" s="1"/>
      <x:c r="N181" s="1"/>
    </x:row>
    <x:row r="182" ht="22" customHeight="1">
      <x:c r="A182" s="1" t="n">
        <x:v>166</x:v>
      </x:c>
      <x:c r="B182" s="16" t="n">
        <x:v>-0.6717856424776455</x:v>
      </x:c>
      <x:c r="C182" s="16" t="n">
        <x:f>$B$12+$D$12*B182</x:f>
        <x:v>-0.00838918008045884</x:v>
      </x:c>
      <x:c r="D182" s="12" t="n">
        <x:f>D181*EXP(C182)</x:f>
        <x:v>110.53205086301665</x:v>
      </x:c>
      <x:c r="E182" s="16" t="n">
        <x:f>ABS(C182)</x:f>
        <x:v>0.00838918008045884</x:v>
      </x:c>
      <x:c r="F182" s="16" t="n">
        <x:f>C182^2</x:f>
        <x:v>0.0000703783424223674</x:v>
      </x:c>
      <x:c r="G182" s="1"/>
      <x:c r="H182" s="1"/>
      <x:c r="I182" s="1"/>
      <x:c r="J182" s="1"/>
      <x:c r="K182" s="1"/>
      <x:c r="L182" s="1"/>
      <x:c r="M182" s="1"/>
      <x:c r="N182" s="1"/>
    </x:row>
    <x:row r="183" ht="22" customHeight="1">
      <x:c r="A183" s="1" t="n">
        <x:v>167</x:v>
      </x:c>
      <x:c r="B183" s="16" t="n">
        <x:v>-1.7011810724238676</x:v>
      </x:c>
      <x:c r="C183" s="16" t="n">
        <x:f>$B$12+$D$12*B183</x:f>
        <x:v>-0.021999152300934327</x:v>
      </x:c>
      <x:c r="D183" s="12" t="n">
        <x:f>D182*EXP(C183)</x:f>
        <x:v>108.12699107604017</x:v>
      </x:c>
      <x:c r="E183" s="16" t="n">
        <x:f>ABS(C183)</x:f>
        <x:v>0.021999152300934327</x:v>
      </x:c>
      <x:c r="F183" s="16" t="n">
        <x:f>C183^2</x:f>
        <x:v>0.0004839627019597041</x:v>
      </x:c>
      <x:c r="G183" s="1"/>
      <x:c r="H183" s="1"/>
      <x:c r="I183" s="1"/>
      <x:c r="J183" s="1"/>
      <x:c r="K183" s="1"/>
      <x:c r="L183" s="1"/>
      <x:c r="M183" s="1"/>
      <x:c r="N183" s="1"/>
    </x:row>
    <x:row r="184" ht="22" customHeight="1">
      <x:c r="A184" s="1" t="n">
        <x:v>168</x:v>
      </x:c>
      <x:c r="B184" s="16" t="n">
        <x:v>-0.38404456007154736</x:v>
      </x:c>
      <x:c r="C184" s="16" t="n">
        <x:f>$B$12+$D$12*B184</x:f>
        <x:v>-0.004584861521903426</x:v>
      </x:c>
      <x:c r="D184" s="12" t="n">
        <x:f>D183*EXP(C184)</x:f>
        <x:v>107.63237852663482</x:v>
      </x:c>
      <x:c r="E184" s="16" t="n">
        <x:f>ABS(C184)</x:f>
        <x:v>0.004584861521903426</x:v>
      </x:c>
      <x:c r="F184" s="16" t="n">
        <x:f>C184^2</x:f>
        <x:v>0.000021020955175030598</x:v>
      </x:c>
      <x:c r="G184" s="1"/>
      <x:c r="H184" s="1"/>
      <x:c r="I184" s="1"/>
      <x:c r="J184" s="1"/>
      <x:c r="K184" s="1"/>
      <x:c r="L184" s="1"/>
      <x:c r="M184" s="1"/>
      <x:c r="N184" s="1"/>
    </x:row>
    <x:row r="185" ht="22" customHeight="1">
      <x:c r="A185" s="1" t="n">
        <x:v>169</x:v>
      </x:c>
      <x:c r="B185" s="16" t="n">
        <x:v>-0.7527020958403894</x:v>
      </x:c>
      <x:c r="C185" s="16" t="n">
        <x:f>$B$12+$D$12*B185</x:f>
        <x:v>-0.009459002862267652</x:v>
      </x:c>
      <x:c r="D185" s="12" t="n">
        <x:f>D184*EXP(C185)</x:f>
        <x:v>106.61908348560405</x:v>
      </x:c>
      <x:c r="E185" s="16" t="n">
        <x:f>ABS(C185)</x:f>
        <x:v>0.009459002862267652</x:v>
      </x:c>
      <x:c r="F185" s="16" t="n">
        <x:f>C185^2</x:f>
        <x:v>0.00008947273514838764</x:v>
      </x:c>
      <x:c r="G185" s="1"/>
      <x:c r="H185" s="1"/>
      <x:c r="I185" s="1"/>
      <x:c r="J185" s="1"/>
      <x:c r="K185" s="1"/>
      <x:c r="L185" s="1"/>
      <x:c r="M185" s="1"/>
      <x:c r="N185" s="1"/>
    </x:row>
    <x:row r="186" ht="22" customHeight="1">
      <x:c r="A186" s="1" t="n">
        <x:v>170</x:v>
      </x:c>
      <x:c r="B186" s="16" t="n">
        <x:v>-0.5390893894577701</x:v>
      </x:c>
      <x:c r="C186" s="16" t="n">
        <x:f>$B$12+$D$12*B186</x:f>
        <x:v>-0.006634759704359017</x:v>
      </x:c>
      <x:c r="D186" s="12" t="n">
        <x:f>D185*EXP(C186)</x:f>
        <x:v>105.91403299343602</x:v>
      </x:c>
      <x:c r="E186" s="16" t="n">
        <x:f>ABS(C186)</x:f>
        <x:v>0.006634759704359017</x:v>
      </x:c>
      <x:c r="F186" s="16" t="n">
        <x:f>C186^2</x:f>
        <x:v>0.000044020036334586146</x:v>
      </x:c>
      <x:c r="G186" s="1"/>
      <x:c r="H186" s="1"/>
      <x:c r="I186" s="1"/>
      <x:c r="J186" s="1"/>
      <x:c r="K186" s="1"/>
      <x:c r="L186" s="1"/>
      <x:c r="M186" s="1"/>
      <x:c r="N186" s="1"/>
    </x:row>
    <x:row r="187" ht="22" customHeight="1">
      <x:c r="A187" s="1" t="n">
        <x:v>171</x:v>
      </x:c>
      <x:c r="B187" s="16" t="n">
        <x:v>1.613103791560644</x:v>
      </x:c>
      <x:c r="C187" s="16" t="n">
        <x:f>$B$12+$D$12*B187</x:f>
        <x:v>0.021820087242346027</x:v>
      </x:c>
      <x:c r="D187" s="12" t="n">
        <x:f>D186*EXP(C187)</x:f>
        <x:v>108.25048452048604</x:v>
      </x:c>
      <x:c r="E187" s="16" t="n">
        <x:f>ABS(C187)</x:f>
        <x:v>0.021820087242346027</x:v>
      </x:c>
      <x:c r="F187" s="16" t="n">
        <x:f>C187^2</x:f>
        <x:v>0.0004761162072635919</x:v>
      </x:c>
      <x:c r="G187" s="1"/>
      <x:c r="H187" s="1"/>
      <x:c r="I187" s="1"/>
      <x:c r="J187" s="1"/>
      <x:c r="K187" s="1"/>
      <x:c r="L187" s="1"/>
      <x:c r="M187" s="1"/>
      <x:c r="N187" s="1"/>
    </x:row>
    <x:row r="188" ht="22" customHeight="1">
      <x:c r="A188" s="1" t="n">
        <x:v>172</x:v>
      </x:c>
      <x:c r="B188" s="16" t="n">
        <x:v>-1.5031979021907034</x:v>
      </x:c>
      <x:c r="C188" s="16" t="n">
        <x:f>$B$12+$D$12*B188</x:f>
        <x:v>-0.0193815523304975</x:v>
      </x:c>
      <x:c r="D188" s="12" t="n">
        <x:f>D187*EXP(C188)</x:f>
        <x:v>106.1726232230554</x:v>
      </x:c>
      <x:c r="E188" s="16" t="n">
        <x:f>ABS(C188)</x:f>
        <x:v>0.0193815523304975</x:v>
      </x:c>
      <x:c r="F188" s="16" t="n">
        <x:f>C188^2</x:f>
        <x:v>0.0003756445707398131</x:v>
      </x:c>
      <x:c r="G188" s="1"/>
      <x:c r="H188" s="1"/>
      <x:c r="I188" s="1"/>
      <x:c r="J188" s="1"/>
      <x:c r="K188" s="1"/>
      <x:c r="L188" s="1"/>
      <x:c r="M188" s="1"/>
      <x:c r="N188" s="1"/>
    </x:row>
    <x:row r="189" ht="22" customHeight="1">
      <x:c r="A189" s="1" t="n">
        <x:v>173</x:v>
      </x:c>
      <x:c r="B189" s="16" t="n">
        <x:v>0.5313604661299658</x:v>
      </x:c>
      <x:c r="C189" s="16" t="n">
        <x:f>$B$12+$D$12*B189</x:f>
        <x:v>0.007518006447635835</x:v>
      </x:c>
      <x:c r="D189" s="12" t="n">
        <x:f>D188*EXP(C189)</x:f>
        <x:v>106.97383768300199</x:v>
      </x:c>
      <x:c r="E189" s="16" t="n">
        <x:f>ABS(C189)</x:f>
        <x:v>0.007518006447635835</x:v>
      </x:c>
      <x:c r="F189" s="16" t="n">
        <x:f>C189^2</x:f>
        <x:v>0.00005652042094669399</x:v>
      </x:c>
      <x:c r="G189" s="1"/>
      <x:c r="H189" s="1"/>
      <x:c r="I189" s="1"/>
      <x:c r="J189" s="1"/>
      <x:c r="K189" s="1"/>
      <x:c r="L189" s="1"/>
      <x:c r="M189" s="1"/>
      <x:c r="N189" s="1"/>
    </x:row>
    <x:row r="190" ht="22" customHeight="1">
      <x:c r="A190" s="1" t="n">
        <x:v>174</x:v>
      </x:c>
      <x:c r="B190" s="16" t="n">
        <x:v>-1.8719795330737412</x:v>
      </x:c>
      <x:c r="C190" s="16" t="n">
        <x:f>$B$12+$D$12*B190</x:f>
        <x:v>-0.02425733437278032</x:v>
      </x:c>
      <x:c r="D190" s="12" t="n">
        <x:f>D189*EXP(C190)</x:f>
        <x:v>104.41015726817649</x:v>
      </x:c>
      <x:c r="E190" s="16" t="n">
        <x:f>ABS(C190)</x:f>
        <x:v>0.02425733437278032</x:v>
      </x:c>
      <x:c r="F190" s="16" t="n">
        <x:f>C190^2</x:f>
        <x:v>0.0005884182708728695</x:v>
      </x:c>
      <x:c r="G190" s="1"/>
      <x:c r="H190" s="1"/>
      <x:c r="I190" s="1"/>
      <x:c r="J190" s="1"/>
      <x:c r="K190" s="1"/>
      <x:c r="L190" s="1"/>
      <x:c r="M190" s="1"/>
      <x:c r="N190" s="1"/>
    </x:row>
    <x:row r="191" ht="22" customHeight="1">
      <x:c r="A191" s="1" t="n">
        <x:v>175</x:v>
      </x:c>
      <x:c r="B191" s="16" t="n">
        <x:v>-1.1944146917843041</x:v>
      </x:c>
      <x:c r="C191" s="16" t="n">
        <x:f>$B$12+$D$12*B191</x:f>
        <x:v>-0.01529902894490225</x:v>
      </x:c>
      <x:c r="D191" s="12" t="n">
        <x:f>D190*EXP(C191)</x:f>
        <x:v>102.82494030962927</x:v>
      </x:c>
      <x:c r="E191" s="16" t="n">
        <x:f>ABS(C191)</x:f>
        <x:v>0.01529902894490225</x:v>
      </x:c>
      <x:c r="F191" s="16" t="n">
        <x:f>C191^2</x:f>
        <x:v>0.00023406028665695684</x:v>
      </x:c>
      <x:c r="G191" s="1"/>
      <x:c r="H191" s="1"/>
      <x:c r="I191" s="1"/>
      <x:c r="J191" s="1"/>
      <x:c r="K191" s="1"/>
      <x:c r="L191" s="1"/>
      <x:c r="M191" s="1"/>
      <x:c r="N191" s="1"/>
    </x:row>
    <x:row r="192" ht="22" customHeight="1">
      <x:c r="A192" s="1" t="n">
        <x:v>176</x:v>
      </x:c>
      <x:c r="B192" s="16" t="n">
        <x:v>1.1314988088773503</x:v>
      </x:c>
      <x:c r="C192" s="16" t="n">
        <x:f>$B$12+$D$12*B192</x:f>
        <x:v>0.015452630922956078</x:v>
      </x:c>
      <x:c r="D192" s="12" t="n">
        <x:f>D191*EXP(C192)</x:f>
        <x:v>104.42619610662892</x:v>
      </x:c>
      <x:c r="E192" s="16" t="n">
        <x:f>ABS(C192)</x:f>
        <x:v>0.015452630922956078</x:v>
      </x:c>
      <x:c r="F192" s="16" t="n">
        <x:f>C192^2</x:f>
        <x:v>0.0002387838024410984</x:v>
      </x:c>
      <x:c r="G192" s="1"/>
      <x:c r="H192" s="1"/>
      <x:c r="I192" s="1"/>
      <x:c r="J192" s="1"/>
      <x:c r="K192" s="1"/>
      <x:c r="L192" s="1"/>
      <x:c r="M192" s="1"/>
      <x:c r="N192" s="1"/>
    </x:row>
    <x:row r="193" ht="22" customHeight="1">
      <x:c r="A193" s="1" t="n">
        <x:v>177</x:v>
      </x:c>
      <x:c r="B193" s="16" t="n">
        <x:v>-0.2648674420488339</x:v>
      </x:c>
      <x:c r="C193" s="16" t="n">
        <x:f>$B$12+$D$12*B193</x:f>
        <x:v>-0.00300918203235081</x:v>
      </x:c>
      <x:c r="D193" s="12" t="n">
        <x:f>D192*EXP(C193)</x:f>
        <x:v>104.11243099852744</x:v>
      </x:c>
      <x:c r="E193" s="16" t="n">
        <x:f>ABS(C193)</x:f>
        <x:v>0.00300918203235081</x:v>
      </x:c>
      <x:c r="F193" s="16" t="n">
        <x:f>C193^2</x:f>
        <x:v>0.000009055176503822951</x:v>
      </x:c>
      <x:c r="G193" s="1"/>
      <x:c r="H193" s="1"/>
      <x:c r="I193" s="1"/>
      <x:c r="J193" s="1"/>
      <x:c r="K193" s="1"/>
      <x:c r="L193" s="1"/>
      <x:c r="M193" s="1"/>
      <x:c r="N193" s="1"/>
    </x:row>
    <x:row r="194" ht="22" customHeight="1">
      <x:c r="A194" s="1" t="n">
        <x:v>178</x:v>
      </x:c>
      <x:c r="B194" s="16" t="n">
        <x:v>-1.130510449536386</x:v>
      </x:c>
      <x:c r="C194" s="16" t="n">
        <x:f>$B$12+$D$12*B194</x:f>
        <x:v>-0.014454130146575412</x:v>
      </x:c>
      <x:c r="D194" s="12" t="n">
        <x:f>D193*EXP(C194)</x:f>
        <x:v>102.61839984260942</x:v>
      </x:c>
      <x:c r="E194" s="16" t="n">
        <x:f>ABS(C194)</x:f>
        <x:v>0.014454130146575412</x:v>
      </x:c>
      <x:c r="F194" s="16" t="n">
        <x:f>C194^2</x:f>
        <x:v>0.00020892187829414015</x:v>
      </x:c>
      <x:c r="G194" s="1"/>
      <x:c r="H194" s="1"/>
      <x:c r="I194" s="1"/>
      <x:c r="J194" s="1"/>
      <x:c r="K194" s="1"/>
      <x:c r="L194" s="1"/>
      <x:c r="M194" s="1"/>
      <x:c r="N194" s="1"/>
    </x:row>
    <x:row r="195" ht="22" customHeight="1">
      <x:c r="A195" s="1" t="n">
        <x:v>179</x:v>
      </x:c>
      <x:c r="B195" s="16" t="n">
        <x:v>-0.5951825779492866</x:v>
      </x:c>
      <x:c r="C195" s="16" t="n">
        <x:f>$B$12+$D$12*B195</x:f>
        <x:v>-0.007376386017162172</x:v>
      </x:c>
      <x:c r="D195" s="12" t="n">
        <x:f>D194*EXP(C195)</x:f>
        <x:v>101.86423184961347</x:v>
      </x:c>
      <x:c r="E195" s="16" t="n">
        <x:f>ABS(C195)</x:f>
        <x:v>0.007376386017162172</x:v>
      </x:c>
      <x:c r="F195" s="16" t="n">
        <x:f>C195^2</x:f>
        <x:v>0.00005441107067418562</x:v>
      </x:c>
      <x:c r="G195" s="1"/>
      <x:c r="H195" s="1"/>
      <x:c r="I195" s="1"/>
      <x:c r="J195" s="1"/>
      <x:c r="K195" s="1"/>
      <x:c r="L195" s="1"/>
      <x:c r="M195" s="1"/>
      <x:c r="N195" s="1"/>
    </x:row>
    <x:row r="196" ht="22" customHeight="1">
      <x:c r="A196" s="1" t="n">
        <x:v>180</x:v>
      </x:c>
      <x:c r="B196" s="16" t="n">
        <x:v>0.7624901714822002</x:v>
      </x:c>
      <x:c r="C196" s="16" t="n">
        <x:f>$B$12+$D$12*B196</x:f>
        <x:v>0.010573847553647866</x:v>
      </x:c>
      <x:c r="D196" s="12" t="n">
        <x:f>D195*EXP(C196)</x:f>
        <x:v>102.94704336154973</x:v>
      </x:c>
      <x:c r="E196" s="16" t="n">
        <x:f>ABS(C196)</x:f>
        <x:v>0.010573847553647866</x:v>
      </x:c>
      <x:c r="F196" s="16" t="n">
        <x:f>C196^2</x:f>
        <x:v>0.00011180625208778497</x:v>
      </x:c>
      <x:c r="G196" s="1"/>
      <x:c r="H196" s="1"/>
      <x:c r="I196" s="1"/>
      <x:c r="J196" s="1"/>
      <x:c r="K196" s="1"/>
      <x:c r="L196" s="1"/>
      <x:c r="M196" s="1"/>
      <x:c r="N196" s="1"/>
    </x:row>
    <x:row r="197" ht="22" customHeight="1">
      <x:c r="A197" s="1" t="n">
        <x:v>181</x:v>
      </x:c>
      <x:c r="B197" s="16" t="n">
        <x:v>-0.3403932983867795</x:v>
      </x:c>
      <x:c r="C197" s="16" t="n">
        <x:f>$B$12+$D$12*B197</x:f>
        <x:v>-0.004007733975349782</x:v>
      </x:c>
      <x:c r="D197" s="12" t="n">
        <x:f>D196*EXP(C197)</x:f>
        <x:v>102.53528465901528</x:v>
      </x:c>
      <x:c r="E197" s="16" t="n">
        <x:f>ABS(C197)</x:f>
        <x:v>0.004007733975349782</x:v>
      </x:c>
      <x:c r="F197" s="16" t="n">
        <x:f>C197^2</x:f>
        <x:v>0.000016061931617172967</x:v>
      </x:c>
      <x:c r="G197" s="1"/>
      <x:c r="H197" s="1"/>
      <x:c r="I197" s="1"/>
      <x:c r="J197" s="1"/>
      <x:c r="K197" s="1"/>
      <x:c r="L197" s="1"/>
      <x:c r="M197" s="1"/>
      <x:c r="N197" s="1"/>
    </x:row>
    <x:row r="198" ht="22" customHeight="1">
      <x:c r="A198" s="1" t="n">
        <x:v>182</x:v>
      </x:c>
      <x:c r="B198" s="16" t="n">
        <x:v>-1.3067332075132743</x:v>
      </x:c>
      <x:c r="C198" s="16" t="n">
        <x:f>$B$12+$D$12*B198</x:f>
        <x:v>-0.016784028619901956</x:v>
      </x:c>
      <x:c r="D198" s="12" t="n">
        <x:f>D197*EXP(C198)</x:f>
        <x:v>100.82869132503339</x:v>
      </x:c>
      <x:c r="E198" s="16" t="n">
        <x:f>ABS(C198)</x:f>
        <x:v>0.016784028619901956</x:v>
      </x:c>
      <x:c r="F198" s="16" t="n">
        <x:f>C198^2</x:f>
        <x:v>0.00028170361671368794</x:v>
      </x:c>
      <x:c r="G198" s="1"/>
      <x:c r="H198" s="1"/>
      <x:c r="I198" s="1"/>
      <x:c r="J198" s="1"/>
      <x:c r="K198" s="1"/>
      <x:c r="L198" s="1"/>
      <x:c r="M198" s="1"/>
      <x:c r="N198" s="1"/>
    </x:row>
    <x:row r="199" ht="22" customHeight="1">
      <x:c r="A199" s="1" t="n">
        <x:v>183</x:v>
      </x:c>
      <x:c r="B199" s="16" t="n">
        <x:v>2.0570622719939595</x:v>
      </x:c>
      <x:c r="C199" s="16" t="n">
        <x:f>$B$12+$D$12*B199</x:f>
        <x:v>0.027689806895227712</x:v>
      </x:c>
      <x:c r="D199" s="12" t="n">
        <x:f>D198*EXP(C199)</x:f>
        <x:v>103.659631534011</x:v>
      </x:c>
      <x:c r="E199" s="16" t="n">
        <x:f>ABS(C199)</x:f>
        <x:v>0.027689806895227712</x:v>
      </x:c>
      <x:c r="F199" s="16" t="n">
        <x:f>C199^2</x:f>
        <x:v>0.0007667254058950001</x:v>
      </x:c>
      <x:c r="G199" s="1"/>
      <x:c r="H199" s="1"/>
      <x:c r="I199" s="1"/>
      <x:c r="J199" s="1"/>
      <x:c r="K199" s="1"/>
      <x:c r="L199" s="1"/>
      <x:c r="M199" s="1"/>
      <x:c r="N199" s="1"/>
    </x:row>
    <x:row r="200" ht="22" customHeight="1">
      <x:c r="A200" s="1" t="n">
        <x:v>184</x:v>
      </x:c>
      <x:c r="B200" s="16" t="n">
        <x:v>0.13871930955706643</x:v>
      </x:c>
      <x:c r="C200" s="16" t="n">
        <x:f>$B$12+$D$12*B200</x:f>
        <x:v>0.002326769845923217</x:v>
      </x:c>
      <x:c r="D200" s="12" t="n">
        <x:f>D199*EXP(C200)</x:f>
        <x:v>103.90110445591884</x:v>
      </x:c>
      <x:c r="E200" s="16" t="n">
        <x:f>ABS(C200)</x:f>
        <x:v>0.002326769845923217</x:v>
      </x:c>
      <x:c r="F200" s="16" t="n">
        <x:f>C200^2</x:f>
        <x:v>0.0000054138579158975515</x:v>
      </x:c>
      <x:c r="G200" s="1"/>
      <x:c r="H200" s="1"/>
      <x:c r="I200" s="1"/>
      <x:c r="J200" s="1"/>
      <x:c r="K200" s="1"/>
      <x:c r="L200" s="1"/>
      <x:c r="M200" s="1"/>
      <x:c r="N200" s="1"/>
    </x:row>
    <x:row r="201" ht="22" customHeight="1">
      <x:c r="A201" s="1" t="n">
        <x:v>185</x:v>
      </x:c>
      <x:c r="B201" s="16" t="n">
        <x:v>0.1273943983732297</x:v>
      </x:c>
      <x:c r="C201" s="16" t="n">
        <x:f>$B$12+$D$12*B201</x:f>
        <x:v>0.002177039507000474</x:v>
      </x:c>
      <x:c r="D201" s="12" t="n">
        <x:f>D200*EXP(C201)</x:f>
        <x:v>104.12754766360933</x:v>
      </x:c>
      <x:c r="E201" s="16" t="n">
        <x:f>ABS(C201)</x:f>
        <x:v>0.002177039507000474</x:v>
      </x:c>
      <x:c r="F201" s="16" t="n">
        <x:f>C201^2</x:f>
        <x:v>0.000004739501015040868</x:v>
      </x:c>
      <x:c r="G201" s="1"/>
      <x:c r="H201" s="1"/>
      <x:c r="I201" s="1"/>
      <x:c r="J201" s="1"/>
      <x:c r="K201" s="1"/>
      <x:c r="L201" s="1"/>
      <x:c r="M201" s="1"/>
      <x:c r="N201" s="1"/>
    </x:row>
    <x:row r="202" ht="22" customHeight="1">
      <x:c r="A202" s="1" t="n">
        <x:v>186</x:v>
      </x:c>
      <x:c r="B202" s="16" t="n">
        <x:v>-1.98986526366178</x:v>
      </x:c>
      <x:c r="C202" s="16" t="n">
        <x:f>$B$12+$D$12*B202</x:f>
        <x:v>-0.02581594000849553</x:v>
      </x:c>
      <x:c r="D202" s="12" t="n">
        <x:f>D201*EXP(C202)</x:f>
        <x:v>101.47379903138645</x:v>
      </x:c>
      <x:c r="E202" s="16" t="n">
        <x:f>ABS(C202)</x:f>
        <x:v>0.02581594000849553</x:v>
      </x:c>
      <x:c r="F202" s="16" t="n">
        <x:f>C202^2</x:f>
        <x:v>0.0006664627585222402</x:v>
      </x:c>
      <x:c r="G202" s="1"/>
      <x:c r="H202" s="1"/>
      <x:c r="I202" s="1"/>
      <x:c r="J202" s="1"/>
      <x:c r="K202" s="1"/>
      <x:c r="L202" s="1"/>
      <x:c r="M202" s="1"/>
      <x:c r="N202" s="1"/>
    </x:row>
    <x:row r="203" ht="22" customHeight="1">
      <x:c r="A203" s="1" t="n">
        <x:v>187</x:v>
      </x:c>
      <x:c r="B203" s="16" t="n">
        <x:v>0.8912127323691303</x:v>
      </x:c>
      <x:c r="C203" s="16" t="n">
        <x:f>$B$12+$D$12*B203</x:f>
        <x:v>0.01227573045195363</x:v>
      </x:c>
      <x:c r="D203" s="12" t="n">
        <x:f>D202*EXP(C203)</x:f>
        <x:v>102.72714114201287</x:v>
      </x:c>
      <x:c r="E203" s="16" t="n">
        <x:f>ABS(C203)</x:f>
        <x:v>0.01227573045195363</x:v>
      </x:c>
      <x:c r="F203" s="16" t="n">
        <x:f>C203^2</x:f>
        <x:v>0.00015069355812902165</x:v>
      </x:c>
      <x:c r="G203" s="1"/>
      <x:c r="H203" s="1"/>
      <x:c r="I203" s="1"/>
      <x:c r="J203" s="1"/>
      <x:c r="K203" s="1"/>
      <x:c r="L203" s="1"/>
      <x:c r="M203" s="1"/>
      <x:c r="N203" s="1"/>
    </x:row>
    <x:row r="204" ht="22" customHeight="1">
      <x:c r="A204" s="1" t="n">
        <x:v>188</x:v>
      </x:c>
      <x:c r="B204" s="16" t="n">
        <x:v>-0.1857646243315431</x:v>
      </x:c>
      <x:c r="C204" s="16" t="n">
        <x:f>$B$12+$D$12*B204</x:f>
        <x:v>-0.0019633379180536373</x:v>
      </x:c>
      <x:c r="D204" s="12" t="n">
        <x:f>D203*EXP(C204)</x:f>
        <x:v>102.52565091202347</x:v>
      </x:c>
      <x:c r="E204" s="16" t="n">
        <x:f>ABS(C204)</x:f>
        <x:v>0.0019633379180536373</x:v>
      </x:c>
      <x:c r="F204" s="16" t="n">
        <x:f>C204^2</x:f>
        <x:v>0.000003854695780467191</x:v>
      </x:c>
      <x:c r="G204" s="1"/>
      <x:c r="H204" s="1"/>
      <x:c r="I204" s="1"/>
      <x:c r="J204" s="1"/>
      <x:c r="K204" s="1"/>
      <x:c r="L204" s="1"/>
      <x:c r="M204" s="1"/>
      <x:c r="N204" s="1"/>
    </x:row>
    <x:row r="205" ht="22" customHeight="1">
      <x:c r="A205" s="1" t="n">
        <x:v>189</x:v>
      </x:c>
      <x:c r="B205" s="16" t="n">
        <x:v>-1.2746703763721015</x:v>
      </x:c>
      <x:c r="C205" s="16" t="n">
        <x:f>$B$12+$D$12*B205</x:f>
        <x:v>-0.016360115487546244</x:v>
      </x:c>
      <x:c r="D205" s="12" t="n">
        <x:f>D204*EXP(C205)</x:f>
        <x:v>100.86196557223188</x:v>
      </x:c>
      <x:c r="E205" s="16" t="n">
        <x:f>ABS(C205)</x:f>
        <x:v>0.016360115487546244</x:v>
      </x:c>
      <x:c r="F205" s="16" t="n">
        <x:f>C205^2</x:f>
        <x:v>0.00026765337876585046</x:v>
      </x:c>
      <x:c r="G205" s="1"/>
      <x:c r="H205" s="1"/>
      <x:c r="I205" s="1"/>
      <x:c r="J205" s="1"/>
      <x:c r="K205" s="1"/>
      <x:c r="L205" s="1"/>
      <x:c r="M205" s="1"/>
      <x:c r="N205" s="1"/>
    </x:row>
    <x:row r="206" ht="22" customHeight="1">
      <x:c r="A206" s="1" t="n">
        <x:v>190</x:v>
      </x:c>
      <x:c r="B206" s="16" t="n">
        <x:v>0.7086326906952052</x:v>
      </x:c>
      <x:c r="C206" s="16" t="n">
        <x:f>$B$12+$D$12*B206</x:f>
        <x:v>0.00986178026050466</x:v>
      </x:c>
      <x:c r="D206" s="12" t="n">
        <x:f>D205*EXP(C206)</x:f>
        <x:v>101.86156492663972</x:v>
      </x:c>
      <x:c r="E206" s="16" t="n">
        <x:f>ABS(C206)</x:f>
        <x:v>0.00986178026050466</x:v>
      </x:c>
      <x:c r="F206" s="16" t="n">
        <x:f>C206^2</x:f>
        <x:v>0.00009725470990647936</x:v>
      </x:c>
      <x:c r="G206" s="1"/>
      <x:c r="H206" s="1"/>
      <x:c r="I206" s="1"/>
      <x:c r="J206" s="1"/>
      <x:c r="K206" s="1"/>
      <x:c r="L206" s="1"/>
      <x:c r="M206" s="1"/>
      <x:c r="N206" s="1"/>
    </x:row>
    <x:row r="207" ht="22" customHeight="1">
      <x:c r="A207" s="1" t="n">
        <x:v>191</x:v>
      </x:c>
      <x:c r="B207" s="16" t="n">
        <x:v>-1.0416439488234044</x:v>
      </x:c>
      <x:c r="C207" s="16" t="n">
        <x:f>$B$12+$D$12*B207</x:f>
        <x:v>-0.013279197199673043</x:v>
      </x:c>
      <x:c r="D207" s="12" t="n">
        <x:f>D206*EXP(C207)</x:f>
        <x:v>100.51786648248344</x:v>
      </x:c>
      <x:c r="E207" s="16" t="n">
        <x:f>ABS(C207)</x:f>
        <x:v>0.013279197199673043</x:v>
      </x:c>
      <x:c r="F207" s="16" t="n">
        <x:f>C207^2</x:f>
        <x:v>0.0001763370782678044</x:v>
      </x:c>
      <x:c r="G207" s="1"/>
      <x:c r="H207" s="1"/>
      <x:c r="I207" s="1"/>
      <x:c r="J207" s="1"/>
      <x:c r="K207" s="1"/>
      <x:c r="L207" s="1"/>
      <x:c r="M207" s="1"/>
      <x:c r="N207" s="1"/>
    </x:row>
    <x:row r="208" ht="22" customHeight="1">
      <x:c r="A208" s="1" t="n">
        <x:v>192</x:v>
      </x:c>
      <x:c r="B208" s="16" t="n">
        <x:v>1.0149393931620967</x:v>
      </x:c>
      <x:c r="C208" s="16" t="n">
        <x:f>$B$12+$D$12*B208</x:f>
        <x:v>0.013911560928112278</x:v>
      </x:c>
      <x:c r="D208" s="12" t="n">
        <x:f>D207*EXP(C208)</x:f>
        <x:v>101.92599885631421</x:v>
      </x:c>
      <x:c r="E208" s="16" t="n">
        <x:f>ABS(C208)</x:f>
        <x:v>0.013911560928112278</x:v>
      </x:c>
      <x:c r="F208" s="16" t="n">
        <x:f>C208^2</x:f>
        <x:v>0.00019353152745658014</x:v>
      </x:c>
      <x:c r="G208" s="1"/>
      <x:c r="H208" s="1"/>
      <x:c r="I208" s="1"/>
      <x:c r="J208" s="1"/>
      <x:c r="K208" s="1"/>
      <x:c r="L208" s="1"/>
      <x:c r="M208" s="1"/>
      <x:c r="N208" s="1"/>
    </x:row>
    <x:row r="209" ht="22" customHeight="1">
      <x:c r="A209" s="1" t="n">
        <x:v>193</x:v>
      </x:c>
      <x:c r="B209" s="16" t="n">
        <x:v>0.45626216908877637</x:v>
      </x:c>
      <x:c r="C209" s="16" t="n">
        <x:f>$B$12+$D$12*B209</x:f>
        <x:v>0.006525107405341661</x:v>
      </x:c>
      <x:c r="D209" s="12" t="n">
        <x:f>D208*EXP(C209)</x:f>
        <x:v>102.59325152645008</x:v>
      </x:c>
      <x:c r="E209" s="16" t="n">
        <x:f>ABS(C209)</x:f>
        <x:v>0.006525107405341661</x:v>
      </x:c>
      <x:c r="F209" s="16" t="n">
        <x:f>C209^2</x:f>
        <x:v>0.00004257702665124458</x:v>
      </x:c>
      <x:c r="G209" s="1"/>
      <x:c r="H209" s="1"/>
      <x:c r="I209" s="1"/>
      <x:c r="J209" s="1"/>
      <x:c r="K209" s="1"/>
      <x:c r="L209" s="1"/>
      <x:c r="M209" s="1"/>
      <x:c r="N209" s="1"/>
    </x:row>
    <x:row r="210" ht="22" customHeight="1">
      <x:c r="A210" s="1" t="n">
        <x:v>194</x:v>
      </x:c>
      <x:c r="B210" s="16" t="n">
        <x:v>-0.8053388964824848</x:v>
      </x:c>
      <x:c r="C210" s="16" t="n">
        <x:f>$B$12+$D$12*B210</x:f>
        <x:v>-0.010154931145678675</x:v>
      </x:c>
      <x:c r="D210" s="12" t="n">
        <x:f>D209*EXP(C210)</x:f>
        <x:v>101.5566961033407</x:v>
      </x:c>
      <x:c r="E210" s="16" t="n">
        <x:f>ABS(C210)</x:f>
        <x:v>0.010154931145678675</x:v>
      </x:c>
      <x:c r="F210" s="16" t="n">
        <x:f>C210^2</x:f>
        <x:v>0.0001031226265734748</x:v>
      </x:c>
      <x:c r="G210" s="1"/>
      <x:c r="H210" s="1"/>
      <x:c r="I210" s="1"/>
      <x:c r="J210" s="1"/>
      <x:c r="K210" s="1"/>
      <x:c r="L210" s="1"/>
      <x:c r="M210" s="1"/>
      <x:c r="N210" s="1"/>
    </x:row>
    <x:row r="211" ht="22" customHeight="1">
      <x:c r="A211" s="1" t="n">
        <x:v>195</x:v>
      </x:c>
      <x:c r="B211" s="16" t="n">
        <x:v>1.019799003494634</x:v>
      </x:c>
      <x:c r="C211" s="16" t="n">
        <x:f>$B$12+$D$12*B211</x:f>
        <x:v>0.01397581141893836</x:v>
      </x:c>
      <x:c r="D211" s="12" t="n">
        <x:f>D210*EXP(C211)</x:f>
        <x:v>102.98599789799607</x:v>
      </x:c>
      <x:c r="E211" s="16" t="n">
        <x:f>ABS(C211)</x:f>
        <x:v>0.01397581141893836</x:v>
      </x:c>
      <x:c r="F211" s="16" t="n">
        <x:f>C211^2</x:f>
        <x:v>0.00019532330481772782</x:v>
      </x:c>
      <x:c r="G211" s="1"/>
      <x:c r="H211" s="1"/>
      <x:c r="I211" s="1"/>
      <x:c r="J211" s="1"/>
      <x:c r="K211" s="1"/>
      <x:c r="L211" s="1"/>
      <x:c r="M211" s="1"/>
      <x:c r="N211" s="1"/>
    </x:row>
    <x:row r="212" ht="22" customHeight="1">
      <x:c r="A212" s="1" t="n">
        <x:v>196</x:v>
      </x:c>
      <x:c r="B212" s="16" t="n">
        <x:v>0.7980865146976495</x:v>
      </x:c>
      <x:c r="C212" s="16" t="n">
        <x:f>$B$12+$D$12*B212</x:f>
        <x:v>0.011044478399889417</x:v>
      </x:c>
      <x:c r="D212" s="12" t="n">
        <x:f>D211*EXP(C212)</x:f>
        <x:v>104.1297288571589</x:v>
      </x:c>
      <x:c r="E212" s="16" t="n">
        <x:f>ABS(C212)</x:f>
        <x:v>0.011044478399889417</x:v>
      </x:c>
      <x:c r="F212" s="16" t="n">
        <x:f>C212^2</x:f>
        <x:v>0.0001219805031256239</x:v>
      </x:c>
      <x:c r="G212" s="1"/>
      <x:c r="H212" s="1"/>
      <x:c r="I212" s="1"/>
      <x:c r="J212" s="1"/>
      <x:c r="K212" s="1"/>
      <x:c r="L212" s="1"/>
      <x:c r="M212" s="1"/>
      <x:c r="N212" s="1"/>
    </x:row>
    <x:row r="213" ht="22" customHeight="1">
      <x:c r="A213" s="1" t="n">
        <x:v>197</x:v>
      </x:c>
      <x:c r="B213" s="16" t="n">
        <x:v>-1.5011616844014803</x:v>
      </x:c>
      <x:c r="C213" s="16" t="n">
        <x:f>$B$12+$D$12*B213</x:f>
        <x:v>-0.019354630831975198</x:v>
      </x:c>
      <x:c r="D213" s="12" t="n">
        <x:f>D212*EXP(C213)</x:f>
        <x:v>102.13371476326246</x:v>
      </x:c>
      <x:c r="E213" s="16" t="n">
        <x:f>ABS(C213)</x:f>
        <x:v>0.019354630831975198</x:v>
      </x:c>
      <x:c r="F213" s="16" t="n">
        <x:f>C213^2</x:f>
        <x:v>0.00037460173464204496</x:v>
      </x:c>
      <x:c r="G213" s="1"/>
      <x:c r="H213" s="1"/>
      <x:c r="I213" s="1"/>
      <x:c r="J213" s="1"/>
      <x:c r="K213" s="1"/>
      <x:c r="L213" s="1"/>
      <x:c r="M213" s="1"/>
      <x:c r="N213" s="1"/>
    </x:row>
    <x:row r="214" ht="22" customHeight="1">
      <x:c r="A214" s="1" t="n">
        <x:v>198</x:v>
      </x:c>
      <x:c r="B214" s="16" t="n">
        <x:v>-0.18271723575571733</x:v>
      </x:c>
      <x:c r="C214" s="16" t="n">
        <x:f>$B$12+$D$12*B214</x:f>
        <x:v>-0.0019230474012556856</x:v>
      </x:c>
      <x:c r="D214" s="12" t="n">
        <x:f>D213*EXP(C214)</x:f>
        <x:v>101.93749551843085</x:v>
      </x:c>
      <x:c r="E214" s="16" t="n">
        <x:f>ABS(C214)</x:f>
        <x:v>0.0019230474012556856</x:v>
      </x:c>
      <x:c r="F214" s="16" t="n">
        <x:f>C214^2</x:f>
        <x:v>0.000003698111307476246</x:v>
      </x:c>
      <x:c r="G214" s="1"/>
      <x:c r="H214" s="1"/>
      <x:c r="I214" s="1"/>
      <x:c r="J214" s="1"/>
      <x:c r="K214" s="1"/>
      <x:c r="L214" s="1"/>
      <x:c r="M214" s="1"/>
      <x:c r="N214" s="1"/>
    </x:row>
    <x:row r="215" ht="22" customHeight="1">
      <x:c r="A215" s="1" t="n">
        <x:v>199</x:v>
      </x:c>
      <x:c r="B215" s="16" t="n">
        <x:v>-1.047449155496368</x:v>
      </x:c>
      <x:c r="C215" s="16" t="n">
        <x:f>$B$12+$D$12*B215</x:f>
        <x:v>-0.013355949727666376</x:v>
      </x:c>
      <x:c r="D215" s="12" t="n">
        <x:f>D214*EXP(C215)</x:f>
        <x:v>100.5850749870647</x:v>
      </x:c>
      <x:c r="E215" s="16" t="n">
        <x:f>ABS(C215)</x:f>
        <x:v>0.013355949727666376</x:v>
      </x:c>
      <x:c r="F215" s="16" t="n">
        <x:f>C215^2</x:f>
        <x:v>0.00017838139312795152</x:v>
      </x:c>
      <x:c r="G215" s="1"/>
      <x:c r="H215" s="1"/>
      <x:c r="I215" s="1"/>
      <x:c r="J215" s="1"/>
      <x:c r="K215" s="1"/>
      <x:c r="L215" s="1"/>
      <x:c r="M215" s="1"/>
      <x:c r="N215" s="1"/>
    </x:row>
    <x:row r="216" ht="22" customHeight="1">
      <x:c r="A216" s="1" t="n">
        <x:v>200</x:v>
      </x:c>
      <x:c r="B216" s="16" t="n">
        <x:v>-0.25799967929617235</x:v>
      </x:c>
      <x:c r="C216" s="16" t="n">
        <x:f>$B$12+$D$12*B216</x:f>
        <x:v>-0.0029183811043872743</x:v>
      </x:c>
      <x:c r="D216" s="12" t="n">
        <x:f>D215*EXP(C216)</x:f>
        <x:v>100.29195732739771</x:v>
      </x:c>
      <x:c r="E216" s="16" t="n">
        <x:f>ABS(C216)</x:f>
        <x:v>0.0029183811043872743</x:v>
      </x:c>
      <x:c r="F216" s="16" t="n">
        <x:f>C216^2</x:f>
        <x:v>0.000008516948270444687</x:v>
      </x:c>
      <x:c r="G216" s="1"/>
      <x:c r="H216" s="1"/>
      <x:c r="I216" s="1"/>
      <x:c r="J216" s="1"/>
      <x:c r="K216" s="1"/>
      <x:c r="L216" s="1"/>
      <x:c r="M216" s="1"/>
      <x:c r="N216" s="1"/>
    </x:row>
    <x:row r="217" ht="22" customHeight="1">
      <x:c r="A217" s="1" t="n">
        <x:v>201</x:v>
      </x:c>
      <x:c r="B217" s="16" t="n">
        <x:v>0.020415676776732977</x:v>
      </x:c>
      <x:c r="C217" s="16" t="n">
        <x:f>$B$12+$D$12*B217</x:f>
        <x:v>0.000762638989226304</x:v>
      </x:c>
      <x:c r="D217" s="12" t="n">
        <x:f>D216*EXP(C217)</x:f>
        <x:v>100.3684730575924</x:v>
      </x:c>
      <x:c r="E217" s="16" t="n">
        <x:f>ABS(C217)</x:f>
        <x:v>0.000762638989226304</x:v>
      </x:c>
      <x:c r="F217" s="16" t="n">
        <x:f>C217^2</x:f>
        <x:v>5.816182278881186e-7</x:v>
      </x:c>
      <x:c r="G217" s="1"/>
      <x:c r="H217" s="1"/>
      <x:c r="I217" s="1"/>
      <x:c r="J217" s="1"/>
      <x:c r="K217" s="1"/>
      <x:c r="L217" s="1"/>
      <x:c r="M217" s="1"/>
      <x:c r="N217" s="1"/>
    </x:row>
    <x:row r="218" ht="22" customHeight="1">
      <x:c r="A218" s="1" t="n">
        <x:v>202</x:v>
      </x:c>
      <x:c r="B218" s="16" t="n">
        <x:v>-0.027502789598889188</x:v>
      </x:c>
      <x:c r="C218" s="16" t="n">
        <x:f>$B$12+$D$12*B218</x:f>
        <x:v>0.00012909333976283494</x:v>
      </x:c>
      <x:c r="D218" s="12" t="n">
        <x:f>D217*EXP(C218)</x:f>
        <x:v>100.38143079534711</x:v>
      </x:c>
      <x:c r="E218" s="16" t="n">
        <x:f>ABS(C218)</x:f>
        <x:v>0.00012909333976283494</x:v>
      </x:c>
      <x:c r="F218" s="16" t="n">
        <x:f>C218^2</x:f>
        <x:v>1.666509037112274e-8</x:v>
      </x:c>
      <x:c r="G218" s="1"/>
      <x:c r="H218" s="1"/>
      <x:c r="I218" s="1"/>
      <x:c r="J218" s="1"/>
      <x:c r="K218" s="1"/>
      <x:c r="L218" s="1"/>
      <x:c r="M218" s="1"/>
      <x:c r="N218" s="1"/>
    </x:row>
    <x:row r="219" ht="22" customHeight="1">
      <x:c r="A219" s="1" t="n">
        <x:v>203</x:v>
      </x:c>
      <x:c r="B219" s="16" t="n">
        <x:v>-0.5274879579538954</x:v>
      </x:c>
      <x:c r="C219" s="16" t="n">
        <x:f>$B$12+$D$12*B219</x:f>
        <x:v>-0.006481373400231231</x:v>
      </x:c>
      <x:c r="D219" s="12" t="n">
        <x:f>D218*EXP(C219)</x:f>
        <x:v>99.73292513379677</x:v>
      </x:c>
      <x:c r="E219" s="16" t="n">
        <x:f>ABS(C219)</x:f>
        <x:v>0.006481373400231231</x:v>
      </x:c>
      <x:c r="F219" s="16" t="n">
        <x:f>C219^2</x:f>
        <x:v>0.00004200820115322495</x:v>
      </x:c>
      <x:c r="G219" s="1"/>
      <x:c r="H219" s="1"/>
      <x:c r="I219" s="1"/>
      <x:c r="J219" s="1"/>
      <x:c r="K219" s="1"/>
      <x:c r="L219" s="1"/>
      <x:c r="M219" s="1"/>
      <x:c r="N219" s="1"/>
    </x:row>
    <x:row r="220" ht="22" customHeight="1">
      <x:c r="A220" s="1" t="n">
        <x:v>204</x:v>
      </x:c>
      <x:c r="B220" s="16" t="n">
        <x:v>-1.2697961738419303</x:v>
      </x:c>
      <x:c r="C220" s="16" t="n">
        <x:f>$B$12+$D$12*B220</x:f>
        <x:v>-0.016295672068523035</x:v>
      </x:c>
      <x:c r="D220" s="12" t="n">
        <x:f>D219*EXP(C220)</x:f>
        <x:v>98.1208804401296</x:v>
      </x:c>
      <x:c r="E220" s="16" t="n">
        <x:f>ABS(C220)</x:f>
        <x:v>0.016295672068523035</x:v>
      </x:c>
      <x:c r="F220" s="16" t="n">
        <x:f>C220^2</x:f>
        <x:v>0.0002655489281648418</x:v>
      </x:c>
      <x:c r="G220" s="1"/>
      <x:c r="H220" s="1"/>
      <x:c r="I220" s="1"/>
      <x:c r="J220" s="1"/>
      <x:c r="K220" s="1"/>
      <x:c r="L220" s="1"/>
      <x:c r="M220" s="1"/>
      <x:c r="N220" s="1"/>
    </x:row>
    <x:row r="221" ht="22" customHeight="1">
      <x:c r="A221" s="1" t="n">
        <x:v>205</x:v>
      </x:c>
      <x:c r="B221" s="16" t="n">
        <x:v>0.3251199363390917</x:v>
      </x:c>
      <x:c r="C221" s="16" t="n">
        <x:f>$B$12+$D$12*B221</x:f>
        <x:v>0.00479123323732871</x:v>
      </x:c>
      <x:c r="D221" s="12" t="n">
        <x:f>D220*EXP(C221)</x:f>
        <x:v>98.59212849194084</x:v>
      </x:c>
      <x:c r="E221" s="16" t="n">
        <x:f>ABS(C221)</x:f>
        <x:v>0.00479123323732871</x:v>
      </x:c>
      <x:c r="F221" s="16" t="n">
        <x:f>C221^2</x:f>
        <x:v>0.000022955915934483352</x:v>
      </x:c>
      <x:c r="G221" s="1"/>
      <x:c r="H221" s="1"/>
      <x:c r="I221" s="1"/>
      <x:c r="J221" s="1"/>
      <x:c r="K221" s="1"/>
      <x:c r="L221" s="1"/>
      <x:c r="M221" s="1"/>
      <x:c r="N221" s="1"/>
    </x:row>
    <x:row r="222" ht="22" customHeight="1">
      <x:c r="A222" s="1" t="n">
        <x:v>206</x:v>
      </x:c>
      <x:c r="B222" s="16" t="n">
        <x:v>-1.1245160987738405</x:v>
      </x:c>
      <x:c r="C222" s="16" t="n">
        <x:f>$B$12+$D$12*B222</x:f>
        <x:v>-0.014374876882975542</x:v>
      </x:c>
      <x:c r="D222" s="12" t="n">
        <x:f>D221*EXP(C222)</x:f>
        <x:v>97.18501654378885</x:v>
      </x:c>
      <x:c r="E222" s="16" t="n">
        <x:f>ABS(C222)</x:f>
        <x:v>0.014374876882975542</x:v>
      </x:c>
      <x:c r="F222" s="16" t="n">
        <x:f>C222^2</x:f>
        <x:v>0.00020663708540070462</x:v>
      </x:c>
      <x:c r="G222" s="1"/>
      <x:c r="H222" s="1"/>
      <x:c r="I222" s="1"/>
      <x:c r="J222" s="1"/>
      <x:c r="K222" s="1"/>
      <x:c r="L222" s="1"/>
      <x:c r="M222" s="1"/>
      <x:c r="N222" s="1"/>
    </x:row>
    <x:row r="223" ht="22" customHeight="1">
      <x:c r="A223" s="1" t="n">
        <x:v>207</x:v>
      </x:c>
      <x:c r="B223" s="16" t="n">
        <x:v>-0.0944955639531269</x:v>
      </x:c>
      <x:c r="C223" s="16" t="n">
        <x:f>$B$12+$D$12*B223</x:f>
        <x:v>-0.0007566399473777449</x:v>
      </x:c>
      <x:c r="D223" s="12" t="n">
        <x:f>D222*EXP(C223)</x:f>
        <x:v>97.11151029037599</x:v>
      </x:c>
      <x:c r="E223" s="16" t="n">
        <x:f>ABS(C223)</x:f>
        <x:v>0.0007566399473777449</x:v>
      </x:c>
      <x:c r="F223" s="16" t="n">
        <x:f>C223^2</x:f>
        <x:v>5.725040099677965e-7</x:v>
      </x:c>
      <x:c r="G223" s="1"/>
      <x:c r="H223" s="1"/>
      <x:c r="I223" s="1"/>
      <x:c r="J223" s="1"/>
      <x:c r="K223" s="1"/>
      <x:c r="L223" s="1"/>
      <x:c r="M223" s="1"/>
      <x:c r="N223" s="1"/>
    </x:row>
    <x:row r="224" ht="22" customHeight="1">
      <x:c r="A224" s="1" t="n">
        <x:v>208</x:v>
      </x:c>
      <x:c r="B224" s="16" t="n">
        <x:v>-0.8879479779166647</x:v>
      </x:c>
      <x:c r="C224" s="16" t="n">
        <x:f>$B$12+$D$12*B224</x:f>
        <x:v>-0.011247132714454749</x:v>
      </x:c>
      <x:c r="D224" s="12" t="n">
        <x:f>D223*EXP(C224)</x:f>
        <x:v>96.02540348887844</x:v>
      </x:c>
      <x:c r="E224" s="16" t="n">
        <x:f>ABS(C224)</x:f>
        <x:v>0.011247132714454749</x:v>
      </x:c>
      <x:c r="F224" s="16" t="n">
        <x:f>C224^2</x:f>
        <x:v>0.00012649799429655825</x:v>
      </x:c>
      <x:c r="G224" s="1"/>
      <x:c r="H224" s="1"/>
      <x:c r="I224" s="1"/>
      <x:c r="J224" s="1"/>
      <x:c r="K224" s="1"/>
      <x:c r="L224" s="1"/>
      <x:c r="M224" s="1"/>
      <x:c r="N224" s="1"/>
    </x:row>
    <x:row r="225" ht="22" customHeight="1">
      <x:c r="A225" s="1" t="n">
        <x:v>209</x:v>
      </x:c>
      <x:c r="B225" s="16" t="n">
        <x:v>-0.5881308383833488</x:v>
      </x:c>
      <x:c r="C225" s="16" t="n">
        <x:f>$B$12+$D$12*B225</x:f>
        <x:v>-0.007283152671834949</x:v>
      </x:c>
      <x:c r="D225" s="12" t="n">
        <x:f>D224*EXP(C225)</x:f>
        <x:v>95.32857644399452</x:v>
      </x:c>
      <x:c r="E225" s="16" t="n">
        <x:f>ABS(C225)</x:f>
        <x:v>0.007283152671834949</x:v>
      </x:c>
      <x:c r="F225" s="16" t="n">
        <x:f>C225^2</x:f>
        <x:v>0.00005304431284125656</x:v>
      </x:c>
      <x:c r="G225" s="1"/>
      <x:c r="H225" s="1"/>
      <x:c r="I225" s="1"/>
      <x:c r="J225" s="1"/>
      <x:c r="K225" s="1"/>
      <x:c r="L225" s="1"/>
      <x:c r="M225" s="1"/>
      <x:c r="N225" s="1"/>
    </x:row>
    <x:row r="226" ht="22" customHeight="1">
      <x:c r="A226" s="1" t="n">
        <x:v>210</x:v>
      </x:c>
      <x:c r="B226" s="16" t="n">
        <x:v>0.6783886272466515</x:v>
      </x:c>
      <x:c r="C226" s="16" t="n">
        <x:f>$B$12+$D$12*B226</x:f>
        <x:v>0.00946191364812751</x:v>
      </x:c>
      <x:c r="D226" s="12" t="n">
        <x:f>D225*EXP(C226)</x:f>
        <x:v>96.23484797261396</x:v>
      </x:c>
      <x:c r="E226" s="16" t="n">
        <x:f>ABS(C226)</x:f>
        <x:v>0.00946191364812751</x:v>
      </x:c>
      <x:c r="F226" s="16" t="n">
        <x:f>C226^2</x:f>
        <x:v>0.00008952780988462166</x:v>
      </x:c>
      <x:c r="G226" s="1"/>
      <x:c r="H226" s="1"/>
      <x:c r="I226" s="1"/>
      <x:c r="J226" s="1"/>
      <x:c r="K226" s="1"/>
      <x:c r="L226" s="1"/>
      <x:c r="M226" s="1"/>
      <x:c r="N226" s="1"/>
    </x:row>
    <x:row r="227" ht="22" customHeight="1">
      <x:c r="A227" s="1" t="n">
        <x:v>211</x:v>
      </x:c>
      <x:c r="B227" s="16" t="n">
        <x:v>1.2834439186791862</x:v>
      </x:c>
      <x:c r="C227" s="16" t="n">
        <x:f>$B$12+$D$12*B227</x:f>
        <x:v>0.017461546703306997</x:v>
      </x:c>
      <x:c r="D227" s="12" t="n">
        <x:f>D226*EXP(C227)</x:f>
        <x:v>97.9300143060991</x:v>
      </x:c>
      <x:c r="E227" s="16" t="n">
        <x:f>ABS(C227)</x:f>
        <x:v>0.017461546703306997</x:v>
      </x:c>
      <x:c r="F227" s="16" t="n">
        <x:f>C227^2</x:f>
        <x:v>0.0003049056132717715</x:v>
      </x:c>
      <x:c r="G227" s="1"/>
      <x:c r="H227" s="1"/>
      <x:c r="I227" s="1"/>
      <x:c r="J227" s="1"/>
      <x:c r="K227" s="1"/>
      <x:c r="L227" s="1"/>
      <x:c r="M227" s="1"/>
      <x:c r="N227" s="1"/>
    </x:row>
    <x:row r="228" ht="22" customHeight="1">
      <x:c r="A228" s="1" t="n">
        <x:v>212</x:v>
      </x:c>
      <x:c r="B228" s="16" t="n">
        <x:v>-2.83275581770584</x:v>
      </x:c>
      <x:c r="C228" s="16" t="n">
        <x:f>$B$12+$D$12*B228</x:f>
        <x:v>-0.03696007052599759</x:v>
      </x:c>
      <x:c r="D228" s="12" t="n">
        <x:f>D227*EXP(C228)</x:f>
        <x:v>94.37658605338409</x:v>
      </x:c>
      <x:c r="E228" s="16" t="n">
        <x:f>ABS(C228)</x:f>
        <x:v>0.03696007052599759</x:v>
      </x:c>
      <x:c r="F228" s="16" t="n">
        <x:f>C228^2</x:f>
        <x:v>0.0013660468132867159</x:v>
      </x:c>
      <x:c r="G228" s="1"/>
      <x:c r="H228" s="1"/>
      <x:c r="I228" s="1"/>
      <x:c r="J228" s="1"/>
      <x:c r="K228" s="1"/>
      <x:c r="L228" s="1"/>
      <x:c r="M228" s="1"/>
      <x:c r="N228" s="1"/>
    </x:row>
    <x:row r="229" ht="22" customHeight="1">
      <x:c r="A229" s="1" t="n">
        <x:v>213</x:v>
      </x:c>
      <x:c r="B229" s="16" t="n">
        <x:v>-1.8780978473394834</x:v>
      </x:c>
      <x:c r="C229" s="16" t="n">
        <x:f>$B$12+$D$12*B229</x:f>
        <x:v>-0.0243382265982269</x:v>
      </x:c>
      <x:c r="D229" s="12" t="n">
        <x:f>D228*EXP(C229)</x:f>
        <x:v>92.10735387367693</x:v>
      </x:c>
      <x:c r="E229" s="16" t="n">
        <x:f>ABS(C229)</x:f>
        <x:v>0.0243382265982269</x:v>
      </x:c>
      <x:c r="F229" s="16" t="n">
        <x:f>C229^2</x:f>
        <x:v>0.0005923492739466393</x:v>
      </x:c>
      <x:c r="G229" s="1"/>
      <x:c r="H229" s="1"/>
      <x:c r="I229" s="1"/>
      <x:c r="J229" s="1"/>
      <x:c r="K229" s="1"/>
      <x:c r="L229" s="1"/>
      <x:c r="M229" s="1"/>
      <x:c r="N229" s="1"/>
    </x:row>
    <x:row r="230" ht="22" customHeight="1">
      <x:c r="A230" s="1" t="n">
        <x:v>214</x:v>
      </x:c>
      <x:c r="B230" s="16" t="n">
        <x:v>-0.7492314880484197</x:v>
      </x:c>
      <x:c r="C230" s="16" t="n">
        <x:f>$B$12+$D$12*B230</x:f>
        <x:v>-0.009413116826384103</x:v>
      </x:c>
      <x:c r="D230" s="12" t="n">
        <x:f>D229*EXP(C230)</x:f>
        <x:v>91.24440448472195</x:v>
      </x:c>
      <x:c r="E230" s="16" t="n">
        <x:f>ABS(C230)</x:f>
        <x:v>0.009413116826384103</x:v>
      </x:c>
      <x:c r="F230" s="16" t="n">
        <x:f>C230^2</x:f>
        <x:v>0.00008860676838715552</x:v>
      </x:c>
      <x:c r="G230" s="1"/>
      <x:c r="H230" s="1"/>
      <x:c r="I230" s="1"/>
      <x:c r="J230" s="1"/>
      <x:c r="K230" s="1"/>
      <x:c r="L230" s="1"/>
      <x:c r="M230" s="1"/>
      <x:c r="N230" s="1"/>
    </x:row>
    <x:row r="231" ht="22" customHeight="1">
      <x:c r="A231" s="1" t="n">
        <x:v>215</x:v>
      </x:c>
      <x:c r="B231" s="16" t="n">
        <x:v>-0.7228188719111275</x:v>
      </x:c>
      <x:c r="C231" s="16" t="n">
        <x:f>$B$12+$D$12*B231</x:f>
        <x:v>-0.009063907026688947</x:v>
      </x:c>
      <x:c r="D231" s="12" t="n">
        <x:f>D230*EXP(C231)</x:f>
        <x:v>90.4211104524774</x:v>
      </x:c>
      <x:c r="E231" s="16" t="n">
        <x:f>ABS(C231)</x:f>
        <x:v>0.009063907026688947</x:v>
      </x:c>
      <x:c r="F231" s="16" t="n">
        <x:f>C231^2</x:f>
        <x:v>0.00008215441058846127</x:v>
      </x:c>
      <x:c r="G231" s="1"/>
      <x:c r="H231" s="1"/>
      <x:c r="I231" s="1"/>
      <x:c r="J231" s="1"/>
      <x:c r="K231" s="1"/>
      <x:c r="L231" s="1"/>
      <x:c r="M231" s="1"/>
      <x:c r="N231" s="1"/>
    </x:row>
    <x:row r="232" ht="22" customHeight="1">
      <x:c r="A232" s="1" t="n">
        <x:v>216</x:v>
      </x:c>
      <x:c r="B232" s="16" t="n">
        <x:v>0.8692975387832081</x:v>
      </x:c>
      <x:c r="C232" s="16" t="n">
        <x:f>$B$12+$D$12*B232</x:f>
        <x:v>0.011985982540476768</x:v>
      </x:c>
      <x:c r="D232" s="12" t="n">
        <x:f>D231*EXP(C232)</x:f>
        <x:v>91.51141745087064</x:v>
      </x:c>
      <x:c r="E232" s="16" t="n">
        <x:f>ABS(C232)</x:f>
        <x:v>0.011985982540476768</x:v>
      </x:c>
      <x:c r="F232" s="16" t="n">
        <x:f>C232^2</x:f>
        <x:v>0.00014366377746061394</x:v>
      </x:c>
      <x:c r="G232" s="1"/>
      <x:c r="H232" s="1"/>
      <x:c r="I232" s="1"/>
      <x:c r="J232" s="1"/>
      <x:c r="K232" s="1"/>
      <x:c r="L232" s="1"/>
      <x:c r="M232" s="1"/>
      <x:c r="N232" s="1"/>
    </x:row>
    <x:row r="233" ht="22" customHeight="1">
      <x:c r="A233" s="1" t="n">
        <x:v>217</x:v>
      </x:c>
      <x:c r="B233" s="16" t="n">
        <x:v>0.6691984078698411</x:v>
      </x:c>
      <x:c r="C233" s="16" t="n">
        <x:f>$B$12+$D$12*B233</x:f>
        <x:v>0.009340406764786287</x:v>
      </x:c>
      <x:c r="D233" s="12" t="n">
        <x:f>D232*EXP(C233)</x:f>
        <x:v>92.37017564551734</x:v>
      </x:c>
      <x:c r="E233" s="16" t="n">
        <x:f>ABS(C233)</x:f>
        <x:v>0.009340406764786287</x:v>
      </x:c>
      <x:c r="F233" s="16" t="n">
        <x:f>C233^2</x:f>
        <x:v>0.00008724319853166544</x:v>
      </x:c>
      <x:c r="G233" s="1"/>
      <x:c r="H233" s="1"/>
      <x:c r="I233" s="1"/>
      <x:c r="J233" s="1"/>
      <x:c r="K233" s="1"/>
      <x:c r="L233" s="1"/>
      <x:c r="M233" s="1"/>
      <x:c r="N233" s="1"/>
    </x:row>
    <x:row r="234" ht="22" customHeight="1">
      <x:c r="A234" s="1" t="n">
        <x:v>218</x:v>
      </x:c>
      <x:c r="B234" s="16" t="n">
        <x:v>0.903727971748288</x:v>
      </x:c>
      <x:c r="C234" s="16" t="n">
        <x:f>$B$12+$D$12*B234</x:f>
        <x:v>0.01244119850759852</x:v>
      </x:c>
      <x:c r="D234" s="12" t="n">
        <x:f>D233*EXP(C234)</x:f>
        <x:v>93.52654976127663</x:v>
      </x:c>
      <x:c r="E234" s="16" t="n">
        <x:f>ABS(C234)</x:f>
        <x:v>0.01244119850759852</x:v>
      </x:c>
      <x:c r="F234" s="16" t="n">
        <x:f>C234^2</x:f>
        <x:v>0.00015478342030547163</x:v>
      </x:c>
      <x:c r="G234" s="1"/>
      <x:c r="H234" s="1"/>
      <x:c r="I234" s="1"/>
      <x:c r="J234" s="1"/>
      <x:c r="K234" s="1"/>
      <x:c r="L234" s="1"/>
      <x:c r="M234" s="1"/>
      <x:c r="N234" s="1"/>
    </x:row>
    <x:row r="235" ht="22" customHeight="1">
      <x:c r="A235" s="1" t="n">
        <x:v>219</x:v>
      </x:c>
      <x:c r="B235" s="16" t="n">
        <x:v>0.26846986860451794</x:v>
      </x:c>
      <x:c r="C235" s="16" t="n">
        <x:f>$B$12+$D$12*B235</x:f>
        <x:v>0.004042244242695343</x:v>
      </x:c>
      <x:c r="D235" s="12" t="n">
        <x:f>D234*EXP(C235)</x:f>
        <x:v>93.90537204887254</x:v>
      </x:c>
      <x:c r="E235" s="16" t="n">
        <x:f>ABS(C235)</x:f>
        <x:v>0.004042244242695343</x:v>
      </x:c>
      <x:c r="F235" s="16" t="n">
        <x:f>C235^2</x:f>
        <x:v>0.00001633973851760365</x:v>
      </x:c>
      <x:c r="G235" s="1"/>
      <x:c r="H235" s="1"/>
      <x:c r="I235" s="1"/>
      <x:c r="J235" s="1"/>
      <x:c r="K235" s="1"/>
      <x:c r="L235" s="1"/>
      <x:c r="M235" s="1"/>
      <x:c r="N235" s="1"/>
    </x:row>
    <x:row r="236" ht="22" customHeight="1">
      <x:c r="A236" s="1" t="n">
        <x:v>220</x:v>
      </x:c>
      <x:c r="B236" s="16" t="n">
        <x:v>-0.7981640376032966</x:v>
      </x:c>
      <x:c r="C236" s="16" t="n">
        <x:f>$B$12+$D$12*B236</x:f>
        <x:v>-0.010060069999814946</x:v>
      </x:c>
      <x:c r="D236" s="12" t="n">
        <x:f>D235*EXP(C236)</x:f>
        <x:v>92.9654133850434</x:v>
      </x:c>
      <x:c r="E236" s="16" t="n">
        <x:f>ABS(C236)</x:f>
        <x:v>0.010060069999814946</x:v>
      </x:c>
      <x:c r="F236" s="16" t="n">
        <x:f>C236^2</x:f>
        <x:v>0.00010120500840117668</x:v>
      </x:c>
      <x:c r="G236" s="1"/>
      <x:c r="H236" s="1"/>
      <x:c r="I236" s="1"/>
      <x:c r="J236" s="1"/>
      <x:c r="K236" s="1"/>
      <x:c r="L236" s="1"/>
      <x:c r="M236" s="1"/>
      <x:c r="N236" s="1"/>
    </x:row>
    <x:row r="237" ht="22" customHeight="1">
      <x:c r="A237" s="1" t="n">
        <x:v>221</x:v>
      </x:c>
      <x:c r="B237" s="16" t="n">
        <x:v>0.4480044273515488</x:v>
      </x:c>
      <x:c r="C237" s="16" t="n">
        <x:f>$B$12+$D$12*B237</x:f>
        <x:v>0.006415929112551493</x:v>
      </x:c>
      <x:c r="D237" s="12" t="n">
        <x:f>D236*EXP(C237)</x:f>
        <x:v>93.56379040687969</x:v>
      </x:c>
      <x:c r="E237" s="16" t="n">
        <x:f>ABS(C237)</x:f>
        <x:v>0.006415929112551493</x:v>
      </x:c>
      <x:c r="F237" s="16" t="n">
        <x:f>C237^2</x:f>
        <x:v>0.00004116414637728579</x:v>
      </x:c>
      <x:c r="G237" s="1"/>
      <x:c r="H237" s="1"/>
      <x:c r="I237" s="1"/>
      <x:c r="J237" s="1"/>
      <x:c r="K237" s="1"/>
      <x:c r="L237" s="1"/>
      <x:c r="M237" s="1"/>
      <x:c r="N237" s="1"/>
    </x:row>
    <x:row r="238" ht="22" customHeight="1">
      <x:c r="A238" s="1" t="n">
        <x:v>222</x:v>
      </x:c>
      <x:c r="B238" s="16" t="n">
        <x:v>1.8431412398908598</x:v>
      </x:c>
      <x:c r="C238" s="16" t="n">
        <x:f>$B$12+$D$12*B238</x:f>
        <x:v>0.024861487262556783</x:v>
      </x:c>
      <x:c r="D238" s="12" t="n">
        <x:f>D237*EXP(C238)</x:f>
        <x:v>95.91908210293352</x:v>
      </x:c>
      <x:c r="E238" s="16" t="n">
        <x:f>ABS(C238)</x:f>
        <x:v>0.024861487262556783</x:v>
      </x:c>
      <x:c r="F238" s="16" t="n">
        <x:f>C238^2</x:f>
        <x:v>0.0006180935489062732</x:v>
      </x:c>
      <x:c r="G238" s="1"/>
      <x:c r="H238" s="1"/>
      <x:c r="I238" s="1"/>
      <x:c r="J238" s="1"/>
      <x:c r="K238" s="1"/>
      <x:c r="L238" s="1"/>
      <x:c r="M238" s="1"/>
      <x:c r="N238" s="1"/>
    </x:row>
    <x:row r="239" ht="22" customHeight="1">
      <x:c r="A239" s="1" t="n">
        <x:v>223</x:v>
      </x:c>
      <x:c r="B239" s="16" t="n">
        <x:v>1.7483179951660153</x:v>
      </x:c>
      <x:c r="C239" s="16" t="n">
        <x:f>$B$12+$D$12*B239</x:f>
        <x:v>0.023607798263152634</x:v>
      </x:c>
      <x:c r="D239" s="12" t="n">
        <x:f>D238*EXP(C239)</x:f>
        <x:v>98.21046123105668</x:v>
      </x:c>
      <x:c r="E239" s="16" t="n">
        <x:f>ABS(C239)</x:f>
        <x:v>0.023607798263152634</x:v>
      </x:c>
      <x:c r="F239" s="16" t="n">
        <x:f>C239^2</x:f>
        <x:v>0.0005573281388337126</x:v>
      </x:c>
      <x:c r="G239" s="1"/>
      <x:c r="H239" s="1"/>
      <x:c r="I239" s="1"/>
      <x:c r="J239" s="1"/>
      <x:c r="K239" s="1"/>
      <x:c r="L239" s="1"/>
      <x:c r="M239" s="1"/>
      <x:c r="N239" s="1"/>
    </x:row>
    <x:row r="240" ht="22" customHeight="1">
      <x:c r="A240" s="1" t="n">
        <x:v>224</x:v>
      </x:c>
      <x:c r="B240" s="16" t="n">
        <x:v>0.8578602609250027</x:v>
      </x:c>
      <x:c r="C240" s="16" t="n">
        <x:f>$B$12+$D$12*B240</x:f>
        <x:v>0.011834766565157966</x:v>
      </x:c>
      <x:c r="D240" s="12" t="n">
        <x:f>D239*EXP(C240)</x:f>
        <x:v>99.379664088747</x:v>
      </x:c>
      <x:c r="E240" s="16" t="n">
        <x:f>ABS(C240)</x:f>
        <x:v>0.011834766565157966</x:v>
      </x:c>
      <x:c r="F240" s="16" t="n">
        <x:f>C240^2</x:f>
        <x:v>0.00014006169965178087</x:v>
      </x:c>
      <x:c r="G240" s="1"/>
      <x:c r="H240" s="1"/>
      <x:c r="I240" s="1"/>
      <x:c r="J240" s="1"/>
      <x:c r="K240" s="1"/>
      <x:c r="L240" s="1"/>
      <x:c r="M240" s="1"/>
      <x:c r="N240" s="1"/>
    </x:row>
    <x:row r="241" ht="22" customHeight="1">
      <x:c r="A241" s="1" t="n">
        <x:v>225</x:v>
      </x:c>
      <x:c r="B241" s="16" t="n">
        <x:v>1.0483388073556956</x:v>
      </x:c>
      <x:c r="C241" s="16" t="n">
        <x:f>$B$12+$D$12*B241</x:f>
        <x:v>0.014353145460286452</x:v>
      </x:c>
      <x:c r="D241" s="12" t="n">
        <x:f>D240*EXP(C241)</x:f>
        <x:v>100.81636075659642</x:v>
      </x:c>
      <x:c r="E241" s="16" t="n">
        <x:f>ABS(C241)</x:f>
        <x:v>0.014353145460286452</x:v>
      </x:c>
      <x:c r="F241" s="16" t="n">
        <x:f>C241^2</x:f>
        <x:v>0.0002060127846041416</x:v>
      </x:c>
      <x:c r="G241" s="1"/>
      <x:c r="H241" s="1"/>
      <x:c r="I241" s="1"/>
      <x:c r="J241" s="1"/>
      <x:c r="K241" s="1"/>
      <x:c r="L241" s="1"/>
      <x:c r="M241" s="1"/>
      <x:c r="N241" s="1"/>
    </x:row>
    <x:row r="242" ht="22" customHeight="1">
      <x:c r="A242" s="1" t="n">
        <x:v>226</x:v>
      </x:c>
      <x:c r="B242" s="16" t="n">
        <x:v>0.12057951202738053</x:v>
      </x:c>
      <x:c r="C242" s="16" t="n">
        <x:f>$B$12+$D$12*B242</x:f>
        <x:v>0.002086937675231559</x:v>
      </x:c>
      <x:c r="D242" s="12" t="n">
        <x:f>D241*EXP(C242)</x:f>
        <x:v>101.02697791413777</x:v>
      </x:c>
      <x:c r="E242" s="16" t="n">
        <x:f>ABS(C242)</x:f>
        <x:v>0.002086937675231559</x:v>
      </x:c>
      <x:c r="F242" s="16" t="n">
        <x:f>C242^2</x:f>
        <x:v>0.000004355308860300904</x:v>
      </x:c>
      <x:c r="G242" s="1"/>
      <x:c r="H242" s="1"/>
      <x:c r="I242" s="1"/>
      <x:c r="J242" s="1"/>
      <x:c r="K242" s="1"/>
      <x:c r="L242" s="1"/>
      <x:c r="M242" s="1"/>
      <x:c r="N242" s="1"/>
    </x:row>
    <x:row r="243" ht="22" customHeight="1">
      <x:c r="A243" s="1" t="n">
        <x:v>227</x:v>
      </x:c>
      <x:c r="B243" s="16" t="n">
        <x:v>-1.063970453591332</x:v>
      </x:c>
      <x:c r="C243" s="16" t="n">
        <x:f>$B$12+$D$12*B243</x:f>
        <x:v>-0.01357438319023809</x:v>
      </x:c>
      <x:c r="D243" s="12" t="n">
        <x:f>D242*EXP(C243)</x:f>
        <x:v>99.66486484140073</x:v>
      </x:c>
      <x:c r="E243" s="16" t="n">
        <x:f>ABS(C243)</x:f>
        <x:v>0.01357438319023809</x:v>
      </x:c>
      <x:c r="F243" s="16" t="n">
        <x:f>C243^2</x:f>
        <x:v>0.0001842638789954184</x:v>
      </x:c>
      <x:c r="G243" s="1"/>
      <x:c r="H243" s="1"/>
      <x:c r="I243" s="1"/>
      <x:c r="J243" s="1"/>
      <x:c r="K243" s="1"/>
      <x:c r="L243" s="1"/>
      <x:c r="M243" s="1"/>
      <x:c r="N243" s="1"/>
    </x:row>
    <x:row r="244" ht="22" customHeight="1">
      <x:c r="A244" s="1" t="n">
        <x:v>228</x:v>
      </x:c>
      <x:c r="B244" s="16" t="n">
        <x:v>-0.7401329835806439</x:v>
      </x:c>
      <x:c r="C244" s="16" t="n">
        <x:f>$B$12+$D$12*B244</x:f>
        <x:v>-0.009292822535723838</x:v>
      </x:c>
      <x:c r="D244" s="12" t="n">
        <x:f>D243*EXP(C244)</x:f>
        <x:v>98.74298699715878</x:v>
      </x:c>
      <x:c r="E244" s="16" t="n">
        <x:f>ABS(C244)</x:f>
        <x:v>0.009292822535723838</x:v>
      </x:c>
      <x:c r="F244" s="16" t="n">
        <x:f>C244^2</x:f>
        <x:v>0.00008635655068045681</x:v>
      </x:c>
      <x:c r="G244" s="1"/>
      <x:c r="H244" s="1"/>
      <x:c r="I244" s="1"/>
      <x:c r="J244" s="1"/>
      <x:c r="K244" s="1"/>
      <x:c r="L244" s="1"/>
      <x:c r="M244" s="1"/>
      <x:c r="N244" s="1"/>
    </x:row>
    <x:row r="245" ht="22" customHeight="1">
      <x:c r="A245" s="1" t="n">
        <x:v>229</x:v>
      </x:c>
      <x:c r="B245" s="16" t="n">
        <x:v>0.9813755057642445</x:v>
      </x:c>
      <x:c r="C245" s="16" t="n">
        <x:f>$B$12+$D$12*B245</x:f>
        <x:v>0.013467801842141011</x:v>
      </x:c>
      <x:c r="D245" s="12" t="n">
        <x:f>D244*EXP(C245)</x:f>
        <x:v>100.08183340158315</x:v>
      </x:c>
      <x:c r="E245" s="16" t="n">
        <x:f>ABS(C245)</x:f>
        <x:v>0.013467801842141011</x:v>
      </x:c>
      <x:c r="F245" s="16" t="n">
        <x:f>C245^2</x:f>
        <x:v>0.00018138168645917682</x:v>
      </x:c>
      <x:c r="G245" s="1"/>
      <x:c r="H245" s="1"/>
      <x:c r="I245" s="1"/>
      <x:c r="J245" s="1"/>
      <x:c r="K245" s="1"/>
      <x:c r="L245" s="1"/>
      <x:c r="M245" s="1"/>
      <x:c r="N245" s="1"/>
    </x:row>
    <x:row r="246" ht="22" customHeight="1">
      <x:c r="A246" s="1" t="n">
        <x:v>230</x:v>
      </x:c>
      <x:c r="B246" s="16" t="n">
        <x:v>-0.48407726889243274</x:v>
      </x:c>
      <x:c r="C246" s="16" t="n">
        <x:f>$B$12+$D$12*B246</x:f>
        <x:v>-0.005907426542677112</x:v>
      </x:c>
      <x:c r="D246" s="12" t="n">
        <x:f>D245*EXP(C246)</x:f>
        <x:v>99.49235020115826</x:v>
      </x:c>
      <x:c r="E246" s="16" t="n">
        <x:f>ABS(C246)</x:f>
        <x:v>0.005907426542677112</x:v>
      </x:c>
      <x:c r="F246" s="16" t="n">
        <x:f>C246^2</x:f>
        <x:v>0.000034897688357126055</x:v>
      </x:c>
      <x:c r="G246" s="1"/>
      <x:c r="H246" s="1"/>
      <x:c r="I246" s="1"/>
      <x:c r="J246" s="1"/>
      <x:c r="K246" s="1"/>
      <x:c r="L246" s="1"/>
      <x:c r="M246" s="1"/>
      <x:c r="N246" s="1"/>
    </x:row>
    <x:row r="247" ht="22" customHeight="1">
      <x:c r="A247" s="1" t="n">
        <x:v>231</x:v>
      </x:c>
      <x:c r="B247" s="16" t="n">
        <x:v>-0.06436097090079071</x:v>
      </x:c>
      <x:c r="C247" s="16" t="n">
        <x:f>$B$12+$D$12*B247</x:f>
        <x:v>-0.000358220678759994</x:v>
      </x:c>
      <x:c r="D247" s="12" t="n">
        <x:f>D246*EXP(C247)</x:f>
        <x:v>99.456716366707</x:v>
      </x:c>
      <x:c r="E247" s="16" t="n">
        <x:f>ABS(C247)</x:f>
        <x:v>0.000358220678759994</x:v>
      </x:c>
      <x:c r="F247" s="16" t="n">
        <x:f>C247^2</x:f>
        <x:v>1.283220546912708e-7</x:v>
      </x:c>
      <x:c r="G247" s="1"/>
      <x:c r="H247" s="1"/>
      <x:c r="I247" s="1"/>
      <x:c r="J247" s="1"/>
      <x:c r="K247" s="1"/>
      <x:c r="L247" s="1"/>
      <x:c r="M247" s="1"/>
      <x:c r="N247" s="1"/>
    </x:row>
    <x:row r="248" ht="22" customHeight="1">
      <x:c r="A248" s="1" t="n">
        <x:v>232</x:v>
      </x:c>
      <x:c r="B248" s="16" t="n">
        <x:v>-0.22771094247221502</x:v>
      </x:c>
      <x:c r="C248" s="16" t="n">
        <x:f>$B$12+$D$12*B248</x:f>
        <x:v>-0.0025179238507652257</x:v>
      </x:c>
      <x:c r="D248" s="12" t="n">
        <x:f>D247*EXP(C248)</x:f>
        <x:v>99.20660693883525</x:v>
      </x:c>
      <x:c r="E248" s="16" t="n">
        <x:f>ABS(C248)</x:f>
        <x:v>0.0025179238507652257</x:v>
      </x:c>
      <x:c r="F248" s="16" t="n">
        <x:f>C248^2</x:f>
        <x:v>0.000006339940518252383</x:v>
      </x:c>
      <x:c r="G248" s="1"/>
      <x:c r="H248" s="1"/>
      <x:c r="I248" s="1"/>
      <x:c r="J248" s="1"/>
      <x:c r="K248" s="1"/>
      <x:c r="L248" s="1"/>
      <x:c r="M248" s="1"/>
      <x:c r="N248" s="1"/>
    </x:row>
    <x:row r="249" ht="22" customHeight="1">
      <x:c r="A249" s="1" t="n">
        <x:v>233</x:v>
      </x:c>
      <x:c r="B249" s="16" t="n">
        <x:v>-0.19374668213426913</x:v>
      </x:c>
      <x:c r="C249" s="16" t="n">
        <x:f>$B$12+$D$12*B249</x:f>
        <x:v>-0.002068871303764322</x:v>
      </x:c>
      <x:c r="D249" s="12" t="n">
        <x:f>D248*EXP(C249)</x:f>
        <x:v>99.00157340372674</x:v>
      </x:c>
      <x:c r="E249" s="16" t="n">
        <x:f>ABS(C249)</x:f>
        <x:v>0.002068871303764322</x:v>
      </x:c>
      <x:c r="F249" s="16" t="n">
        <x:f>C249^2</x:f>
        <x:v>0.000004280228471539486</x:v>
      </x:c>
      <x:c r="G249" s="1"/>
      <x:c r="H249" s="1"/>
      <x:c r="I249" s="1"/>
      <x:c r="J249" s="1"/>
      <x:c r="K249" s="1"/>
      <x:c r="L249" s="1"/>
      <x:c r="M249" s="1"/>
      <x:c r="N249" s="1"/>
    </x:row>
    <x:row r="250" ht="22" customHeight="1">
      <x:c r="A250" s="1" t="n">
        <x:v>234</x:v>
      </x:c>
      <x:c r="B250" s="16" t="n">
        <x:v>-1.0898734989244425</x:v>
      </x:c>
      <x:c r="C250" s="16" t="n">
        <x:f>$B$12+$D$12*B250</x:f>
        <x:v>-0.013916855788380254</x:v>
      </x:c>
      <x:c r="D250" s="12" t="n">
        <x:f>D249*EXP(C250)</x:f>
        <x:v>97.63332572001092</x:v>
      </x:c>
      <x:c r="E250" s="16" t="n">
        <x:f>ABS(C250)</x:f>
        <x:v>0.013916855788380254</x:v>
      </x:c>
      <x:c r="F250" s="16" t="n">
        <x:f>C250^2</x:f>
        <x:v>0.00019367887503457298</x:v>
      </x:c>
      <x:c r="G250" s="1"/>
      <x:c r="H250" s="1"/>
      <x:c r="I250" s="1"/>
      <x:c r="J250" s="1"/>
      <x:c r="K250" s="1"/>
      <x:c r="L250" s="1"/>
      <x:c r="M250" s="1"/>
      <x:c r="N250" s="1"/>
    </x:row>
    <x:row r="251" ht="22" customHeight="1">
      <x:c r="A251" s="1" t="n">
        <x:v>235</x:v>
      </x:c>
      <x:c r="B251" s="16" t="n">
        <x:v>-0.9008838026030342</x:v>
      </x:c>
      <x:c r="C251" s="16" t="n">
        <x:f>$B$12+$D$12*B251</x:f>
        <x:v>-0.011418161465417465</x:v>
      </x:c>
      <x:c r="D251" s="12" t="n">
        <x:f>D250*EXP(C251)</x:f>
        <x:v>96.52487293178763</x:v>
      </x:c>
      <x:c r="E251" s="16" t="n">
        <x:f>ABS(C251)</x:f>
        <x:v>0.011418161465417465</x:v>
      </x:c>
      <x:c r="F251" s="16" t="n">
        <x:f>C251^2</x:f>
        <x:v>0.0001303744112503443</x:v>
      </x:c>
      <x:c r="G251" s="1"/>
      <x:c r="H251" s="1"/>
      <x:c r="I251" s="1"/>
      <x:c r="J251" s="1"/>
      <x:c r="K251" s="1"/>
      <x:c r="L251" s="1"/>
      <x:c r="M251" s="1"/>
      <x:c r="N251" s="1"/>
    </x:row>
    <x:row r="252" ht="22" customHeight="1">
      <x:c r="A252" s="1" t="n">
        <x:v>236</x:v>
      </x:c>
      <x:c r="B252" s="16" t="n">
        <x:v>-0.2509128129344932</x:v>
      </x:c>
      <x:c r="C252" s="16" t="n">
        <x:f>$B$12+$D$12*B252</x:f>
        <x:v>-0.0028246833362538812</x:v>
      </x:c>
      <x:c r="D252" s="12" t="n">
        <x:f>D251*EXP(C252)</x:f>
        <x:v>96.25260544742765</x:v>
      </x:c>
      <x:c r="E252" s="16" t="n">
        <x:f>ABS(C252)</x:f>
        <x:v>0.0028246833362538812</x:v>
      </x:c>
      <x:c r="F252" s="16" t="n">
        <x:f>C252^2</x:f>
        <x:v>0.000007978835950110356</x:v>
      </x:c>
      <x:c r="G252" s="1"/>
      <x:c r="H252" s="1"/>
      <x:c r="I252" s="1"/>
      <x:c r="J252" s="1"/>
      <x:c r="K252" s="1"/>
      <x:c r="L252" s="1"/>
      <x:c r="M252" s="1"/>
      <x:c r="N252" s="1"/>
    </x:row>
    <x:row r="253" ht="22" customHeight="1">
      <x:c r="A253" s="1" t="n">
        <x:v>237</x:v>
      </x:c>
      <x:c r="B253" s="16" t="n">
        <x:v>0.15845162663505996</x:v>
      </x:c>
      <x:c r="C253" s="16" t="n">
        <x:f>$B$12+$D$12*B253</x:f>
        <x:v>0.002587657236195715</x:v>
      </x:c>
      <x:c r="D253" s="12" t="n">
        <x:f>D252*EXP(C253)</x:f>
        <x:v>96.50199672883367</x:v>
      </x:c>
      <x:c r="E253" s="16" t="n">
        <x:f>ABS(C253)</x:f>
        <x:v>0.002587657236195715</x:v>
      </x:c>
      <x:c r="F253" s="16" t="n">
        <x:f>C253^2</x:f>
        <x:v>0.000006695969972036047</x:v>
      </x:c>
      <x:c r="G253" s="1"/>
      <x:c r="H253" s="1"/>
      <x:c r="I253" s="1"/>
      <x:c r="J253" s="1"/>
      <x:c r="K253" s="1"/>
      <x:c r="L253" s="1"/>
      <x:c r="M253" s="1"/>
      <x:c r="N253" s="1"/>
    </x:row>
    <x:row r="254" ht="22" customHeight="1">
      <x:c r="A254" s="1" t="n">
        <x:v>238</x:v>
      </x:c>
      <x:c r="B254" s="16" t="n">
        <x:v>-0.17813485628993975</x:v>
      </x:c>
      <x:c r="C254" s="16" t="n">
        <x:f>$B$12+$D$12*B254</x:f>
        <x:v>-0.0018624622700042595</x:v>
      </x:c>
      <x:c r="D254" s="12" t="n">
        <x:f>D253*EXP(C254)</x:f>
        <x:v>96.32243266849532</x:v>
      </x:c>
      <x:c r="E254" s="16" t="n">
        <x:f>ABS(C254)</x:f>
        <x:v>0.0018624622700042595</x:v>
      </x:c>
      <x:c r="F254" s="16" t="n">
        <x:f>C254^2</x:f>
        <x:v>0.000003468765707189419</x:v>
      </x:c>
      <x:c r="G254" s="1"/>
      <x:c r="H254" s="1"/>
      <x:c r="I254" s="1"/>
      <x:c r="J254" s="1"/>
      <x:c r="K254" s="1"/>
      <x:c r="L254" s="1"/>
      <x:c r="M254" s="1"/>
      <x:c r="N254" s="1"/>
    </x:row>
    <x:row r="255" ht="22" customHeight="1">
      <x:c r="A255" s="1" t="n">
        <x:v>239</x:v>
      </x:c>
      <x:c r="B255" s="16" t="n">
        <x:v>0.0802601824986002</x:v>
      </x:c>
      <x:c r="C255" s="16" t="n">
        <x:f>$B$12+$D$12*B255</x:f>
        <x:v>0.0015538626888159258</x:v>
      </x:c>
      <x:c r="D255" s="12" t="n">
        <x:f>D254*EXP(C255)</x:f>
        <x:v>96.47222084770783</x:v>
      </x:c>
      <x:c r="E255" s="16" t="n">
        <x:f>ABS(C255)</x:f>
        <x:v>0.0015538626888159258</x:v>
      </x:c>
      <x:c r="F255" s="16" t="n">
        <x:f>C255^2</x:f>
        <x:v>0.0000024144892556942587</x:v>
      </x:c>
      <x:c r="G255" s="1"/>
      <x:c r="H255" s="1"/>
      <x:c r="I255" s="1"/>
      <x:c r="J255" s="1"/>
      <x:c r="K255" s="1"/>
      <x:c r="L255" s="1"/>
      <x:c r="M255" s="1"/>
      <x:c r="N255" s="1"/>
    </x:row>
    <x:row r="256" ht="22" customHeight="1">
      <x:c r="A256" s="1" t="n">
        <x:v>240</x:v>
      </x:c>
      <x:c r="B256" s="16" t="n">
        <x:v>1.8853949074191367</x:v>
      </x:c>
      <x:c r="C256" s="16" t="n">
        <x:f>$B$12+$D$12*B256</x:f>
        <x:v>0.02542013676161576</x:v>
      </x:c>
      <x:c r="D256" s="12" t="n">
        <x:f>D255*EXP(C256)</x:f>
        <x:v>98.9559930638146</x:v>
      </x:c>
      <x:c r="E256" s="16" t="n">
        <x:f>ABS(C256)</x:f>
        <x:v>0.02542013676161576</x:v>
      </x:c>
      <x:c r="F256" s="16" t="n">
        <x:f>C256^2</x:f>
        <x:v>0.000646183352979249</x:v>
      </x:c>
      <x:c r="G256" s="1"/>
      <x:c r="H256" s="1"/>
      <x:c r="I256" s="1"/>
      <x:c r="J256" s="1"/>
      <x:c r="K256" s="1"/>
      <x:c r="L256" s="1"/>
      <x:c r="M256" s="1"/>
      <x:c r="N256" s="1"/>
    </x:row>
    <x:row r="257" ht="22" customHeight="1">
      <x:c r="A257" s="1" t="n">
        <x:v>241</x:v>
      </x:c>
      <x:c r="B257" s="16" t="n">
        <x:v>0.14736530999167619</x:v>
      </x:c>
      <x:c r="C257" s="16" t="n">
        <x:f>$B$12+$D$12*B257</x:f>
        <x:v>0.0024410814333949093</x:v>
      </x:c>
      <x:c r="D257" s="12" t="n">
        <x:f>D256*EXP(C257)</x:f>
        <x:v>99.19784777462937</x:v>
      </x:c>
      <x:c r="E257" s="16" t="n">
        <x:f>ABS(C257)</x:f>
        <x:v>0.0024410814333949093</x:v>
      </x:c>
      <x:c r="F257" s="16" t="n">
        <x:f>C257^2</x:f>
        <x:v>0.000005958878564465345</x:v>
      </x:c>
      <x:c r="G257" s="1"/>
      <x:c r="H257" s="1"/>
      <x:c r="I257" s="1"/>
      <x:c r="J257" s="1"/>
      <x:c r="K257" s="1"/>
      <x:c r="L257" s="1"/>
      <x:c r="M257" s="1"/>
      <x:c r="N257" s="1"/>
    </x:row>
    <x:row r="258" ht="22" customHeight="1">
      <x:c r="A258" s="1" t="n">
        <x:v>242</x:v>
      </x:c>
      <x:c r="B258" s="16" t="n">
        <x:v>0.46566322533068194</x:v>
      </x:c>
      <x:c r="C258" s="16" t="n">
        <x:f>$B$12+$D$12*B258</x:f>
        <x:v>0.006649401831539129</x:v>
      </x:c>
      <x:c r="D258" s="12" t="n">
        <x:f>D257*EXP(C258)</x:f>
        <x:v>99.8596519879349</x:v>
      </x:c>
      <x:c r="E258" s="16" t="n">
        <x:f>ABS(C258)</x:f>
        <x:v>0.006649401831539129</x:v>
      </x:c>
      <x:c r="F258" s="16" t="n">
        <x:f>C258^2</x:f>
        <x:v>0.000044214544717275925</x:v>
      </x:c>
      <x:c r="G258" s="1"/>
      <x:c r="H258" s="1"/>
      <x:c r="I258" s="1"/>
      <x:c r="J258" s="1"/>
      <x:c r="K258" s="1"/>
      <x:c r="L258" s="1"/>
      <x:c r="M258" s="1"/>
      <x:c r="N258" s="1"/>
    </x:row>
    <x:row r="259" ht="22" customHeight="1">
      <x:c r="A259" s="1" t="n">
        <x:v>243</x:v>
      </x:c>
      <x:c r="B259" s="16" t="n">
        <x:v>-1.0213484425731238</x:v>
      </x:c>
      <x:c r="C259" s="16" t="n">
        <x:f>$B$12+$D$12*B259</x:f>
        <x:v>-0.013010863701941044</x:v>
      </x:c>
      <x:c r="D259" s="12" t="n">
        <x:f>D258*EXP(C259)</x:f>
        <x:v>98.56880737797705</x:v>
      </x:c>
      <x:c r="E259" s="16" t="n">
        <x:f>ABS(C259)</x:f>
        <x:v>0.013010863701941044</x:v>
      </x:c>
      <x:c r="F259" s="16" t="n">
        <x:f>C259^2</x:f>
        <x:v>0.00016928257427048702</x:v>
      </x:c>
      <x:c r="G259" s="1"/>
      <x:c r="H259" s="1"/>
      <x:c r="I259" s="1"/>
      <x:c r="J259" s="1"/>
      <x:c r="K259" s="1"/>
      <x:c r="L259" s="1"/>
      <x:c r="M259" s="1"/>
      <x:c r="N259" s="1"/>
    </x:row>
    <x:row r="260" ht="22" customHeight="1">
      <x:c r="A260" s="1" t="n">
        <x:v>244</x:v>
      </x:c>
      <x:c r="B260" s="16" t="n">
        <x:v>-0.5249095068985983</x:v>
      </x:c>
      <x:c r="C260" s="16" t="n">
        <x:f>$B$12+$D$12*B260</x:f>
        <x:v>-0.006447282859110136</x:v>
      </x:c>
      <x:c r="D260" s="12" t="n">
        <x:f>D259*EXP(C260)</x:f>
        <x:v>97.935350627415</x:v>
      </x:c>
      <x:c r="E260" s="16" t="n">
        <x:f>ABS(C260)</x:f>
        <x:v>0.006447282859110136</x:v>
      </x:c>
      <x:c r="F260" s="16" t="n">
        <x:f>C260^2</x:f>
        <x:v>0.000041567456265375366</x:v>
      </x:c>
      <x:c r="G260" s="1"/>
      <x:c r="H260" s="1"/>
      <x:c r="I260" s="1"/>
      <x:c r="J260" s="1"/>
      <x:c r="K260" s="1"/>
      <x:c r="L260" s="1"/>
      <x:c r="M260" s="1"/>
      <x:c r="N260" s="1"/>
    </x:row>
    <x:row r="261" ht="22" customHeight="1">
      <x:c r="A261" s="1" t="n">
        <x:v>245</x:v>
      </x:c>
      <x:c r="B261" s="16" t="n">
        <x:v>-0.9830742532341665</x:v>
      </x:c>
      <x:c r="C261" s="16" t="n">
        <x:f>$B$12+$D$12*B261</x:f>
        <x:v>-0.012504828180011788</x:v>
      </x:c>
      <x:c r="D261" s="12" t="n">
        <x:f>D260*EXP(C261)</x:f>
        <x:v>96.71831118867541</x:v>
      </x:c>
      <x:c r="E261" s="16" t="n">
        <x:f>ABS(C261)</x:f>
        <x:v>0.012504828180011788</x:v>
      </x:c>
      <x:c r="F261" s="16" t="n">
        <x:f>C261^2</x:f>
        <x:v>0.0001563707278116169</x:v>
      </x:c>
      <x:c r="G261" s="1"/>
      <x:c r="H261" s="1"/>
      <x:c r="I261" s="1"/>
      <x:c r="J261" s="1"/>
      <x:c r="K261" s="1"/>
      <x:c r="L261" s="1"/>
      <x:c r="M261" s="1"/>
      <x:c r="N261" s="1"/>
    </x:row>
    <x:row r="262" ht="22" customHeight="1">
      <x:c r="A262" s="1" t="n">
        <x:v>246</x:v>
      </x:c>
      <x:c r="B262" s="16" t="n">
        <x:v>0.01366684179595174</x:v>
      </x:c>
      <x:c r="C262" s="16" t="n">
        <x:f>$B$12+$D$12*B262</x:f>
        <x:v>0.000673410444065768</x:v>
      </x:c>
      <x:c r="D262" s="12" t="n">
        <x:f>D261*EXP(C262)</x:f>
        <x:v>96.78346424447426</x:v>
      </x:c>
      <x:c r="E262" s="16" t="n">
        <x:f>ABS(C262)</x:f>
        <x:v>0.000673410444065768</x:v>
      </x:c>
      <x:c r="F262" s="16" t="n">
        <x:f>C262^2</x:f>
        <x:v>4.534816261768549e-7</x:v>
      </x:c>
      <x:c r="G262" s="1"/>
      <x:c r="H262" s="1"/>
      <x:c r="I262" s="1"/>
      <x:c r="J262" s="1"/>
      <x:c r="K262" s="1"/>
      <x:c r="L262" s="1"/>
      <x:c r="M262" s="1"/>
      <x:c r="N262" s="1"/>
    </x:row>
    <x:row r="263" ht="22" customHeight="1">
      <x:c r="A263" s="1" t="n">
        <x:v>247</x:v>
      </x:c>
      <x:c r="B263" s="16" t="n">
        <x:v>1.5787508388686742</x:v>
      </x:c>
      <x:c r="C263" s="16" t="n">
        <x:f>$B$12+$D$12*B263</x:f>
        <x:v>0.02136589566714791</x:v>
      </x:c>
      <x:c r="D263" s="12" t="n">
        <x:f>D262*EXP(C263)</x:f>
        <x:v>98.87357871660485</x:v>
      </x:c>
      <x:c r="E263" s="16" t="n">
        <x:f>ABS(C263)</x:f>
        <x:v>0.02136589566714791</x:v>
      </x:c>
      <x:c r="F263" s="16" t="n">
        <x:f>C263^2</x:f>
        <x:v>0.0004565014976594498</x:v>
      </x:c>
      <x:c r="G263" s="1"/>
      <x:c r="H263" s="1"/>
      <x:c r="I263" s="1"/>
      <x:c r="J263" s="1"/>
      <x:c r="K263" s="1"/>
      <x:c r="L263" s="1"/>
      <x:c r="M263" s="1"/>
      <x:c r="N263" s="1"/>
    </x:row>
    <x:row r="264" ht="22" customHeight="1">
      <x:c r="A264" s="1" t="n">
        <x:v>248</x:v>
      </x:c>
      <x:c r="B264" s="16" t="n">
        <x:v>0.000859122786355511</x:v>
      </x:c>
      <x:c r="C264" s="16" t="n">
        <x:f>$B$12+$D$12*B264</x:f>
        <x:v>0.0005040754199755922</x:v>
      </x:c>
      <x:c r="D264" s="12" t="n">
        <x:f>D263*EXP(C264)</x:f>
        <x:v>98.92343102092593</x:v>
      </x:c>
      <x:c r="E264" s="16" t="n">
        <x:f>ABS(C264)</x:f>
        <x:v>0.0005040754199755922</x:v>
      </x:c>
      <x:c r="F264" s="16" t="n">
        <x:f>C264^2</x:f>
        <x:v>2.540920290235696e-7</x:v>
      </x:c>
      <x:c r="G264" s="1"/>
      <x:c r="H264" s="1"/>
      <x:c r="I264" s="1"/>
      <x:c r="J264" s="1"/>
      <x:c r="K264" s="1"/>
      <x:c r="L264" s="1"/>
      <x:c r="M264" s="1"/>
      <x:c r="N264" s="1"/>
    </x:row>
    <x:row r="265" ht="22" customHeight="1">
      <x:c r="A265" s="1" t="n">
        <x:v>249</x:v>
      </x:c>
      <x:c r="B265" s="16" t="n">
        <x:v>0.24718100346958902</x:v>
      </x:c>
      <x:c r="C265" s="16" t="n">
        <x:f>$B$12+$D$12*B265</x:f>
        <x:v>0.0037607772236442016</x:v>
      </x:c>
      <x:c r="D265" s="12" t="n">
        <x:f>D264*EXP(C265)</x:f>
        <x:v>99.2961604440503</x:v>
      </x:c>
      <x:c r="E265" s="16" t="n">
        <x:f>ABS(C265)</x:f>
        <x:v>0.0037607772236442016</x:v>
      </x:c>
      <x:c r="F265" s="16" t="n">
        <x:f>C265^2</x:f>
        <x:v>0.000014143445325880989</x:v>
      </x:c>
      <x:c r="G265" s="1"/>
      <x:c r="H265" s="1"/>
      <x:c r="I265" s="1"/>
      <x:c r="J265" s="1"/>
      <x:c r="K265" s="1"/>
      <x:c r="L265" s="1"/>
      <x:c r="M265" s="1"/>
      <x:c r="N265" s="1"/>
    </x:row>
    <x:row r="266" ht="22" customHeight="1">
      <x:c r="A266" s="1" t="n">
        <x:v>250</x:v>
      </x:c>
      <x:c r="B266" s="16" t="n">
        <x:v>-0.2791138109067666</x:v>
      </x:c>
      <x:c r="C266" s="16" t="n">
        <x:f>$B$12+$D$12*B266</x:f>
        <x:v>-0.0031975379146080693</x:v>
      </x:c>
      <x:c r="D266" s="12" t="n">
        <x:f>D265*EXP(C266)</x:f>
        <x:v>98.97916427996942</x:v>
      </x:c>
      <x:c r="E266" s="16" t="n">
        <x:f>ABS(C266)</x:f>
        <x:v>0.0031975379146080693</x:v>
      </x:c>
      <x:c r="F266" s="16" t="n">
        <x:f>C266^2</x:f>
        <x:v>0.00001022424871535612</x:v>
      </x:c>
      <x:c r="G266" s="1"/>
      <x:c r="H266" s="1"/>
      <x:c r="I266" s="1"/>
      <x:c r="J266" s="1"/>
      <x:c r="K266" s="1"/>
      <x:c r="L266" s="1"/>
      <x:c r="M266" s="1"/>
      <x:c r="N266" s="1"/>
    </x:row>
    <x:row r="267" ht="22" customHeight="1">
      <x:c r="A267" s="1" t="n">
        <x:v>251</x:v>
      </x:c>
      <x:c r="B267" s="16" t="n">
        <x:v>-1.5328105003352093</x:v>
      </x:c>
      <x:c r="C267" s="16" t="n">
        <x:f>$B$12+$D$12*B267</x:f>
        <x:v>-0.019773070134441788</x:v>
      </x:c>
      <x:c r="D267" s="12" t="n">
        <x:f>D266*EXP(C267)</x:f>
        <x:v>97.04126457487504</x:v>
      </x:c>
      <x:c r="E267" s="16" t="n">
        <x:f>ABS(C267)</x:f>
        <x:v>0.019773070134441788</x:v>
      </x:c>
      <x:c r="F267" s="16" t="n">
        <x:f>C267^2</x:f>
        <x:v>0.00039097430254155375</x:v>
      </x:c>
      <x:c r="G267" s="1"/>
      <x:c r="H267" s="1"/>
      <x:c r="I267" s="1"/>
      <x:c r="J267" s="1"/>
      <x:c r="K267" s="1"/>
      <x:c r="L267" s="1"/>
      <x:c r="M267" s="1"/>
      <x:c r="N267" s="1"/>
    </x:row>
    <x:row r="268" ht="22" customHeight="1">
      <x:c r="A268" s="1" t="n">
        <x:v>252</x:v>
      </x:c>
      <x:c r="B268" s="16" t="n">
        <x:v>1.2459456147341494</x:v>
      </x:c>
      <x:c r="C268" s="16" t="n">
        <x:f>$B$12+$D$12*B268</x:f>
        <x:v>0.01696576941485181</x:v>
      </x:c>
      <x:c r="D268" s="12" t="n">
        <x:f>D267*EXP(C268)</x:f>
        <x:v>98.70168966044139</x:v>
      </x:c>
      <x:c r="E268" s="16" t="n">
        <x:f>ABS(C268)</x:f>
        <x:v>0.01696576941485181</x:v>
      </x:c>
      <x:c r="F268" s="16" t="n">
        <x:f>C268^2</x:f>
        <x:v>0.00028783733183792117</x:v>
      </x:c>
      <x:c r="G268" s="1"/>
      <x:c r="H268" s="1"/>
      <x:c r="I268" s="1"/>
      <x:c r="J268" s="1"/>
      <x:c r="K268" s="1"/>
      <x:c r="L268" s="1"/>
      <x:c r="M268" s="1"/>
      <x:c r="N268" s="1"/>
    </x:row>
    <x:row r="269" ht="22" customHeight="1">
      <x:c r="A269" s="1" t="n">
        <x:v>253</x:v>
      </x:c>
      <x:c r="B269" s="16" t="n">
        <x:v>-1.106178991299042</x:v>
      </x:c>
      <x:c r="C269" s="16" t="n">
        <x:f>$B$12+$D$12*B269</x:f>
        <x:v>-0.014132436013242013</x:v>
      </x:c>
      <x:c r="D269" s="12" t="n">
        <x:f>D268*EXP(C269)</x:f>
        <x:v>97.31660471213591</x:v>
      </x:c>
      <x:c r="E269" s="16" t="n">
        <x:f>ABS(C269)</x:f>
        <x:v>0.014132436013242013</x:v>
      </x:c>
      <x:c r="F269" s="16" t="n">
        <x:f>C269^2</x:f>
        <x:v>0.0001997257476683798</x:v>
      </x:c>
      <x:c r="G269" s="1"/>
      <x:c r="H269" s="1"/>
      <x:c r="I269" s="1"/>
      <x:c r="J269" s="1"/>
      <x:c r="K269" s="1"/>
      <x:c r="L269" s="1"/>
      <x:c r="M269" s="1"/>
      <x:c r="N269" s="1"/>
    </x:row>
    <x:row r="270" ht="22" customHeight="1">
      <x:c r="A270" s="1" t="n">
        <x:v>254</x:v>
      </x:c>
      <x:c r="B270" s="16" t="n">
        <x:v>-0.21064643918069814</x:v>
      </x:c>
      <x:c r="C270" s="16" t="n">
        <x:f>$B$12+$D$12*B270</x:f>
        <x:v>-0.0022923084953853303</x:v>
      </x:c>
      <x:c r="D270" s="12" t="n">
        <x:f>D269*EXP(C270)</x:f>
        <x:v>97.09378052087797</x:v>
      </x:c>
      <x:c r="E270" s="16" t="n">
        <x:f>ABS(C270)</x:f>
        <x:v>0.0022923084953853303</x:v>
      </x:c>
      <x:c r="F270" s="16" t="n">
        <x:f>C270^2</x:f>
        <x:v>0.000005254678238015756</x:v>
      </x:c>
      <x:c r="G270" s="1"/>
      <x:c r="H270" s="1"/>
      <x:c r="I270" s="1"/>
      <x:c r="J270" s="1"/>
      <x:c r="K270" s="1"/>
      <x:c r="L270" s="1"/>
      <x:c r="M270" s="1"/>
      <x:c r="N270" s="1"/>
    </x:row>
    <x:row r="271" ht="22" customHeight="1">
      <x:c r="A271" s="1" t="n">
        <x:v>255</x:v>
      </x:c>
      <x:c r="B271" s="16" t="n">
        <x:v>-1.442391504069889</x:v>
      </x:c>
      <x:c r="C271" s="16" t="n">
        <x:f>$B$12+$D$12*B271</x:f>
        <x:v>-0.01857761113824382</x:v>
      </x:c>
      <x:c r="D271" s="12" t="n">
        <x:f>D270*EXP(C271)</x:f>
        <x:v>95.30666162079197</x:v>
      </x:c>
      <x:c r="E271" s="16" t="n">
        <x:f>ABS(C271)</x:f>
        <x:v>0.01857761113824382</x:v>
      </x:c>
      <x:c r="F271" s="16" t="n">
        <x:f>C271^2</x:f>
        <x:v>0.00034512763560380085</x:v>
      </x:c>
      <x:c r="G271" s="1"/>
      <x:c r="H271" s="1"/>
      <x:c r="I271" s="1"/>
      <x:c r="J271" s="1"/>
      <x:c r="K271" s="1"/>
      <x:c r="L271" s="1"/>
      <x:c r="M271" s="1"/>
      <x:c r="N271" s="1"/>
    </x:row>
    <x:row r="272" ht="22" customHeight="1">
      <x:c r="A272" s="1" t="n">
        <x:v>256</x:v>
      </x:c>
      <x:c r="B272" s="16" t="n">
        <x:v>1.610496822689265</x:v>
      </x:c>
      <x:c r="C272" s="16" t="n">
        <x:f>$B$12+$D$12*B272</x:f>
        <x:v>0.02178561965789117</x:v>
      </x:c>
      <x:c r="D272" s="12" t="n">
        <x:f>D271*EXP(C272)</x:f>
        <x:v>97.40575834219285</x:v>
      </x:c>
      <x:c r="E272" s="16" t="n">
        <x:f>ABS(C272)</x:f>
        <x:v>0.02178561965789117</x:v>
      </x:c>
      <x:c r="F272" s="16" t="n">
        <x:f>C272^2</x:f>
        <x:v>0.00047461322387829424</x:v>
      </x:c>
      <x:c r="G272" s="1"/>
      <x:c r="H272" s="1"/>
      <x:c r="I272" s="1"/>
      <x:c r="J272" s="1"/>
      <x:c r="K272" s="1"/>
      <x:c r="L272" s="1"/>
      <x:c r="M272" s="1"/>
      <x:c r="N272" s="1"/>
    </x:row>
    <x:row r="273" ht="22" customHeight="1">
      <x:c r="A273" s="1" t="n">
        <x:v>257</x:v>
      </x:c>
      <x:c r="B273" s="16" t="n">
        <x:v>-0.33161948882838754</x:v>
      </x:c>
      <x:c r="C273" s="16" t="n">
        <x:f>$B$12+$D$12*B273</x:f>
        <x:v>-0.003891732581829223</x:v>
      </x:c>
      <x:c r="D273" s="12" t="n">
        <x:f>D272*EXP(C273)</x:f>
        <x:v>97.0274178563082</x:v>
      </x:c>
      <x:c r="E273" s="16" t="n">
        <x:f>ABS(C273)</x:f>
        <x:v>0.003891732581829223</x:v>
      </x:c>
      <x:c r="F273" s="16" t="n">
        <x:f>C273^2</x:f>
        <x:v>0.00001514558248847115</x:v>
      </x:c>
      <x:c r="G273" s="1"/>
      <x:c r="H273" s="1"/>
      <x:c r="I273" s="1"/>
      <x:c r="J273" s="1"/>
      <x:c r="K273" s="1"/>
      <x:c r="L273" s="1"/>
      <x:c r="M273" s="1"/>
      <x:c r="N273" s="1"/>
    </x:row>
    <x:row r="274" ht="22" customHeight="1">
      <x:c r="A274" s="1" t="n">
        <x:v>258</x:v>
      </x:c>
      <x:c r="B274" s="16" t="n">
        <x:v>-1.0934862825319738</x:v>
      </x:c>
      <x:c r="C274" s="16" t="n">
        <x:f>$B$12+$D$12*B274</x:f>
        <x:v>-0.013964621577023457</x:v>
      </x:c>
      <x:c r="D274" s="12" t="n">
        <x:f>D273*EXP(C274)</x:f>
        <x:v>95.68188348853874</x:v>
      </x:c>
      <x:c r="E274" s="16" t="n">
        <x:f>ABS(C274)</x:f>
        <x:v>0.013964621577023457</x:v>
      </x:c>
      <x:c r="F274" s="16" t="n">
        <x:f>C274^2</x:f>
        <x:v>0.0001950106557894691</x:v>
      </x:c>
      <x:c r="G274" s="1"/>
      <x:c r="H274" s="1"/>
      <x:c r="I274" s="1"/>
      <x:c r="J274" s="1"/>
      <x:c r="K274" s="1"/>
      <x:c r="L274" s="1"/>
      <x:c r="M274" s="1"/>
      <x:c r="N274" s="1"/>
    </x:row>
    <x:row r="275" ht="22" customHeight="1">
      <x:c r="A275" s="1" t="n">
        <x:v>259</x:v>
      </x:c>
      <x:c r="B275" s="16" t="n">
        <x:v>0.030195334121949233</x:v>
      </x:c>
      <x:c r="C275" s="16" t="n">
        <x:f>$B$12+$D$12*B275</x:f>
        <x:v>0.0008919390239089096</x:v>
      </x:c>
      <x:c r="D275" s="12" t="n">
        <x:f>D274*EXP(C275)</x:f>
        <x:v>95.76726396573261</x:v>
      </x:c>
      <x:c r="E275" s="16" t="n">
        <x:f>ABS(C275)</x:f>
        <x:v>0.0008919390239089096</x:v>
      </x:c>
      <x:c r="F275" s="16" t="n">
        <x:f>C275^2</x:f>
        <x:v>7.955552223715784e-7</x:v>
      </x:c>
      <x:c r="G275" s="1"/>
      <x:c r="H275" s="1"/>
      <x:c r="I275" s="1"/>
      <x:c r="J275" s="1"/>
      <x:c r="K275" s="1"/>
      <x:c r="L275" s="1"/>
      <x:c r="M275" s="1"/>
      <x:c r="N275" s="1"/>
    </x:row>
    <x:row r="276" ht="22" customHeight="1">
      <x:c r="A276" s="1" t="n">
        <x:v>260</x:v>
      </x:c>
      <x:c r="B276" s="16" t="n">
        <x:v>-0.2663882321466891</x:v>
      </x:c>
      <x:c r="C276" s="16" t="n">
        <x:f>$B$12+$D$12*B276</x:f>
        <x:v>-0.0030292888935072315</x:v>
      </x:c>
      <x:c r="D276" s="12" t="n">
        <x:f>D275*EXP(C276)</x:f>
        <x:v>95.47759622179291</x:v>
      </x:c>
      <x:c r="E276" s="16" t="n">
        <x:f>ABS(C276)</x:f>
        <x:v>0.0030292888935072315</x:v>
      </x:c>
      <x:c r="F276" s="16" t="n">
        <x:f>C276^2</x:f>
        <x:v>0.000009176591200326267</x:v>
      </x:c>
      <x:c r="G276" s="1"/>
      <x:c r="H276" s="1"/>
      <x:c r="I276" s="1"/>
      <x:c r="J276" s="1"/>
      <x:c r="K276" s="1"/>
      <x:c r="L276" s="1"/>
      <x:c r="M276" s="1"/>
      <x:c r="N276" s="1"/>
    </x:row>
    <x:row r="277" ht="22" customHeight="1">
      <x:c r="A277" s="1" t="n">
        <x:v>261</x:v>
      </x:c>
      <x:c r="B277" s="16" t="n">
        <x:v>1.4050684954787946</x:v>
      </x:c>
      <x:c r="C277" s="16" t="n">
        <x:f>$B$12+$D$12*B277</x:f>
        <x:v>0.01906958484240796</x:v>
      </x:c>
      <x:c r="D277" s="12" t="n">
        <x:f>D276*EXP(C277)</x:f>
        <x:v>97.31578539134587</x:v>
      </x:c>
      <x:c r="E277" s="16" t="n">
        <x:f>ABS(C277)</x:f>
        <x:v>0.01906958484240796</x:v>
      </x:c>
      <x:c r="F277" s="16" t="n">
        <x:f>C277^2</x:f>
        <x:v>0.0003636490660617954</x:v>
      </x:c>
      <x:c r="G277" s="1"/>
      <x:c r="H277" s="1"/>
      <x:c r="I277" s="1"/>
      <x:c r="J277" s="1"/>
      <x:c r="K277" s="1"/>
      <x:c r="L277" s="1"/>
      <x:c r="M277" s="1"/>
      <x:c r="N277" s="1"/>
    </x:row>
    <x:row r="278" ht="22" customHeight="1">
      <x:c r="A278" s="1" t="n">
        <x:v>262</x:v>
      </x:c>
      <x:c r="B278" s="16" t="n">
        <x:v>-0.9676068466621857</x:v>
      </x:c>
      <x:c r="C278" s="16" t="n">
        <x:f>$B$12+$D$12*B278</x:f>
        <x:v>-0.012300328560484181</x:v>
      </x:c>
      <x:c r="D278" s="12" t="n">
        <x:f>D277*EXP(C278)</x:f>
        <x:v>96.12610101100083</x:v>
      </x:c>
      <x:c r="E278" s="16" t="n">
        <x:f>ABS(C278)</x:f>
        <x:v>0.012300328560484181</x:v>
      </x:c>
      <x:c r="F278" s="16" t="n">
        <x:f>C278^2</x:f>
        <x:v>0.00015129808269586284</x:v>
      </x:c>
      <x:c r="G278" s="1"/>
      <x:c r="H278" s="1"/>
      <x:c r="I278" s="1"/>
      <x:c r="J278" s="1"/>
      <x:c r="K278" s="1"/>
      <x:c r="L278" s="1"/>
      <x:c r="M278" s="1"/>
      <x:c r="N278" s="1"/>
    </x:row>
    <x:row r="279" ht="22" customHeight="1">
      <x:c r="A279" s="1" t="n">
        <x:v>263</x:v>
      </x:c>
      <x:c r="B279" s="16" t="n">
        <x:v>2.0257342926809403</x:v>
      </x:c>
      <x:c r="C279" s="16" t="n">
        <x:f>$B$12+$D$12*B279</x:f>
        <x:v>0.02727560947820975</x:v>
      </x:c>
      <x:c r="D279" s="12" t="n">
        <x:f>D278*EXP(C279)</x:f>
        <x:v>98.78408326203274</x:v>
      </x:c>
      <x:c r="E279" s="16" t="n">
        <x:f>ABS(C279)</x:f>
        <x:v>0.02727560947820975</x:v>
      </x:c>
      <x:c r="F279" s="16" t="n">
        <x:f>C279^2</x:f>
        <x:v>0.0007439588724078055</x:v>
      </x:c>
      <x:c r="G279" s="1"/>
      <x:c r="H279" s="1"/>
      <x:c r="I279" s="1"/>
      <x:c r="J279" s="1"/>
      <x:c r="K279" s="1"/>
      <x:c r="L279" s="1"/>
      <x:c r="M279" s="1"/>
      <x:c r="N279" s="1"/>
    </x:row>
    <x:row r="280" ht="22" customHeight="1">
      <x:c r="A280" s="1" t="n">
        <x:v>264</x:v>
      </x:c>
      <x:c r="B280" s="16" t="n">
        <x:v>1.0839789253500332</x:v>
      </x:c>
      <x:c r="C280" s="16" t="n">
        <x:f>$B$12+$D$12*B280</x:f>
        <x:v>0.01482435506713573</x:v>
      </x:c>
      <x:c r="D280" s="12" t="n">
        <x:f>D279*EXP(C280)</x:f>
        <x:v>100.25940189281282</x:v>
      </x:c>
      <x:c r="E280" s="16" t="n">
        <x:f>ABS(C280)</x:f>
        <x:v>0.01482435506713573</x:v>
      </x:c>
      <x:c r="F280" s="16" t="n">
        <x:f>C280^2</x:f>
        <x:v>0.0002197615031565128</x:v>
      </x:c>
      <x:c r="G280" s="1"/>
      <x:c r="H280" s="1"/>
      <x:c r="I280" s="1"/>
      <x:c r="J280" s="1"/>
      <x:c r="K280" s="1"/>
      <x:c r="L280" s="1"/>
      <x:c r="M280" s="1"/>
      <x:c r="N280" s="1"/>
    </x:row>
    <x:row r="281" ht="22" customHeight="1">
      <x:c r="A281" s="1" t="n">
        <x:v>265</x:v>
      </x:c>
      <x:c r="B281" s="16" t="n">
        <x:v>-0.8998788054213711</x:v>
      </x:c>
      <x:c r="C281" s="16" t="n">
        <x:f>$B$12+$D$12*B281</x:f>
        <x:v>-0.01140487407038327</x:v>
      </x:c>
      <x:c r="D281" s="12" t="n">
        <x:f>D280*EXP(C281)</x:f>
        <x:v>99.12245175012872</x:v>
      </x:c>
      <x:c r="E281" s="16" t="n">
        <x:f>ABS(C281)</x:f>
        <x:v>0.01140487407038327</x:v>
      </x:c>
      <x:c r="F281" s="16" t="n">
        <x:f>C281^2</x:f>
        <x:v>0.00013007115256130064</x:v>
      </x:c>
      <x:c r="G281" s="1"/>
      <x:c r="H281" s="1"/>
      <x:c r="I281" s="1"/>
      <x:c r="J281" s="1"/>
      <x:c r="K281" s="1"/>
      <x:c r="L281" s="1"/>
      <x:c r="M281" s="1"/>
      <x:c r="N281" s="1"/>
    </x:row>
    <x:row r="282" ht="22" customHeight="1">
      <x:c r="A282" s="1" t="n">
        <x:v>266</x:v>
      </x:c>
      <x:c r="B282" s="16" t="n">
        <x:v>-0.07690242607175048</x:v>
      </x:c>
      <x:c r="C282" s="16" t="n">
        <x:f>$B$12+$D$12*B282</x:f>
        <x:v>-0.000524035341925944</x:v>
      </x:c>
      <x:c r="D282" s="12" t="n">
        <x:f>D281*EXP(C282)</x:f>
        <x:v>99.0705216900151</x:v>
      </x:c>
      <x:c r="E282" s="16" t="n">
        <x:f>ABS(C282)</x:f>
        <x:v>0.000524035341925944</x:v>
      </x:c>
      <x:c r="F282" s="16" t="n">
        <x:f>C282^2</x:f>
        <x:v>2.74613039587441e-7</x:v>
      </x:c>
      <x:c r="G282" s="1"/>
      <x:c r="H282" s="1"/>
      <x:c r="I282" s="1"/>
      <x:c r="J282" s="1"/>
      <x:c r="K282" s="1"/>
      <x:c r="L282" s="1"/>
      <x:c r="M282" s="1"/>
      <x:c r="N282" s="1"/>
    </x:row>
    <x:row r="283" ht="22" customHeight="1">
      <x:c r="A283" s="1" t="n">
        <x:v>267</x:v>
      </x:c>
      <x:c r="B283" s="16" t="n">
        <x:v>1.295066595090519</x:v>
      </x:c>
      <x:c r="C283" s="16" t="n">
        <x:f>$B$12+$D$12*B283</x:f>
        <x:v>0.01761521389327507</x:v>
      </x:c>
      <x:c r="D283" s="12" t="n">
        <x:f>D282*EXP(C283)</x:f>
        <x:v>100.83113135242192</x:v>
      </x:c>
      <x:c r="E283" s="16" t="n">
        <x:f>ABS(C283)</x:f>
        <x:v>0.01761521389327507</x:v>
      </x:c>
      <x:c r="F283" s="16" t="n">
        <x:f>C283^2</x:f>
        <x:v>0.00031029576050583104</x:v>
      </x:c>
      <x:c r="G283" s="1"/>
      <x:c r="H283" s="1"/>
      <x:c r="I283" s="1"/>
      <x:c r="J283" s="1"/>
      <x:c r="K283" s="1"/>
      <x:c r="L283" s="1"/>
      <x:c r="M283" s="1"/>
      <x:c r="N283" s="1"/>
    </x:row>
    <x:row r="284" ht="22" customHeight="1">
      <x:c r="A284" s="1" t="n">
        <x:v>268</x:v>
      </x:c>
      <x:c r="B284" s="16" t="n">
        <x:v>-0.9960381074283415</x:v>
      </x:c>
      <x:c r="C284" s="16" t="n">
        <x:f>$B$12+$D$12*B284</x:f>
        <x:v>-0.012676227518225515</x:v>
      </x:c>
      <x:c r="D284" s="12" t="n">
        <x:f>D283*EXP(C284)</x:f>
        <x:v>99.56103998126511</x:v>
      </x:c>
      <x:c r="E284" s="16" t="n">
        <x:f>ABS(C284)</x:f>
        <x:v>0.012676227518225515</x:v>
      </x:c>
      <x:c r="F284" s="16" t="n">
        <x:f>C284^2</x:f>
        <x:v>0.00016068674409381778</x:v>
      </x:c>
      <x:c r="G284" s="1"/>
      <x:c r="H284" s="1"/>
      <x:c r="I284" s="1"/>
      <x:c r="J284" s="1"/>
      <x:c r="K284" s="1"/>
      <x:c r="L284" s="1"/>
      <x:c r="M284" s="1"/>
      <x:c r="N284" s="1"/>
    </x:row>
    <x:row r="285" ht="22" customHeight="1">
      <x:c r="A285" s="1" t="n">
        <x:v>269</x:v>
      </x:c>
      <x:c r="B285" s="16" t="n">
        <x:v>0.919168474315882</x:v>
      </x:c>
      <x:c r="C285" s="16" t="n">
        <x:f>$B$12+$D$12*B285</x:f>
        <x:v>0.012645342420522353</x:v>
      </x:c>
      <x:c r="D285" s="12" t="n">
        <x:f>D284*EXP(C285)</x:f>
        <x:v>100.82801722116896</x:v>
      </x:c>
      <x:c r="E285" s="16" t="n">
        <x:f>ABS(C285)</x:f>
        <x:v>0.012645342420522353</x:v>
      </x:c>
      <x:c r="F285" s="16" t="n">
        <x:f>C285^2</x:f>
        <x:v>0.00015990468493226213</x:v>
      </x:c>
      <x:c r="G285" s="1"/>
      <x:c r="H285" s="1"/>
      <x:c r="I285" s="1"/>
      <x:c r="J285" s="1"/>
      <x:c r="K285" s="1"/>
      <x:c r="L285" s="1"/>
      <x:c r="M285" s="1"/>
      <x:c r="N285" s="1"/>
    </x:row>
    <x:row r="286" ht="22" customHeight="1">
      <x:c r="A286" s="1" t="n">
        <x:v>270</x:v>
      </x:c>
      <x:c r="B286" s="16" t="n">
        <x:v>0.5033031629116426</x:v>
      </x:c>
      <x:c r="C286" s="16" t="n">
        <x:f>$B$12+$D$12*B286</x:f>
        <x:v>0.007147051704420407</x:v>
      </x:c>
      <x:c r="D286" s="12" t="n">
        <x:f>D285*EXP(C286)</x:f>
        <x:v>101.5512215845335</x:v>
      </x:c>
      <x:c r="E286" s="16" t="n">
        <x:f>ABS(C286)</x:f>
        <x:v>0.007147051704420407</x:v>
      </x:c>
      <x:c r="F286" s="16" t="n">
        <x:f>C286^2</x:f>
        <x:v>0.000051080348065658644</x:v>
      </x:c>
      <x:c r="G286" s="1"/>
      <x:c r="H286" s="1"/>
      <x:c r="I286" s="1"/>
      <x:c r="J286" s="1"/>
      <x:c r="K286" s="1"/>
      <x:c r="L286" s="1"/>
      <x:c r="M286" s="1"/>
      <x:c r="N286" s="1"/>
    </x:row>
    <x:row r="287" ht="22" customHeight="1">
      <x:c r="A287" s="1" t="n">
        <x:v>271</x:v>
      </x:c>
      <x:c r="B287" s="16" t="n">
        <x:v>-1.5344277813714333</x:v>
      </x:c>
      <x:c r="C287" s="16" t="n">
        <x:f>$B$12+$D$12*B287</x:f>
        <x:v>-0.019794452733718396</x:v>
      </x:c>
      <x:c r="D287" s="12" t="n">
        <x:f>D286*EXP(C287)</x:f>
        <x:v>99.56083502424546</x:v>
      </x:c>
      <x:c r="E287" s="16" t="n">
        <x:f>ABS(C287)</x:f>
        <x:v>0.019794452733718396</x:v>
      </x:c>
      <x:c r="F287" s="16" t="n">
        <x:f>C287^2</x:f>
        <x:v>0.00039182035902741167</x:v>
      </x:c>
      <x:c r="G287" s="1"/>
      <x:c r="H287" s="1"/>
      <x:c r="I287" s="1"/>
      <x:c r="J287" s="1"/>
      <x:c r="K287" s="1"/>
      <x:c r="L287" s="1"/>
      <x:c r="M287" s="1"/>
      <x:c r="N287" s="1"/>
    </x:row>
    <x:row r="288" ht="22" customHeight="1">
      <x:c r="A288" s="1" t="n">
        <x:v>272</x:v>
      </x:c>
      <x:c r="B288" s="16" t="n">
        <x:v>1.2176269870698855</x:v>
      </x:c>
      <x:c r="C288" s="16" t="n">
        <x:f>$B$12+$D$12*B288</x:f>
        <x:v>0.01659135961603159</x:v>
      </x:c>
      <x:c r="D288" s="12" t="n">
        <x:f>D287*EXP(C288)</x:f>
        <x:v>101.22646395770555</x:v>
      </x:c>
      <x:c r="E288" s="16" t="n">
        <x:f>ABS(C288)</x:f>
        <x:v>0.01659135961603159</x:v>
      </x:c>
      <x:c r="F288" s="16" t="n">
        <x:f>C288^2</x:f>
        <x:v>0.0002752732139084839</x:v>
      </x:c>
      <x:c r="G288" s="1"/>
      <x:c r="H288" s="1"/>
      <x:c r="I288" s="1"/>
      <x:c r="J288" s="1"/>
      <x:c r="K288" s="1"/>
      <x:c r="L288" s="1"/>
      <x:c r="M288" s="1"/>
      <x:c r="N288" s="1"/>
    </x:row>
    <x:row r="289" ht="22" customHeight="1">
      <x:c r="A289" s="1" t="n">
        <x:v>273</x:v>
      </x:c>
      <x:c r="B289" s="16" t="n">
        <x:v>0.7045084603216836</x:v>
      </x:c>
      <x:c r="C289" s="16" t="n">
        <x:f>$B$12+$D$12*B289</x:f>
        <x:v>0.00980725246760645</x:v>
      </x:c>
      <x:c r="D289" s="12" t="n">
        <x:f>D288*EXP(C289)</x:f>
        <x:v>102.22410149148934</x:v>
      </x:c>
      <x:c r="E289" s="16" t="n">
        <x:f>ABS(C289)</x:f>
        <x:v>0.00980725246760645</x:v>
      </x:c>
      <x:c r="F289" s="16" t="n">
        <x:f>C289^2</x:f>
        <x:v>0.00009618220096337282</x:v>
      </x:c>
      <x:c r="G289" s="1"/>
      <x:c r="H289" s="1"/>
      <x:c r="I289" s="1"/>
      <x:c r="J289" s="1"/>
      <x:c r="K289" s="1"/>
      <x:c r="L289" s="1"/>
      <x:c r="M289" s="1"/>
      <x:c r="N289" s="1"/>
    </x:row>
    <x:row r="290" ht="22" customHeight="1">
      <x:c r="A290" s="1" t="n">
        <x:v>274</x:v>
      </x:c>
      <x:c r="B290" s="16" t="n">
        <x:v>0.1416124508329791</x:v>
      </x:c>
      <x:c r="C290" s="16" t="n">
        <x:f>$B$12+$D$12*B290</x:f>
        <x:v>0.002365021008935607</x:v>
      </x:c>
      <x:c r="D290" s="12" t="n">
        <x:f>D289*EXP(C290)</x:f>
        <x:v>102.46614975092446</x:v>
      </x:c>
      <x:c r="E290" s="16" t="n">
        <x:f>ABS(C290)</x:f>
        <x:v>0.002365021008935607</x:v>
      </x:c>
      <x:c r="F290" s="16" t="n">
        <x:f>C290^2</x:f>
        <x:v>0.0000055933243727067975</x:v>
      </x:c>
      <x:c r="G290" s="1"/>
      <x:c r="H290" s="1"/>
      <x:c r="I290" s="1"/>
      <x:c r="J290" s="1"/>
      <x:c r="K290" s="1"/>
      <x:c r="L290" s="1"/>
      <x:c r="M290" s="1"/>
      <x:c r="N290" s="1"/>
    </x:row>
    <x:row r="291" ht="22" customHeight="1">
      <x:c r="A291" s="1" t="n">
        <x:v>275</x:v>
      </x:c>
      <x:c r="B291" s="16" t="n">
        <x:v>-0.1839515500591818</x:v>
      </x:c>
      <x:c r="C291" s="16" t="n">
        <x:f>$B$12+$D$12*B291</x:f>
        <x:v>-0.0019393666726384667</x:v>
      </x:c>
      <x:c r="D291" s="12" t="n">
        <x:f>D290*EXP(C291)</x:f>
        <x:v>102.2676228854412</x:v>
      </x:c>
      <x:c r="E291" s="16" t="n">
        <x:f>ABS(C291)</x:f>
        <x:v>0.0019393666726384667</x:v>
      </x:c>
      <x:c r="F291" s="16" t="n">
        <x:f>C291^2</x:f>
        <x:v>0.000003761143090940798</x:v>
      </x:c>
      <x:c r="G291" s="1"/>
      <x:c r="H291" s="1"/>
      <x:c r="I291" s="1"/>
      <x:c r="J291" s="1"/>
      <x:c r="K291" s="1"/>
      <x:c r="L291" s="1"/>
      <x:c r="M291" s="1"/>
      <x:c r="N291" s="1"/>
    </x:row>
    <x:row r="292" ht="22" customHeight="1">
      <x:c r="A292" s="1" t="n">
        <x:v>276</x:v>
      </x:c>
      <x:c r="B292" s="16" t="n">
        <x:v>-0.022695651267441917</x:v>
      </x:c>
      <x:c r="C292" s="16" t="n">
        <x:f>$B$12+$D$12*B292</x:f>
        <x:v>0.00019265008117405158</x:v>
      </x:c>
      <x:c r="D292" s="12" t="n">
        <x:f>D291*EXP(C292)</x:f>
        <x:v>102.28732664919646</x:v>
      </x:c>
      <x:c r="E292" s="16" t="n">
        <x:f>ABS(C292)</x:f>
        <x:v>0.00019265008117405158</x:v>
      </x:c>
      <x:c r="F292" s="16" t="n">
        <x:f>C292^2</x:f>
        <x:v>3.711405377636866e-8</x:v>
      </x:c>
      <x:c r="G292" s="1"/>
      <x:c r="H292" s="1"/>
      <x:c r="I292" s="1"/>
      <x:c r="J292" s="1"/>
      <x:c r="K292" s="1"/>
      <x:c r="L292" s="1"/>
      <x:c r="M292" s="1"/>
      <x:c r="N292" s="1"/>
    </x:row>
    <x:row r="293" ht="22" customHeight="1">
      <x:c r="A293" s="1" t="n">
        <x:v>277</x:v>
      </x:c>
      <x:c r="B293" s="16" t="n">
        <x:v>2.1420784741366394</x:v>
      </x:c>
      <x:c r="C293" s="16" t="n">
        <x:f>$B$12+$D$12*B293</x:f>
        <x:v>0.028813833790813065</x:v>
      </x:c>
      <x:c r="D293" s="12" t="n">
        <x:f>D292*EXP(C293)</x:f>
        <x:v>105.27748882032859</x:v>
      </x:c>
      <x:c r="E293" s="16" t="n">
        <x:f>ABS(C293)</x:f>
        <x:v>0.028813833790813065</x:v>
      </x:c>
      <x:c r="F293" s="16" t="n">
        <x:f>C293^2</x:f>
        <x:v>0.0008302370177246008</x:v>
      </x:c>
      <x:c r="G293" s="1"/>
      <x:c r="H293" s="1"/>
      <x:c r="I293" s="1"/>
      <x:c r="J293" s="1"/>
      <x:c r="K293" s="1"/>
      <x:c r="L293" s="1"/>
      <x:c r="M293" s="1"/>
      <x:c r="N293" s="1"/>
    </x:row>
    <x:row r="294" ht="22" customHeight="1">
      <x:c r="A294" s="1" t="n">
        <x:v>278</x:v>
      </x:c>
      <x:c r="B294" s="16" t="n">
        <x:v>-0.6601384820806734</x:v>
      </x:c>
      <x:c r="C294" s="16" t="n">
        <x:f>$B$12+$D$12*B294</x:f>
        <x:v>-0.008235189179742978</x:v>
      </x:c>
      <x:c r="D294" s="12" t="n">
        <x:f>D293*EXP(C294)</x:f>
        <x:v>104.41406887645142</x:v>
      </x:c>
      <x:c r="E294" s="16" t="n">
        <x:f>ABS(C294)</x:f>
        <x:v>0.008235189179742978</x:v>
      </x:c>
      <x:c r="F294" s="16" t="n">
        <x:f>C294^2</x:f>
        <x:v>0.00006781834082615582</x:v>
      </x:c>
      <x:c r="G294" s="1"/>
      <x:c r="H294" s="1"/>
      <x:c r="I294" s="1"/>
      <x:c r="J294" s="1"/>
      <x:c r="K294" s="1"/>
      <x:c r="L294" s="1"/>
      <x:c r="M294" s="1"/>
      <x:c r="N294" s="1"/>
    </x:row>
    <x:row r="295" ht="22" customHeight="1">
      <x:c r="A295" s="1" t="n">
        <x:v>279</x:v>
      </x:c>
      <x:c r="B295" s="16" t="n">
        <x:v>0.20089571751767016</x:v>
      </x:c>
      <x:c r="C295" s="16" t="n">
        <x:f>$B$12+$D$12*B295</x:f>
        <x:v>0.003148824384437125</x:v>
      </x:c>
      <x:c r="D295" s="12" t="n">
        <x:f>D294*EXP(C295)</x:f>
        <x:v>104.74336862405895</x:v>
      </x:c>
      <x:c r="E295" s="16" t="n">
        <x:f>ABS(C295)</x:f>
        <x:v>0.003148824384437125</x:v>
      </x:c>
      <x:c r="F295" s="16" t="n">
        <x:f>C295^2</x:f>
        <x:v>0.00000991509500402584</x:v>
      </x:c>
      <x:c r="G295" s="1"/>
      <x:c r="H295" s="1"/>
      <x:c r="I295" s="1"/>
      <x:c r="J295" s="1"/>
      <x:c r="K295" s="1"/>
      <x:c r="L295" s="1"/>
      <x:c r="M295" s="1"/>
      <x:c r="N295" s="1"/>
    </x:row>
    <x:row r="296" ht="22" customHeight="1">
      <x:c r="A296" s="1" t="n">
        <x:v>280</x:v>
      </x:c>
      <x:c r="B296" s="16" t="n">
        <x:v>0.9324279562895044</x:v>
      </x:c>
      <x:c r="C296" s="16" t="n">
        <x:f>$B$12+$D$12*B296</x:f>
        <x:v>0.012820650349884662</x:v>
      </x:c>
      <x:c r="D296" s="12" t="n">
        <x:f>D295*EXP(C296)</x:f>
        <x:v>106.09489192113735</x:v>
      </x:c>
      <x:c r="E296" s="16" t="n">
        <x:f>ABS(C296)</x:f>
        <x:v>0.012820650349884662</x:v>
      </x:c>
      <x:c r="F296" s="16" t="n">
        <x:f>C296^2</x:f>
        <x:v>0.00016436907539399772</x:v>
      </x:c>
      <x:c r="G296" s="1"/>
      <x:c r="H296" s="1"/>
      <x:c r="I296" s="1"/>
      <x:c r="J296" s="1"/>
      <x:c r="K296" s="1"/>
      <x:c r="L296" s="1"/>
      <x:c r="M296" s="1"/>
      <x:c r="N296" s="1"/>
    </x:row>
    <x:row r="297" ht="22" customHeight="1">
      <x:c r="A297" s="1" t="n">
        <x:v>281</x:v>
      </x:c>
      <x:c r="B297" s="16" t="n">
        <x:v>-1.722854126930163</x:v>
      </x:c>
      <x:c r="C297" s="16" t="n">
        <x:f>$B$12+$D$12*B297</x:f>
        <x:v>-0.02228569881278249</x:v>
      </x:c>
      <x:c r="D297" s="12" t="n">
        <x:f>D296*EXP(C297)</x:f>
        <x:v>103.7566446255686</x:v>
      </x:c>
      <x:c r="E297" s="16" t="n">
        <x:f>ABS(C297)</x:f>
        <x:v>0.02228569881278249</x:v>
      </x:c>
      <x:c r="F297" s="16" t="n">
        <x:f>C297^2</x:f>
        <x:v>0.0004966523715740549</x:v>
      </x:c>
      <x:c r="G297" s="1"/>
      <x:c r="H297" s="1"/>
      <x:c r="I297" s="1"/>
      <x:c r="J297" s="1"/>
      <x:c r="K297" s="1"/>
      <x:c r="L297" s="1"/>
      <x:c r="M297" s="1"/>
      <x:c r="N297" s="1"/>
    </x:row>
    <x:row r="298" ht="22" customHeight="1">
      <x:c r="A298" s="1" t="n">
        <x:v>282</x:v>
      </x:c>
      <x:c r="B298" s="16" t="n">
        <x:v>-0.457972271455654</x:v>
      </x:c>
      <x:c r="C298" s="16" t="n">
        <x:f>$B$12+$D$12*B298</x:f>
        <x:v>-0.0055622838700030135</x:v>
      </x:c>
      <x:c r="D298" s="12" t="n">
        <x:f>D297*EXP(C298)</x:f>
        <x:v>103.18112280646622</x:v>
      </x:c>
      <x:c r="E298" s="16" t="n">
        <x:f>ABS(C298)</x:f>
        <x:v>0.0055622838700030135</x:v>
      </x:c>
      <x:c r="F298" s="16" t="n">
        <x:f>C298^2</x:f>
        <x:v>0.0000309390018504957</x:v>
      </x:c>
      <x:c r="G298" s="1"/>
      <x:c r="H298" s="1"/>
      <x:c r="I298" s="1"/>
      <x:c r="J298" s="1"/>
      <x:c r="K298" s="1"/>
      <x:c r="L298" s="1"/>
      <x:c r="M298" s="1"/>
      <x:c r="N298" s="1"/>
    </x:row>
    <x:row r="299" ht="22" customHeight="1">
      <x:c r="A299" s="1" t="n">
        <x:v>283</x:v>
      </x:c>
      <x:c r="B299" s="16" t="n">
        <x:v>-0.031867391970617574</x:v>
      </x:c>
      <x:c r="C299" s="16" t="n">
        <x:f>$B$12+$D$12*B299</x:f>
        <x:v>0.00007138751039486495</x:v>
      </x:c>
      <x:c r="D299" s="12" t="n">
        <x:f>D298*EXP(C299)</x:f>
        <x:v>103.18848891286399</x:v>
      </x:c>
      <x:c r="E299" s="16" t="n">
        <x:f>ABS(C299)</x:f>
        <x:v>0.00007138751039486495</x:v>
      </x:c>
      <x:c r="F299" s="16" t="n">
        <x:f>C299^2</x:f>
        <x:v>5.096176640376951e-9</x:v>
      </x:c>
      <x:c r="G299" s="1"/>
      <x:c r="H299" s="1"/>
      <x:c r="I299" s="1"/>
      <x:c r="J299" s="1"/>
      <x:c r="K299" s="1"/>
      <x:c r="L299" s="1"/>
      <x:c r="M299" s="1"/>
      <x:c r="N299" s="1"/>
    </x:row>
    <x:row r="300" ht="22" customHeight="1">
      <x:c r="A300" s="1" t="n">
        <x:v>284</x:v>
      </x:c>
      <x:c r="B300" s="16" t="n">
        <x:v>0.4572781583612751</x:v>
      </x:c>
      <x:c r="C300" s="16" t="n">
        <x:f>$B$12+$D$12*B300</x:f>
        <x:v>0.006538540130388566</x:v>
      </x:c>
      <x:c r="D300" s="12" t="n">
        <x:f>D299*EXP(C300)</x:f>
        <x:v>103.86540158731714</x:v>
      </x:c>
      <x:c r="E300" s="16" t="n">
        <x:f>ABS(C300)</x:f>
        <x:v>0.006538540130388566</x:v>
      </x:c>
      <x:c r="F300" s="16" t="n">
        <x:f>C300^2</x:f>
        <x:v>0.00004275250703670173</x:v>
      </x:c>
      <x:c r="G300" s="1"/>
      <x:c r="H300" s="1"/>
      <x:c r="I300" s="1"/>
      <x:c r="J300" s="1"/>
      <x:c r="K300" s="1"/>
      <x:c r="L300" s="1"/>
      <x:c r="M300" s="1"/>
      <x:c r="N300" s="1"/>
    </x:row>
    <x:row r="301" ht="22" customHeight="1">
      <x:c r="A301" s="1" t="n">
        <x:v>285</x:v>
      </x:c>
      <x:c r="B301" s="16" t="n">
        <x:v>-2.036975971097631</x:v>
      </x:c>
      <x:c r="C301" s="16" t="n">
        <x:f>$B$12+$D$12*B301</x:f>
        <x:v>-0.026438806013955044</x:v>
      </x:c>
      <x:c r="D301" s="12" t="n">
        <x:f>D300*EXP(C301)</x:f>
        <x:v>101.15530806511671</x:v>
      </x:c>
      <x:c r="E301" s="16" t="n">
        <x:f>ABS(C301)</x:f>
        <x:v>0.026438806013955044</x:v>
      </x:c>
      <x:c r="F301" s="16" t="n">
        <x:f>C301^2</x:f>
        <x:v>0.0006990104634435454</x:v>
      </x:c>
      <x:c r="G301" s="1"/>
      <x:c r="H301" s="1"/>
      <x:c r="I301" s="1"/>
      <x:c r="J301" s="1"/>
      <x:c r="K301" s="1"/>
      <x:c r="L301" s="1"/>
      <x:c r="M301" s="1"/>
      <x:c r="N301" s="1"/>
    </x:row>
    <x:row r="302" ht="22" customHeight="1">
      <x:c r="A302" s="1" t="n">
        <x:v>286</x:v>
      </x:c>
      <x:c r="B302" s="16" t="n">
        <x:v>-0.20148504595609634</x:v>
      </x:c>
      <x:c r="C302" s="16" t="n">
        <x:f>$B$12+$D$12*B302</x:f>
        <x:v>-0.0021711827319902113</x:v>
      </x:c>
      <x:c r="D302" s="12" t="n">
        <x:f>D301*EXP(C302)</x:f>
        <x:v>100.9359196593394</x:v>
      </x:c>
      <x:c r="E302" s="16" t="n">
        <x:f>ABS(C302)</x:f>
        <x:v>0.0021711827319902113</x:v>
      </x:c>
      <x:c r="F302" s="16" t="n">
        <x:f>C302^2</x:f>
        <x:v>0.000004714034455692478</x:v>
      </x:c>
      <x:c r="G302" s="1"/>
      <x:c r="H302" s="1"/>
      <x:c r="I302" s="1"/>
      <x:c r="J302" s="1"/>
      <x:c r="K302" s="1"/>
      <x:c r="L302" s="1"/>
      <x:c r="M302" s="1"/>
      <x:c r="N302" s="1"/>
    </x:row>
    <x:row r="303" ht="22" customHeight="1">
      <x:c r="A303" s="1" t="n">
        <x:v>287</x:v>
      </x:c>
      <x:c r="B303" s="16" t="n">
        <x:v>0.8871515246209165</x:v>
      </x:c>
      <x:c r="C303" s="16" t="n">
        <x:f>$B$12+$D$12*B303</x:f>
        <x:v>0.012222035901709068</x:v>
      </x:c>
      <x:c r="D303" s="12" t="n">
        <x:f>D302*EXP(C303)</x:f>
        <x:v>102.17713171152685</x:v>
      </x:c>
      <x:c r="E303" s="16" t="n">
        <x:f>ABS(C303)</x:f>
        <x:v>0.012222035901709068</x:v>
      </x:c>
      <x:c r="F303" s="16" t="n">
        <x:f>C303^2</x:f>
        <x:v>0.00014937816158266538</x:v>
      </x:c>
      <x:c r="G303" s="1"/>
      <x:c r="H303" s="1"/>
      <x:c r="I303" s="1"/>
      <x:c r="J303" s="1"/>
      <x:c r="K303" s="1"/>
      <x:c r="L303" s="1"/>
      <x:c r="M303" s="1"/>
      <x:c r="N303" s="1"/>
    </x:row>
    <x:row r="304" ht="22" customHeight="1">
      <x:c r="A304" s="1" t="n">
        <x:v>288</x:v>
      </x:c>
      <x:c r="B304" s="16" t="n">
        <x:v>-1.4036822678173264</x:v>
      </x:c>
      <x:c r="C304" s="16" t="n">
        <x:f>$B$12+$D$12*B304</x:f>
        <x:v>-0.01806582371938893</x:v>
      </x:c>
      <x:c r="D304" s="12" t="n">
        <x:f>D303*EXP(C304)</x:f>
        <x:v>100.34779168292593</x:v>
      </x:c>
      <x:c r="E304" s="16" t="n">
        <x:f>ABS(C304)</x:f>
        <x:v>0.01806582371938893</x:v>
      </x:c>
      <x:c r="F304" s="16" t="n">
        <x:f>C304^2</x:f>
        <x:v>0.0003263739866600356</x:v>
      </x:c>
      <x:c r="G304" s="1"/>
      <x:c r="H304" s="1"/>
      <x:c r="I304" s="1"/>
      <x:c r="J304" s="1"/>
      <x:c r="K304" s="1"/>
      <x:c r="L304" s="1"/>
      <x:c r="M304" s="1"/>
      <x:c r="N304" s="1"/>
    </x:row>
    <x:row r="305" ht="22" customHeight="1">
      <x:c r="A305" s="1" t="n">
        <x:v>289</x:v>
      </x:c>
      <x:c r="B305" s="16" t="n">
        <x:v>1.2996978561180335</x:v>
      </x:c>
      <x:c r="C305" s="16" t="n">
        <x:f>$B$12+$D$12*B305</x:f>
        <x:v>0.01767644530357338</x:v>
      </x:c>
      <x:c r="D305" s="12" t="n">
        <x:f>D304*EXP(C305)</x:f>
        <x:v>102.13735388666426</x:v>
      </x:c>
      <x:c r="E305" s="16" t="n">
        <x:f>ABS(C305)</x:f>
        <x:v>0.01767644530357338</x:v>
      </x:c>
      <x:c r="F305" s="16" t="n">
        <x:f>C305^2</x:f>
        <x:v>0.0003124567185702214</x:v>
      </x:c>
      <x:c r="G305" s="1"/>
      <x:c r="H305" s="1"/>
      <x:c r="I305" s="1"/>
      <x:c r="J305" s="1"/>
      <x:c r="K305" s="1"/>
      <x:c r="L305" s="1"/>
      <x:c r="M305" s="1"/>
      <x:c r="N305" s="1"/>
    </x:row>
    <x:row r="306" ht="22" customHeight="1">
      <x:c r="A306" s="1" t="n">
        <x:v>290</x:v>
      </x:c>
      <x:c r="B306" s="16" t="n">
        <x:v>0.6381608335989516</x:v>
      </x:c>
      <x:c r="C306" s="16" t="n">
        <x:f>$B$12+$D$12*B306</x:f>
        <x:v>0.00893004888740595</x:v>
      </x:c>
      <x:c r="D306" s="12" t="n">
        <x:f>D305*EXP(C306)</x:f>
        <x:v>103.05353011091478</x:v>
      </x:c>
      <x:c r="E306" s="16" t="n">
        <x:f>ABS(C306)</x:f>
        <x:v>0.00893004888740595</x:v>
      </x:c>
      <x:c r="F306" s="16" t="n">
        <x:f>C306^2</x:f>
        <x:v>0.00007974577313146025</x:v>
      </x:c>
      <x:c r="G306" s="1"/>
      <x:c r="H306" s="1"/>
      <x:c r="I306" s="1"/>
      <x:c r="J306" s="1"/>
      <x:c r="K306" s="1"/>
      <x:c r="L306" s="1"/>
      <x:c r="M306" s="1"/>
      <x:c r="N306" s="1"/>
    </x:row>
    <x:row r="307" ht="22" customHeight="1">
      <x:c r="A307" s="1" t="n">
        <x:v>291</x:v>
      </x:c>
      <x:c r="B307" s="16" t="n">
        <x:v>-0.8134419855210884</x:v>
      </x:c>
      <x:c r="C307" s="16" t="n">
        <x:f>$B$12+$D$12*B307</x:f>
        <x:v>-0.010262064724774898</x:v>
      </x:c>
      <x:c r="D307" s="12" t="n">
        <x:f>D306*EXP(C307)</x:f>
        <x:v>102.0013958829095</x:v>
      </x:c>
      <x:c r="E307" s="16" t="n">
        <x:f>ABS(C307)</x:f>
        <x:v>0.010262064724774898</x:v>
      </x:c>
      <x:c r="F307" s="16" t="n">
        <x:f>C307^2</x:f>
        <x:v>0.00010530997241546929</x:v>
      </x:c>
      <x:c r="G307" s="1"/>
      <x:c r="H307" s="1"/>
      <x:c r="I307" s="1"/>
      <x:c r="J307" s="1"/>
      <x:c r="K307" s="1"/>
      <x:c r="L307" s="1"/>
      <x:c r="M307" s="1"/>
      <x:c r="N307" s="1"/>
    </x:row>
    <x:row r="308" ht="22" customHeight="1">
      <x:c r="A308" s="1" t="n">
        <x:v>292</x:v>
      </x:c>
      <x:c r="B308" s="16" t="n">
        <x:v>0.6377257723743252</x:v>
      </x:c>
      <x:c r="C308" s="16" t="n">
        <x:f>$B$12+$D$12*B308</x:f>
        <x:v>0.008924296801269643</x:v>
      </x:c>
      <x:c r="D308" s="12" t="n">
        <x:f>D307*EXP(C308)</x:f>
        <x:v>102.91576057630684</x:v>
      </x:c>
      <x:c r="E308" s="16" t="n">
        <x:f>ABS(C308)</x:f>
        <x:v>0.008924296801269643</x:v>
      </x:c>
      <x:c r="F308" s="16" t="n">
        <x:f>C308^2</x:f>
        <x:v>0.00007964307339715158</x:v>
      </x:c>
      <x:c r="G308" s="1"/>
      <x:c r="H308" s="1"/>
      <x:c r="I308" s="1"/>
      <x:c r="J308" s="1"/>
      <x:c r="K308" s="1"/>
      <x:c r="L308" s="1"/>
      <x:c r="M308" s="1"/>
      <x:c r="N308" s="1"/>
    </x:row>
    <x:row r="309" ht="22" customHeight="1">
      <x:c r="A309" s="1" t="n">
        <x:v>293</x:v>
      </x:c>
      <x:c r="B309" s="16" t="n">
        <x:v>0.5570709350028451</x:v>
      </x:c>
      <x:c r="C309" s="16" t="n">
        <x:f>$B$12+$D$12*B309</x:f>
        <x:v>0.00785793292968129</x:v>
      </x:c>
      <x:c r="D309" s="12" t="n">
        <x:f>D308*EXP(C309)</x:f>
        <x:v>103.72765143462281</x:v>
      </x:c>
      <x:c r="E309" s="16" t="n">
        <x:f>ABS(C309)</x:f>
        <x:v>0.00785793292968129</x:v>
      </x:c>
      <x:c r="F309" s="16" t="n">
        <x:f>C309^2</x:f>
        <x:v>0.00006174710992736958</x:v>
      </x:c>
      <x:c r="G309" s="1"/>
      <x:c r="H309" s="1"/>
      <x:c r="I309" s="1"/>
      <x:c r="J309" s="1"/>
      <x:c r="K309" s="1"/>
      <x:c r="L309" s="1"/>
      <x:c r="M309" s="1"/>
      <x:c r="N309" s="1"/>
    </x:row>
    <x:row r="310" ht="22" customHeight="1">
      <x:c r="A310" s="1" t="n">
        <x:v>294</x:v>
      </x:c>
      <x:c r="B310" s="16" t="n">
        <x:v>1.2469322302752075</x:v>
      </x:c>
      <x:c r="C310" s="16" t="n">
        <x:f>$B$12+$D$12*B310</x:f>
        <x:v>0.016978813780229255</x:v>
      </x:c>
      <x:c r="D310" s="12" t="n">
        <x:f>D309*EXP(C310)</x:f>
        <x:v>105.50386020086258</x:v>
      </x:c>
      <x:c r="E310" s="16" t="n">
        <x:f>ABS(C310)</x:f>
        <x:v>0.016978813780229255</x:v>
      </x:c>
      <x:c r="F310" s="16" t="n">
        <x:f>C310^2</x:f>
        <x:v>0.0002882801173837028</x:v>
      </x:c>
      <x:c r="G310" s="1"/>
      <x:c r="H310" s="1"/>
      <x:c r="I310" s="1"/>
      <x:c r="J310" s="1"/>
      <x:c r="K310" s="1"/>
      <x:c r="L310" s="1"/>
      <x:c r="M310" s="1"/>
      <x:c r="N310" s="1"/>
    </x:row>
    <x:row r="311" ht="22" customHeight="1">
      <x:c r="A311" s="1" t="n">
        <x:v>295</x:v>
      </x:c>
      <x:c r="B311" s="16" t="n">
        <x:v>1.0242497037165363</x:v>
      </x:c>
      <x:c r="C311" s="16" t="n">
        <x:f>$B$12+$D$12*B311</x:f>
        <x:v>0.014034655576022794</x:v>
      </x:c>
      <x:c r="D311" s="12" t="n">
        <x:f>D310*EXP(C311)</x:f>
        <x:v>106.99500995120805</x:v>
      </x:c>
      <x:c r="E311" s="16" t="n">
        <x:f>ABS(C311)</x:f>
        <x:v>0.014034655576022794</x:v>
      </x:c>
      <x:c r="F311" s="16" t="n">
        <x:f>C311^2</x:f>
        <x:v>0.0001969715571375877</x:v>
      </x:c>
      <x:c r="G311" s="1"/>
      <x:c r="H311" s="1"/>
      <x:c r="I311" s="1"/>
      <x:c r="J311" s="1"/>
      <x:c r="K311" s="1"/>
      <x:c r="L311" s="1"/>
      <x:c r="M311" s="1"/>
      <x:c r="N311" s="1"/>
    </x:row>
    <x:row r="312" ht="22" customHeight="1">
      <x:c r="A312" s="1" t="n">
        <x:v>296</x:v>
      </x:c>
      <x:c r="B312" s="16" t="n">
        <x:v>-2.205309983060223</x:v>
      </x:c>
      <x:c r="C312" s="16" t="n">
        <x:f>$B$12+$D$12*B312</x:f>
        <x:v>-0.028664404807114397</x:v>
      </x:c>
      <x:c r="D312" s="12" t="n">
        <x:f>D311*EXP(C312)</x:f>
        <x:v>103.97160079759519</x:v>
      </x:c>
      <x:c r="E312" s="16" t="n">
        <x:f>ABS(C312)</x:f>
        <x:v>0.028664404807114397</x:v>
      </x:c>
      <x:c r="F312" s="16" t="n">
        <x:f>C312^2</x:f>
        <x:v>0.000821648102946123</x:v>
      </x:c>
      <x:c r="G312" s="1"/>
      <x:c r="H312" s="1"/>
      <x:c r="I312" s="1"/>
      <x:c r="J312" s="1"/>
      <x:c r="K312" s="1"/>
      <x:c r="L312" s="1"/>
      <x:c r="M312" s="1"/>
      <x:c r="N312" s="1"/>
    </x:row>
    <x:row r="313" ht="22" customHeight="1">
      <x:c r="A313" s="1" t="n">
        <x:v>297</x:v>
      </x:c>
      <x:c r="B313" s="16" t="n">
        <x:v>0.3793767557429317</x:v>
      </x:c>
      <x:c r="C313" s="16" t="n">
        <x:f>$B$12+$D$12*B313</x:f>
        <x:v>0.0055085803163770364</x:v>
      </x:c>
      <x:c r="D313" s="12" t="n">
        <x:f>D312*EXP(C313)</x:f>
        <x:v>104.54591709265459</x:v>
      </x:c>
      <x:c r="E313" s="16" t="n">
        <x:f>ABS(C313)</x:f>
        <x:v>0.0055085803163770364</x:v>
      </x:c>
      <x:c r="F313" s="16" t="n">
        <x:f>C313^2</x:f>
        <x:v>0.000030344457101976532</x:v>
      </x:c>
      <x:c r="G313" s="1"/>
      <x:c r="H313" s="1"/>
      <x:c r="I313" s="1"/>
      <x:c r="J313" s="1"/>
      <x:c r="K313" s="1"/>
      <x:c r="L313" s="1"/>
      <x:c r="M313" s="1"/>
      <x:c r="N313" s="1"/>
    </x:row>
    <x:row r="314" ht="22" customHeight="1">
      <x:c r="A314" s="1" t="n">
        <x:v>298</x:v>
      </x:c>
      <x:c r="B314" s="16" t="n">
        <x:v>-0.008618158858915013</x:v>
      </x:c>
      <x:c r="C314" s="16" t="n">
        <x:f>$B$12+$D$12*B314</x:f>
        <x:v>0.00037877319289606013</x:v>
      </x:c>
      <x:c r="D314" s="12" t="n">
        <x:f>D313*EXP(C314)</x:f>
        <x:v>104.58552378397897</x:v>
      </x:c>
      <x:c r="E314" s="16" t="n">
        <x:f>ABS(C314)</x:f>
        <x:v>0.00037877319289606013</x:v>
      </x:c>
      <x:c r="F314" s="16" t="n">
        <x:f>C314^2</x:f>
        <x:v>1.4346913165667598e-7</x:v>
      </x:c>
      <x:c r="G314" s="1"/>
      <x:c r="H314" s="1"/>
      <x:c r="I314" s="1"/>
      <x:c r="J314" s="1"/>
      <x:c r="K314" s="1"/>
      <x:c r="L314" s="1"/>
      <x:c r="M314" s="1"/>
      <x:c r="N314" s="1"/>
    </x:row>
    <x:row r="315" ht="22" customHeight="1">
      <x:c r="A315" s="1" t="n">
        <x:v>299</x:v>
      </x:c>
      <x:c r="B315" s="16" t="n">
        <x:v>0.9953555448575103</x:v>
      </x:c>
      <x:c r="C315" s="16" t="n">
        <x:f>$B$12+$D$12*B315</x:f>
        <x:v>0.013652636491844526</x:v>
      </x:c>
      <x:c r="D315" s="12" t="n">
        <x:f>D314*EXP(C315)</x:f>
        <x:v>106.02318351444278</x:v>
      </x:c>
      <x:c r="E315" s="16" t="n">
        <x:f>ABS(C315)</x:f>
        <x:v>0.013652636491844526</x:v>
      </x:c>
      <x:c r="F315" s="16" t="n">
        <x:f>C315^2</x:f>
        <x:v>0.0001863944831784448</x:v>
      </x:c>
      <x:c r="G315" s="1"/>
      <x:c r="H315" s="1"/>
      <x:c r="I315" s="1"/>
      <x:c r="J315" s="1"/>
      <x:c r="K315" s="1"/>
      <x:c r="L315" s="1"/>
      <x:c r="M315" s="1"/>
      <x:c r="N315" s="1"/>
    </x:row>
    <x:row r="316" ht="22" customHeight="1">
      <x:c r="A316" s="1" t="n">
        <x:v>300</x:v>
      </x:c>
      <x:c r="B316" s="16" t="n">
        <x:v>1.5278354852351916</x:v>
      </x:c>
      <x:c r="C316" s="16" t="n">
        <x:f>$B$12+$D$12*B316</x:f>
        <x:v>0.02069272719525797</x:v>
      </x:c>
      <x:c r="D316" s="12" t="n">
        <x:f>D315*EXP(C316)</x:f>
        <x:v>108.23994868679722</x:v>
      </x:c>
      <x:c r="E316" s="16" t="n">
        <x:f>ABS(C316)</x:f>
        <x:v>0.02069272719525797</x:v>
      </x:c>
      <x:c r="F316" s="16" t="n">
        <x:f>C316^2</x:f>
        <x:v>0.0004281889587773688</x:v>
      </x:c>
      <x:c r="G316" s="1"/>
      <x:c r="H316" s="1"/>
      <x:c r="I316" s="1"/>
      <x:c r="J316" s="1"/>
      <x:c r="K316" s="1"/>
      <x:c r="L316" s="1"/>
      <x:c r="M316" s="1"/>
      <x:c r="N316" s="1"/>
    </x:row>
    <x:row r="317" ht="22" customHeight="1">
      <x:c r="A317" s="1" t="n">
        <x:v>301</x:v>
      </x:c>
      <x:c r="B317" s="16" t="n">
        <x:v>-1.8720534616374886</x:v>
      </x:c>
      <x:c r="C317" s="16" t="n">
        <x:f>$B$12+$D$12*B317</x:f>
        <x:v>-0.02425831180639779</x:v>
      </x:c>
      <x:c r="D317" s="12" t="n">
        <x:f>D316*EXP(C317)</x:f>
        <x:v>105.64582203980835</x:v>
      </x:c>
      <x:c r="E317" s="16" t="n">
        <x:f>ABS(C317)</x:f>
        <x:v>0.02425831180639779</x:v>
      </x:c>
      <x:c r="F317" s="16" t="n">
        <x:f>C317^2</x:f>
        <x:v>0.0005884656916964184</x:v>
      </x:c>
      <x:c r="G317" s="1"/>
      <x:c r="H317" s="1"/>
      <x:c r="I317" s="1"/>
      <x:c r="J317" s="1"/>
      <x:c r="K317" s="1"/>
      <x:c r="L317" s="1"/>
      <x:c r="M317" s="1"/>
      <x:c r="N317" s="1"/>
    </x:row>
    <x:row r="318" ht="22" customHeight="1">
      <x:c r="A318" s="1" t="n">
        <x:v>302</x:v>
      </x:c>
      <x:c r="B318" s="16" t="n">
        <x:v>-0.8208480715155851</x:v>
      </x:c>
      <x:c r="C318" s="16" t="n">
        <x:f>$B$12+$D$12*B318</x:f>
        <x:v>-0.010359982999633394</x:v>
      </x:c>
      <x:c r="D318" s="12" t="n">
        <x:f>D317*EXP(C318)</x:f>
        <x:v>104.55698303495531</x:v>
      </x:c>
      <x:c r="E318" s="16" t="n">
        <x:f>ABS(C318)</x:f>
        <x:v>0.010359982999633394</x:v>
      </x:c>
      <x:c r="F318" s="16" t="n">
        <x:f>C318^2</x:f>
        <x:v>0.00010732924775269293</x:v>
      </x:c>
      <x:c r="G318" s="1"/>
      <x:c r="H318" s="1"/>
      <x:c r="I318" s="1"/>
      <x:c r="J318" s="1"/>
      <x:c r="K318" s="1"/>
      <x:c r="L318" s="1"/>
      <x:c r="M318" s="1"/>
      <x:c r="N318" s="1"/>
    </x:row>
    <x:row r="319" ht="22" customHeight="1">
      <x:c r="A319" s="1" t="n">
        <x:v>303</x:v>
      </x:c>
      <x:c r="B319" s="16" t="n">
        <x:v>-0.3864811853410902</x:v>
      </x:c>
      <x:c r="C319" s="16" t="n">
        <x:f>$B$12+$D$12*B319</x:f>
        <x:v>-0.004617076938122943</x:v>
      </x:c>
      <x:c r="D319" s="12" t="n">
        <x:f>D318*EXP(C319)</x:f>
        <x:v>104.07534812817525</x:v>
      </x:c>
      <x:c r="E319" s="16" t="n">
        <x:f>ABS(C319)</x:f>
        <x:v>0.004617076938122943</x:v>
      </x:c>
      <x:c r="F319" s="16" t="n">
        <x:f>C319^2</x:f>
        <x:v>0.000021317399452546733</x:v>
      </x:c>
      <x:c r="G319" s="1"/>
      <x:c r="H319" s="1"/>
      <x:c r="I319" s="1"/>
      <x:c r="J319" s="1"/>
      <x:c r="K319" s="1"/>
      <x:c r="L319" s="1"/>
      <x:c r="M319" s="1"/>
      <x:c r="N319" s="1"/>
    </x:row>
    <x:row r="320" ht="22" customHeight="1">
      <x:c r="A320" s="1" t="n">
        <x:v>304</x:v>
      </x:c>
      <x:c r="B320" s="16" t="n">
        <x:v>1.2959486679454186</x:v>
      </x:c>
      <x:c r="C320" s="16" t="n">
        <x:f>$B$12+$D$12*B320</x:f>
        <x:v>0.017626876065752608</x:v>
      </x:c>
      <x:c r="D320" s="12" t="n">
        <x:f>D319*EXP(C320)</x:f>
        <x:v>105.92613526814267</x:v>
      </x:c>
      <x:c r="E320" s="16" t="n">
        <x:f>ABS(C320)</x:f>
        <x:v>0.017626876065752608</x:v>
      </x:c>
      <x:c r="F320" s="16" t="n">
        <x:f>C320^2</x:f>
        <x:v>0.00031070675983740215</x:v>
      </x:c>
      <x:c r="G320" s="1"/>
      <x:c r="H320" s="1"/>
      <x:c r="I320" s="1"/>
      <x:c r="J320" s="1"/>
      <x:c r="K320" s="1"/>
      <x:c r="L320" s="1"/>
      <x:c r="M320" s="1"/>
      <x:c r="N320" s="1"/>
    </x:row>
    <x:row r="321" ht="22" customHeight="1">
      <x:c r="A321" s="1" t="n">
        <x:v>305</x:v>
      </x:c>
      <x:c r="B321" s="16" t="n">
        <x:v>0.20489558632480012</x:v>
      </x:c>
      <x:c r="C321" s="16" t="n">
        <x:f>$B$12+$D$12*B321</x:f>
        <x:v>0.003201707952565487</x:v>
      </x:c>
      <x:c r="D321" s="12" t="n">
        <x:f>D320*EXP(C321)</x:f>
        <x:v>106.26582331860489</x:v>
      </x:c>
      <x:c r="E321" s="16" t="n">
        <x:f>ABS(C321)</x:f>
        <x:v>0.003201707952565487</x:v>
      </x:c>
      <x:c r="F321" s="16" t="n">
        <x:f>C321^2</x:f>
        <x:v>0.000010250933813521082</x:v>
      </x:c>
      <x:c r="G321" s="1"/>
      <x:c r="H321" s="1"/>
      <x:c r="I321" s="1"/>
      <x:c r="J321" s="1"/>
      <x:c r="K321" s="1"/>
      <x:c r="L321" s="1"/>
      <x:c r="M321" s="1"/>
      <x:c r="N321" s="1"/>
    </x:row>
    <x:row r="322" ht="22" customHeight="1">
      <x:c r="A322" s="1" t="n">
        <x:v>306</x:v>
      </x:c>
      <x:c r="B322" s="16" t="n">
        <x:v>0.16729576050281716</x:v>
      </x:c>
      <x:c r="C322" s="16" t="n">
        <x:f>$B$12+$D$12*B322</x:f>
        <x:v>0.0027045884103127694</x:v>
      </x:c>
      <x:c r="D322" s="12" t="n">
        <x:f>D321*EXP(C322)</x:f>
        <x:v>106.55361763992796</x:v>
      </x:c>
      <x:c r="E322" s="16" t="n">
        <x:f>ABS(C322)</x:f>
        <x:v>0.0027045884103127694</x:v>
      </x:c>
      <x:c r="F322" s="16" t="n">
        <x:f>C322^2</x:f>
        <x:v>0.000007314798469198153</x:v>
      </x:c>
      <x:c r="G322" s="1"/>
      <x:c r="H322" s="1"/>
      <x:c r="I322" s="1"/>
      <x:c r="J322" s="1"/>
      <x:c r="K322" s="1"/>
      <x:c r="L322" s="1"/>
      <x:c r="M322" s="1"/>
      <x:c r="N322" s="1"/>
    </x:row>
    <x:row r="323" ht="22" customHeight="1">
      <x:c r="A323" s="1" t="n">
        <x:v>307</x:v>
      </x:c>
      <x:c r="B323" s="16" t="n">
        <x:v>0.39335685636737727</x:v>
      </x:c>
      <x:c r="C323" s="16" t="n">
        <x:f>$B$12+$D$12*B323</x:f>
        <x:v>0.005693415779604317</x:v>
      </x:c>
      <x:c r="D323" s="12" t="n">
        <x:f>D322*EXP(C323)</x:f>
        <x:v>107.16200193695508</x:v>
      </x:c>
      <x:c r="E323" s="16" t="n">
        <x:f>ABS(C323)</x:f>
        <x:v>0.005693415779604317</x:v>
      </x:c>
      <x:c r="F323" s="16" t="n">
        <x:f>C323^2</x:f>
        <x:v>0.00003241498323944743</x:v>
      </x:c>
      <x:c r="G323" s="1"/>
      <x:c r="H323" s="1"/>
      <x:c r="I323" s="1"/>
      <x:c r="J323" s="1"/>
      <x:c r="K323" s="1"/>
      <x:c r="L323" s="1"/>
      <x:c r="M323" s="1"/>
      <x:c r="N323" s="1"/>
    </x:row>
    <x:row r="324" ht="22" customHeight="1">
      <x:c r="A324" s="1" t="n">
        <x:v>308</x:v>
      </x:c>
      <x:c r="B324" s="16" t="n">
        <x:v>-0.20217549341561905</x:v>
      </x:c>
      <x:c r="C324" s="16" t="n">
        <x:f>$B$12+$D$12*B324</x:f>
        <x:v>-0.002180311362709208</x:v>
      </x:c>
      <x:c r="D324" s="12" t="n">
        <x:f>D323*EXP(C324)</x:f>
        <x:v>106.92860993255825</x:v>
      </x:c>
      <x:c r="E324" s="16" t="n">
        <x:f>ABS(C324)</x:f>
        <x:v>0.002180311362709208</x:v>
      </x:c>
      <x:c r="F324" s="16" t="n">
        <x:f>C324^2</x:f>
        <x:v>0.000004753757638358884</x:v>
      </x:c>
      <x:c r="G324" s="1"/>
      <x:c r="H324" s="1"/>
      <x:c r="I324" s="1"/>
      <x:c r="J324" s="1"/>
      <x:c r="K324" s="1"/>
      <x:c r="L324" s="1"/>
      <x:c r="M324" s="1"/>
      <x:c r="N324" s="1"/>
    </x:row>
    <x:row r="325" ht="22" customHeight="1">
      <x:c r="A325" s="1" t="n">
        <x:v>309</x:v>
      </x:c>
      <x:c r="B325" s="16" t="n">
        <x:v>0.8292967009425002</x:v>
      </x:c>
      <x:c r="C325" s="16" t="n">
        <x:f>$B$12+$D$12*B325</x:f>
        <x:v>0.011457118436391692</x:v>
      </x:c>
      <x:c r="D325" s="12" t="n">
        <x:f>D324*EXP(C325)</x:f>
        <x:v>108.16074858192728</x:v>
      </x:c>
      <x:c r="E325" s="16" t="n">
        <x:f>ABS(C325)</x:f>
        <x:v>0.011457118436391692</x:v>
      </x:c>
      <x:c r="F325" s="16" t="n">
        <x:f>C325^2</x:f>
        <x:v>0.0001312655628655064</x:v>
      </x:c>
      <x:c r="G325" s="1"/>
      <x:c r="H325" s="1"/>
      <x:c r="I325" s="1"/>
      <x:c r="J325" s="1"/>
      <x:c r="K325" s="1"/>
      <x:c r="L325" s="1"/>
      <x:c r="M325" s="1"/>
      <x:c r="N325" s="1"/>
    </x:row>
    <x:row r="326" ht="22" customHeight="1">
      <x:c r="A326" s="1" t="n">
        <x:v>310</x:v>
      </x:c>
      <x:c r="B326" s="16" t="n">
        <x:v>0.7161478960461322</x:v>
      </x:c>
      <x:c r="C326" s="16" t="n">
        <x:f>$B$12+$D$12*B326</x:f>
        <x:v>0.009961141237911203</x:v>
      </x:c>
      <x:c r="D326" s="12" t="n">
        <x:f>D325*EXP(C326)</x:f>
        <x:v>109.24353702602919</x:v>
      </x:c>
      <x:c r="E326" s="16" t="n">
        <x:f>ABS(C326)</x:f>
        <x:v>0.009961141237911203</x:v>
      </x:c>
      <x:c r="F326" s="16" t="n">
        <x:f>C326^2</x:f>
        <x:v>0.00009922433476161513</x:v>
      </x:c>
      <x:c r="G326" s="1"/>
      <x:c r="H326" s="1"/>
      <x:c r="I326" s="1"/>
      <x:c r="J326" s="1"/>
      <x:c r="K326" s="1"/>
      <x:c r="L326" s="1"/>
      <x:c r="M326" s="1"/>
      <x:c r="N326" s="1"/>
    </x:row>
    <x:row r="327" ht="22" customHeight="1">
      <x:c r="A327" s="1" t="n">
        <x:v>311</x:v>
      </x:c>
      <x:c r="B327" s="16" t="n">
        <x:v>-0.2786436415683287</x:v>
      </x:c>
      <x:c r="C327" s="16" t="n">
        <x:f>$B$12+$D$12*B327</x:f>
        <x:v>-0.003191321652665471</x:v>
      </x:c>
      <x:c r="D327" s="12" t="n">
        <x:f>D326*EXP(C327)</x:f>
        <x:v>108.89546146685419</x:v>
      </x:c>
      <x:c r="E327" s="16" t="n">
        <x:f>ABS(C327)</x:f>
        <x:v>0.003191321652665471</x:v>
      </x:c>
      <x:c r="F327" s="16" t="n">
        <x:f>C327^2</x:f>
        <x:v>0.000010184533890771475</x:v>
      </x:c>
      <x:c r="G327" s="1"/>
      <x:c r="H327" s="1"/>
      <x:c r="I327" s="1"/>
      <x:c r="J327" s="1"/>
      <x:c r="K327" s="1"/>
      <x:c r="L327" s="1"/>
      <x:c r="M327" s="1"/>
      <x:c r="N327" s="1"/>
    </x:row>
    <x:row r="328" ht="22" customHeight="1">
      <x:c r="A328" s="1" t="n">
        <x:v>312</x:v>
      </x:c>
      <x:c r="B328" s="16" t="n">
        <x:v>-0.16085762739248619</x:v>
      </x:c>
      <x:c r="C328" s="16" t="n">
        <x:f>$B$12+$D$12*B328</x:f>
        <x:v>-0.0016340344001103515</x:v>
      </x:c>
      <x:c r="D328" s="12" t="n">
        <x:f>D327*EXP(C328)</x:f>
        <x:v>108.71766783681535</x:v>
      </x:c>
      <x:c r="E328" s="16" t="n">
        <x:f>ABS(C328)</x:f>
        <x:v>0.0016340344001103515</x:v>
      </x:c>
      <x:c r="F328" s="16" t="n">
        <x:f>C328^2</x:f>
        <x:v>0.0000026700684207439963</x:v>
      </x:c>
      <x:c r="G328" s="1"/>
      <x:c r="H328" s="1"/>
      <x:c r="I328" s="1"/>
      <x:c r="J328" s="1"/>
      <x:c r="K328" s="1"/>
      <x:c r="L328" s="1"/>
      <x:c r="M328" s="1"/>
      <x:c r="N328" s="1"/>
    </x:row>
    <x:row r="329" ht="22" customHeight="1">
      <x:c r="A329" s="1" t="n">
        <x:v>313</x:v>
      </x:c>
      <x:c r="B329" s="16" t="n">
        <x:v>-0.7154672238879126</x:v>
      </x:c>
      <x:c r="C329" s="16" t="n">
        <x:f>$B$12+$D$12*B329</x:f>
        <x:v>-0.008966708493977476</x:v>
      </x:c>
      <x:c r="D329" s="12" t="n">
        <x:f>D328*EXP(C329)</x:f>
        <x:v>107.74718571867555</x:v>
      </x:c>
      <x:c r="E329" s="16" t="n">
        <x:f>ABS(C329)</x:f>
        <x:v>0.008966708493977476</x:v>
      </x:c>
      <x:c r="F329" s="16" t="n">
        <x:f>C329^2</x:f>
        <x:v>0.00008040186121596781</x:v>
      </x:c>
      <x:c r="G329" s="1"/>
      <x:c r="H329" s="1"/>
      <x:c r="I329" s="1"/>
      <x:c r="J329" s="1"/>
      <x:c r="K329" s="1"/>
      <x:c r="L329" s="1"/>
      <x:c r="M329" s="1"/>
      <x:c r="N329" s="1"/>
    </x:row>
    <x:row r="330" ht="22" customHeight="1">
      <x:c r="A330" s="1" t="n">
        <x:v>314</x:v>
      </x:c>
      <x:c r="B330" s="16" t="n">
        <x:v>0.2645423944808517</x:v>
      </x:c>
      <x:c r="C330" s="16" t="n">
        <x:f>$B$12+$D$12*B330</x:f>
        <x:v>0.003990317828253688</x:v>
      </x:c>
      <x:c r="D330" s="12" t="n">
        <x:f>D329*EXP(C330)</x:f>
        <x:v>108.17799018653882</x:v>
      </x:c>
      <x:c r="E330" s="16" t="n">
        <x:f>ABS(C330)</x:f>
        <x:v>0.003990317828253688</x:v>
      </x:c>
      <x:c r="F330" s="16" t="n">
        <x:f>C330^2</x:f>
        <x:v>0.00001592263637047923</x:v>
      </x:c>
      <x:c r="G330" s="1"/>
      <x:c r="H330" s="1"/>
      <x:c r="I330" s="1"/>
      <x:c r="J330" s="1"/>
      <x:c r="K330" s="1"/>
      <x:c r="L330" s="1"/>
      <x:c r="M330" s="1"/>
      <x:c r="N330" s="1"/>
    </x:row>
    <x:row r="331" ht="22" customHeight="1">
      <x:c r="A331" s="1" t="n">
        <x:v>315</x:v>
      </x:c>
      <x:c r="B331" s="16" t="n">
        <x:v>-1.746682723182068</x:v>
      </x:c>
      <x:c r="C331" s="16" t="n">
        <x:f>$B$12+$D$12*B331</x:f>
        <x:v>-0.02260074444404034</x:v>
      </x:c>
      <x:c r="D331" s="12" t="n">
        <x:f>D330*EXP(C331)</x:f>
        <x:v>105.76050842163141</x:v>
      </x:c>
      <x:c r="E331" s="16" t="n">
        <x:f>ABS(C331)</x:f>
        <x:v>0.02260074444404034</x:v>
      </x:c>
      <x:c r="F331" s="16" t="n">
        <x:f>C331^2</x:f>
        <x:v>0.0005107936494248204</x:v>
      </x:c>
      <x:c r="G331" s="1"/>
      <x:c r="H331" s="1"/>
      <x:c r="I331" s="1"/>
      <x:c r="J331" s="1"/>
      <x:c r="K331" s="1"/>
      <x:c r="L331" s="1"/>
      <x:c r="M331" s="1"/>
      <x:c r="N331" s="1"/>
    </x:row>
    <x:row r="332" ht="22" customHeight="1">
      <x:c r="A332" s="1" t="n">
        <x:v>316</x:v>
      </x:c>
      <x:c r="B332" s="16" t="n">
        <x:v>0.190911321323323</x:v>
      </x:c>
      <x:c r="C332" s="16" t="n">
        <x:f>$B$12+$D$12*B332</x:f>
        <x:v>0.003016817430753267</x:v>
      </x:c>
      <x:c r="D332" s="12" t="n">
        <x:f>D331*EXP(C332)</x:f>
        <x:v>106.08005032436327</x:v>
      </x:c>
      <x:c r="E332" s="16" t="n">
        <x:f>ABS(C332)</x:f>
        <x:v>0.003016817430753267</x:v>
      </x:c>
      <x:c r="F332" s="16" t="n">
        <x:f>C332^2</x:f>
        <x:v>0.000009101187410496743</x:v>
      </x:c>
      <x:c r="G332" s="1"/>
      <x:c r="H332" s="1"/>
      <x:c r="I332" s="1"/>
      <x:c r="J332" s="1"/>
      <x:c r="K332" s="1"/>
      <x:c r="L332" s="1"/>
      <x:c r="M332" s="1"/>
      <x:c r="N332" s="1"/>
    </x:row>
    <x:row r="333" ht="22" customHeight="1">
      <x:c r="A333" s="1" t="n">
        <x:v>317</x:v>
      </x:c>
      <x:c r="B333" s="16" t="n">
        <x:v>-0.5177900388912912</x:v>
      </x:c>
      <x:c r="C333" s="16" t="n">
        <x:f>$B$12+$D$12*B333</x:f>
        <x:v>-0.0063531540540025825</x:v>
      </x:c>
      <x:c r="D333" s="12" t="n">
        <x:f>D332*EXP(C333)</x:f>
        <x:v>105.40824372764963</x:v>
      </x:c>
      <x:c r="E333" s="16" t="n">
        <x:f>ABS(C333)</x:f>
        <x:v>0.0063531540540025825</x:v>
      </x:c>
      <x:c r="F333" s="16" t="n">
        <x:f>C333^2</x:f>
        <x:v>0.00004036256643388945</x:v>
      </x:c>
      <x:c r="G333" s="1"/>
      <x:c r="H333" s="1"/>
      <x:c r="I333" s="1"/>
      <x:c r="J333" s="1"/>
      <x:c r="K333" s="1"/>
      <x:c r="L333" s="1"/>
      <x:c r="M333" s="1"/>
      <x:c r="N333" s="1"/>
    </x:row>
    <x:row r="334" ht="22" customHeight="1">
      <x:c r="A334" s="1" t="n">
        <x:v>318</x:v>
      </x:c>
      <x:c r="B334" s="16" t="n">
        <x:v>1.460507828920059</x:v>
      </x:c>
      <x:c r="C334" s="16" t="n">
        <x:f>$B$12+$D$12*B334</x:f>
        <x:v>0.01980256632465206</x:v>
      </x:c>
      <x:c r="D334" s="12" t="n">
        <x:f>D333*EXP(C334)</x:f>
        <x:v>107.51640204676313</x:v>
      </x:c>
      <x:c r="E334" s="16" t="n">
        <x:f>ABS(C334)</x:f>
        <x:v>0.01980256632465206</x:v>
      </x:c>
      <x:c r="F334" s="16" t="n">
        <x:f>C334^2</x:f>
        <x:v>0.00039214163304224377</x:v>
      </x:c>
      <x:c r="G334" s="1"/>
      <x:c r="H334" s="1"/>
      <x:c r="I334" s="1"/>
      <x:c r="J334" s="1"/>
      <x:c r="K334" s="1"/>
      <x:c r="L334" s="1"/>
      <x:c r="M334" s="1"/>
      <x:c r="N334" s="1"/>
    </x:row>
    <x:row r="335" ht="22" customHeight="1">
      <x:c r="A335" s="1" t="n">
        <x:v>319</x:v>
      </x:c>
      <x:c r="B335" s="16" t="n">
        <x:v>-0.5729395768773066</x:v>
      </x:c>
      <x:c r="C335" s="16" t="n">
        <x:f>$B$12+$D$12*B335</x:f>
        <x:v>-0.00708230405615573</x:v>
      </x:c>
      <x:c r="D335" s="12" t="n">
        <x:f>D334*EXP(C335)</x:f>
        <x:v>106.75762830124219</x:v>
      </x:c>
      <x:c r="E335" s="16" t="n">
        <x:f>ABS(C335)</x:f>
        <x:v>0.00708230405615573</x:v>
      </x:c>
      <x:c r="F335" s="16" t="n">
        <x:f>C335^2</x:f>
        <x:v>0.0000501590307438399</x:v>
      </x:c>
      <x:c r="G335" s="1"/>
      <x:c r="H335" s="1"/>
      <x:c r="I335" s="1"/>
      <x:c r="J335" s="1"/>
      <x:c r="K335" s="1"/>
      <x:c r="L335" s="1"/>
      <x:c r="M335" s="1"/>
      <x:c r="N335" s="1"/>
    </x:row>
    <x:row r="336" ht="22" customHeight="1">
      <x:c r="A336" s="1" t="n">
        <x:v>320</x:v>
      </x:c>
      <x:c r="B336" s="16" t="n">
        <x:v>-1.2795145968698984</x:v>
      </x:c>
      <x:c r="C336" s="16" t="n">
        <x:f>$B$12+$D$12*B336</x:f>
        <x:v>-0.016424162504355244</x:v>
      </x:c>
      <x:c r="D336" s="12" t="n">
        <x:f>D335*EXP(C336)</x:f>
        <x:v>105.01854425834327</x:v>
      </x:c>
      <x:c r="E336" s="16" t="n">
        <x:f>ABS(C336)</x:f>
        <x:v>0.016424162504355244</x:v>
      </x:c>
      <x:c r="F336" s="16" t="n">
        <x:f>C336^2</x:f>
        <x:v>0.0002697531139694687</x:v>
      </x:c>
      <x:c r="G336" s="1"/>
      <x:c r="H336" s="1"/>
      <x:c r="I336" s="1"/>
      <x:c r="J336" s="1"/>
      <x:c r="K336" s="1"/>
      <x:c r="L336" s="1"/>
      <x:c r="M336" s="1"/>
      <x:c r="N336" s="1"/>
    </x:row>
    <x:row r="337" ht="22" customHeight="1">
      <x:c r="A337" s="1" t="n">
        <x:v>321</x:v>
      </x:c>
      <x:c r="B337" s="16" t="n">
        <x:v>0.34849016581032505</x:v>
      </x:c>
      <x:c r="C337" s="16" t="n">
        <x:f>$B$12+$D$12*B337</x:f>
        <x:v>0.005100218652103906</x:v>
      </x:c>
      <x:c r="D337" s="12" t="n">
        <x:f>D336*EXP(C337)</x:f>
        <x:v>105.55553000493089</x:v>
      </x:c>
      <x:c r="E337" s="16" t="n">
        <x:f>ABS(C337)</x:f>
        <x:v>0.005100218652103906</x:v>
      </x:c>
      <x:c r="F337" s="16" t="n">
        <x:f>C337^2</x:f>
        <x:v>0.000026012230299268582</x:v>
      </x:c>
      <x:c r="G337" s="1"/>
      <x:c r="H337" s="1"/>
      <x:c r="I337" s="1"/>
      <x:c r="J337" s="1"/>
      <x:c r="K337" s="1"/>
      <x:c r="L337" s="1"/>
      <x:c r="M337" s="1"/>
      <x:c r="N337" s="1"/>
    </x:row>
    <x:row r="338" ht="22" customHeight="1">
      <x:c r="A338" s="1" t="n">
        <x:v>322</x:v>
      </x:c>
      <x:c r="B338" s="16" t="n">
        <x:v>0.49292653295718863</x:v>
      </x:c>
      <x:c r="C338" s="16" t="n">
        <x:f>$B$12+$D$12*B338</x:f>
        <x:v>0.007009858900456191</x:v>
      </x:c>
      <x:c r="D338" s="12" t="n">
        <x:f>D337*EXP(C338)</x:f>
        <x:v>106.29805884709798</x:v>
      </x:c>
      <x:c r="E338" s="16" t="n">
        <x:f>ABS(C338)</x:f>
        <x:v>0.007009858900456191</x:v>
      </x:c>
      <x:c r="F338" s="16" t="n">
        <x:f>C338^2</x:f>
        <x:v>0.000049138121804304886</x:v>
      </x:c>
      <x:c r="G338" s="1"/>
      <x:c r="H338" s="1"/>
      <x:c r="I338" s="1"/>
      <x:c r="J338" s="1"/>
      <x:c r="K338" s="1"/>
      <x:c r="L338" s="1"/>
      <x:c r="M338" s="1"/>
      <x:c r="N338" s="1"/>
    </x:row>
    <x:row r="339" ht="22" customHeight="1">
      <x:c r="A339" s="1" t="n">
        <x:v>323</x:v>
      </x:c>
      <x:c r="B339" s="16" t="n">
        <x:v>-0.2531746103340894</x:v>
      </x:c>
      <x:c r="C339" s="16" t="n">
        <x:f>$B$12+$D$12*B339</x:f>
        <x:v>-0.0028545872962689903</x:v>
      </x:c>
      <x:c r="D339" s="12" t="n">
        <x:f>D338*EXP(C339)</x:f>
        <x:v>105.99505444071643</x:v>
      </x:c>
      <x:c r="E339" s="16" t="n">
        <x:f>ABS(C339)</x:f>
        <x:v>0.0028545872962689903</x:v>
      </x:c>
      <x:c r="F339" s="16" t="n">
        <x:f>C339^2</x:f>
        <x:v>0.000008148668632020304</x:v>
      </x:c>
      <x:c r="G339" s="1"/>
      <x:c r="H339" s="1"/>
      <x:c r="I339" s="1"/>
      <x:c r="J339" s="1"/>
      <x:c r="K339" s="1"/>
      <x:c r="L339" s="1"/>
      <x:c r="M339" s="1"/>
      <x:c r="N339" s="1"/>
    </x:row>
    <x:row r="340" ht="22" customHeight="1">
      <x:c r="A340" s="1" t="n">
        <x:v>324</x:v>
      </x:c>
      <x:c r="B340" s="16" t="n">
        <x:v>0.33858206724969847</x:v>
      </x:c>
      <x:c r="C340" s="16" t="n">
        <x:f>$B$12+$D$12*B340</x:f>
        <x:v>0.004969220454283166</x:v>
      </x:c>
      <x:c r="D340" s="12" t="n">
        <x:f>D339*EXP(C340)</x:f>
        <x:v>106.52307807968276</x:v>
      </x:c>
      <x:c r="E340" s="16" t="n">
        <x:f>ABS(C340)</x:f>
        <x:v>0.004969220454283166</x:v>
      </x:c>
      <x:c r="F340" s="16" t="n">
        <x:f>C340^2</x:f>
        <x:v>0.000024693151923266192</x:v>
      </x:c>
      <x:c r="G340" s="1"/>
      <x:c r="H340" s="1"/>
      <x:c r="I340" s="1"/>
      <x:c r="J340" s="1"/>
      <x:c r="K340" s="1"/>
      <x:c r="L340" s="1"/>
      <x:c r="M340" s="1"/>
      <x:c r="N340" s="1"/>
    </x:row>
    <x:row r="341" ht="22" customHeight="1">
      <x:c r="A341" s="1" t="n">
        <x:v>325</x:v>
      </x:c>
      <x:c r="B341" s="16" t="n">
        <x:v>-1.2039814925033714</x:v>
      </x:c>
      <x:c r="C341" s="16" t="n">
        <x:f>$B$12+$D$12*B341</x:f>
        <x:v>-0.015425514732809946</x:v>
      </x:c>
      <x:c r="D341" s="12" t="n">
        <x:f>D340*EXP(C341)</x:f>
        <x:v>104.89251325240193</x:v>
      </x:c>
      <x:c r="E341" s="16" t="n">
        <x:f>ABS(C341)</x:f>
        <x:v>0.015425514732809946</x:v>
      </x:c>
      <x:c r="F341" s="16" t="n">
        <x:f>C341^2</x:f>
        <x:v>0.0002379465047721367</x:v>
      </x:c>
      <x:c r="G341" s="1"/>
      <x:c r="H341" s="1"/>
      <x:c r="I341" s="1"/>
      <x:c r="J341" s="1"/>
      <x:c r="K341" s="1"/>
      <x:c r="L341" s="1"/>
      <x:c r="M341" s="1"/>
      <x:c r="N341" s="1"/>
    </x:row>
    <x:row r="342" ht="22" customHeight="1">
      <x:c r="A342" s="1" t="n">
        <x:v>326</x:v>
      </x:c>
      <x:c r="B342" s="16" t="n">
        <x:v>-0.6667611358702598</x:v>
      </x:c>
      <x:c r="C342" s="16" t="n">
        <x:f>$B$12+$D$12*B342</x:f>
        <x:v>-0.008322749442281549</x:v>
      </x:c>
      <x:c r="D342" s="12" t="n">
        <x:f>D341*EXP(C342)</x:f>
        <x:v>104.02314194432238</x:v>
      </x:c>
      <x:c r="E342" s="16" t="n">
        <x:f>ABS(C342)</x:f>
        <x:v>0.008322749442281549</x:v>
      </x:c>
      <x:c r="F342" s="16" t="n">
        <x:f>C342^2</x:f>
        <x:v>0.00006926815827899783</x:v>
      </x:c>
      <x:c r="G342" s="1"/>
      <x:c r="H342" s="1"/>
      <x:c r="I342" s="1"/>
      <x:c r="J342" s="1"/>
      <x:c r="K342" s="1"/>
      <x:c r="L342" s="1"/>
      <x:c r="M342" s="1"/>
      <x:c r="N342" s="1"/>
    </x:row>
    <x:row r="343" ht="22" customHeight="1">
      <x:c r="A343" s="1" t="n">
        <x:v>327</x:v>
      </x:c>
      <x:c r="B343" s="16" t="n">
        <x:v>-0.9248773271274399</x:v>
      </x:c>
      <x:c r="C343" s="16" t="n">
        <x:f>$B$12+$D$12*B343</x:f>
        <x:v>-0.011735387667077907</x:v>
      </x:c>
      <x:c r="D343" s="12" t="n">
        <x:f>D342*EXP(C343)</x:f>
        <x:v>102.80952510746373</x:v>
      </x:c>
      <x:c r="E343" s="16" t="n">
        <x:f>ABS(C343)</x:f>
        <x:v>0.011735387667077907</x:v>
      </x:c>
      <x:c r="F343" s="16" t="n">
        <x:f>C343^2</x:f>
        <x:v>0.00013771932369660423</x:v>
      </x:c>
      <x:c r="G343" s="1"/>
      <x:c r="H343" s="1"/>
      <x:c r="I343" s="1"/>
      <x:c r="J343" s="1"/>
      <x:c r="K343" s="1"/>
      <x:c r="L343" s="1"/>
      <x:c r="M343" s="1"/>
      <x:c r="N343" s="1"/>
    </x:row>
    <x:row r="344" ht="22" customHeight="1">
      <x:c r="A344" s="1" t="n">
        <x:v>328</x:v>
      </x:c>
      <x:c r="B344" s="16" t="n">
        <x:v>-0.6413864676049597</x:v>
      </x:c>
      <x:c r="C344" s="16" t="n">
        <x:f>$B$12+$D$12*B344</x:f>
        <x:v>-0.007987262689428414</x:v>
      </x:c>
      <x:c r="D344" s="12" t="n">
        <x:f>D343*EXP(C344)</x:f>
        <x:v>101.99162914662877</x:v>
      </x:c>
      <x:c r="E344" s="16" t="n">
        <x:f>ABS(C344)</x:f>
        <x:v>0.007987262689428414</x:v>
      </x:c>
      <x:c r="F344" s="16" t="n">
        <x:f>C344^2</x:f>
        <x:v>0.00006379636526993521</x:v>
      </x:c>
      <x:c r="G344" s="1"/>
      <x:c r="H344" s="1"/>
      <x:c r="I344" s="1"/>
      <x:c r="J344" s="1"/>
      <x:c r="K344" s="1"/>
      <x:c r="L344" s="1"/>
      <x:c r="M344" s="1"/>
      <x:c r="N344" s="1"/>
    </x:row>
    <x:row r="345" ht="22" customHeight="1">
      <x:c r="A345" s="1" t="n">
        <x:v>329</x:v>
      </x:c>
      <x:c r="B345" s="16" t="n">
        <x:v>-0.5877435758492163</x:v>
      </x:c>
      <x:c r="C345" s="16" t="n">
        <x:f>$B$12+$D$12*B345</x:f>
        <x:v>-0.007278032547752166</x:v>
      </x:c>
      <x:c r="D345" s="12" t="n">
        <x:f>D344*EXP(C345)</x:f>
        <x:v>101.25202544472498</x:v>
      </x:c>
      <x:c r="E345" s="16" t="n">
        <x:f>ABS(C345)</x:f>
        <x:v>0.007278032547752166</x:v>
      </x:c>
      <x:c r="F345" s="16" t="n">
        <x:f>C345^2</x:f>
        <x:v>0.00005296975776613988</x:v>
      </x:c>
      <x:c r="G345" s="1"/>
      <x:c r="H345" s="1"/>
      <x:c r="I345" s="1"/>
      <x:c r="J345" s="1"/>
      <x:c r="K345" s="1"/>
      <x:c r="L345" s="1"/>
      <x:c r="M345" s="1"/>
      <x:c r="N345" s="1"/>
    </x:row>
    <x:row r="346" ht="22" customHeight="1">
      <x:c r="A346" s="1" t="n">
        <x:v>330</x:v>
      </x:c>
      <x:c r="B346" s="16" t="n">
        <x:v>-1.546560071628056</x:v>
      </x:c>
      <x:c r="C346" s="16" t="n">
        <x:f>$B$12+$D$12*B346</x:f>
        <x:v>-0.019954857694299975</x:v>
      </x:c>
      <x:c r="D346" s="12" t="n">
        <x:f>D345*EXP(C346)</x:f>
        <x:v>99.25158135464068</x:v>
      </x:c>
      <x:c r="E346" s="16" t="n">
        <x:f>ABS(C346)</x:f>
        <x:v>0.019954857694299975</x:v>
      </x:c>
      <x:c r="F346" s="16" t="n">
        <x:f>C346^2</x:f>
        <x:v>0.0003981963455997629</x:v>
      </x:c>
      <x:c r="G346" s="1"/>
      <x:c r="H346" s="1"/>
      <x:c r="I346" s="1"/>
      <x:c r="J346" s="1"/>
      <x:c r="K346" s="1"/>
      <x:c r="L346" s="1"/>
      <x:c r="M346" s="1"/>
      <x:c r="N346" s="1"/>
    </x:row>
    <x:row r="347" ht="22" customHeight="1">
      <x:c r="A347" s="1" t="n">
        <x:v>331</x:v>
      </x:c>
      <x:c r="B347" s="16" t="n">
        <x:v>1.1445734464391446</x:v>
      </x:c>
      <x:c r="C347" s="16" t="n">
        <x:f>$B$12+$D$12*B347</x:f>
        <x:v>0.0156254949641517</x:v>
      </x:c>
      <x:c r="D347" s="12" t="n">
        <x:f>D346*EXP(C347)</x:f>
        <x:v>100.81461623418996</x:v>
      </x:c>
      <x:c r="E347" s="16" t="n">
        <x:f>ABS(C347)</x:f>
        <x:v>0.0156254949641517</x:v>
      </x:c>
      <x:c r="F347" s="16" t="n">
        <x:f>C347^2</x:f>
        <x:v>0.00024415609287473014</x:v>
      </x:c>
      <x:c r="G347" s="1"/>
      <x:c r="H347" s="1"/>
      <x:c r="I347" s="1"/>
      <x:c r="J347" s="1"/>
      <x:c r="K347" s="1"/>
      <x:c r="L347" s="1"/>
      <x:c r="M347" s="1"/>
      <x:c r="N347" s="1"/>
    </x:row>
    <x:row r="348" ht="22" customHeight="1">
      <x:c r="A348" s="1" t="n">
        <x:v>332</x:v>
      </x:c>
      <x:c r="B348" s="16" t="n">
        <x:v>0.3175048981544317</x:v>
      </x:c>
      <x:c r="C348" s="16" t="n">
        <x:f>$B$12+$D$12*B348</x:f>
        <x:v>0.004690552337515024</x:v>
      </x:c>
      <x:c r="D348" s="12" t="n">
        <x:f>D347*EXP(C348)</x:f>
        <x:v>101.28860322940064</x:v>
      </x:c>
      <x:c r="E348" s="16" t="n">
        <x:f>ABS(C348)</x:f>
        <x:v>0.004690552337515024</x:v>
      </x:c>
      <x:c r="F348" s="16" t="n">
        <x:f>C348^2</x:f>
        <x:v>0.00002200128123096766</x:v>
      </x:c>
      <x:c r="G348" s="1"/>
      <x:c r="H348" s="1"/>
      <x:c r="I348" s="1"/>
      <x:c r="J348" s="1"/>
      <x:c r="K348" s="1"/>
      <x:c r="L348" s="1"/>
      <x:c r="M348" s="1"/>
      <x:c r="N348" s="1"/>
    </x:row>
    <x:row r="349" ht="22" customHeight="1">
      <x:c r="A349" s="1" t="n">
        <x:v>333</x:v>
      </x:c>
      <x:c r="B349" s="16" t="n">
        <x:v>-0.6475062740080723</x:v>
      </x:c>
      <x:c r="C349" s="16" t="n">
        <x:f>$B$12+$D$12*B349</x:f>
        <x:v>-0.00806817464290911</x:v>
      </x:c>
      <x:c r="D349" s="12" t="n">
        <x:f>D348*EXP(C349)</x:f>
        <x:v>100.47467695411335</x:v>
      </x:c>
      <x:c r="E349" s="16" t="n">
        <x:f>ABS(C349)</x:f>
        <x:v>0.00806817464290911</x:v>
      </x:c>
      <x:c r="F349" s="16" t="n">
        <x:f>C349^2</x:f>
        <x:v>0.00006509544206848155</x:v>
      </x:c>
      <x:c r="G349" s="1"/>
      <x:c r="H349" s="1"/>
      <x:c r="I349" s="1"/>
      <x:c r="J349" s="1"/>
      <x:c r="K349" s="1"/>
      <x:c r="L349" s="1"/>
      <x:c r="M349" s="1"/>
      <x:c r="N349" s="1"/>
    </x:row>
    <x:row r="350" ht="22" customHeight="1">
      <x:c r="A350" s="1" t="n">
        <x:v>334</x:v>
      </x:c>
      <x:c r="B350" s="16" t="n">
        <x:v>-0.18709360939245206</x:v>
      </x:c>
      <x:c r="C350" s="16" t="n">
        <x:f>$B$12+$D$12*B350</x:f>
        <x:v>-0.001980908862351829</x:v>
      </x:c>
      <x:c r="D350" s="12" t="n">
        <x:f>D349*EXP(C350)</x:f>
        <x:v>100.27584277730327</x:v>
      </x:c>
      <x:c r="E350" s="16" t="n">
        <x:f>ABS(C350)</x:f>
        <x:v>0.001980908862351829</x:v>
      </x:c>
      <x:c r="F350" s="16" t="n">
        <x:f>C350^2</x:f>
        <x:v>0.000003923999920944016</x:v>
      </x:c>
      <x:c r="G350" s="1"/>
      <x:c r="H350" s="1"/>
      <x:c r="I350" s="1"/>
      <x:c r="J350" s="1"/>
      <x:c r="K350" s="1"/>
      <x:c r="L350" s="1"/>
      <x:c r="M350" s="1"/>
      <x:c r="N350" s="1"/>
    </x:row>
    <x:row r="351" ht="22" customHeight="1">
      <x:c r="A351" s="1" t="n">
        <x:v>335</x:v>
      </x:c>
      <x:c r="B351" s="16" t="n">
        <x:v>-1.687304075252231</x:v>
      </x:c>
      <x:c r="C351" s="16" t="n">
        <x:f>$B$12+$D$12*B351</x:f>
        <x:v>-0.02181568000203413</x:v>
      </x:c>
      <x:c r="D351" s="12" t="n">
        <x:f>D350*EXP(C351)</x:f>
        <x:v>98.11194633565789</x:v>
      </x:c>
      <x:c r="E351" s="16" t="n">
        <x:f>ABS(C351)</x:f>
        <x:v>0.02181568000203413</x:v>
      </x:c>
      <x:c r="F351" s="16" t="n">
        <x:f>C351^2</x:f>
        <x:v>0.0004759238939511519</x:v>
      </x:c>
      <x:c r="G351" s="1"/>
      <x:c r="H351" s="1"/>
      <x:c r="I351" s="1"/>
      <x:c r="J351" s="1"/>
      <x:c r="K351" s="1"/>
      <x:c r="L351" s="1"/>
      <x:c r="M351" s="1"/>
      <x:c r="N351" s="1"/>
    </x:row>
    <x:row r="352" ht="22" customHeight="1">
      <x:c r="A352" s="1" t="n">
        <x:v>336</x:v>
      </x:c>
      <x:c r="B352" s="16" t="n">
        <x:v>-0.3152207105575846</x:v>
      </x:c>
      <x:c r="C352" s="16" t="n">
        <x:f>$B$12+$D$12*B352</x:f>
        <x:v>-0.0036749189937535258</x:v>
      </x:c>
      <x:c r="D352" s="12" t="n">
        <x:f>D351*EXP(C352)</x:f>
        <x:v>97.7520545721226</x:v>
      </x:c>
      <x:c r="E352" s="16" t="n">
        <x:f>ABS(C352)</x:f>
        <x:v>0.0036749189937535258</x:v>
      </x:c>
      <x:c r="F352" s="16" t="n">
        <x:f>C352^2</x:f>
        <x:v>0.000013505029610650426</x:v>
      </x:c>
      <x:c r="G352" s="1"/>
      <x:c r="H352" s="1"/>
      <x:c r="I352" s="1"/>
      <x:c r="J352" s="1"/>
      <x:c r="K352" s="1"/>
      <x:c r="L352" s="1"/>
      <x:c r="M352" s="1"/>
      <x:c r="N352" s="1"/>
    </x:row>
    <x:row r="353" ht="22" customHeight="1">
      <x:c r="A353" s="1" t="n">
        <x:v>337</x:v>
      </x:c>
      <x:c r="B353" s="16" t="n">
        <x:v>1.0682793403948556</x:v>
      </x:c>
      <x:c r="C353" s="16" t="n">
        <x:f>$B$12+$D$12*B353</x:f>
        <x:v>0.01461678574159081</x:v>
      </x:c>
      <x:c r="D353" s="12" t="n">
        <x:f>D352*EXP(C353)</x:f>
        <x:v>99.191368858119</x:v>
      </x:c>
      <x:c r="E353" s="16" t="n">
        <x:f>ABS(C353)</x:f>
        <x:v>0.01461678574159081</x:v>
      </x:c>
      <x:c r="F353" s="16" t="n">
        <x:f>C353^2</x:f>
        <x:v>0.0002136504254155724</x:v>
      </x:c>
      <x:c r="G353" s="1"/>
      <x:c r="H353" s="1"/>
      <x:c r="I353" s="1"/>
      <x:c r="J353" s="1"/>
      <x:c r="K353" s="1"/>
      <x:c r="L353" s="1"/>
      <x:c r="M353" s="1"/>
      <x:c r="N353" s="1"/>
    </x:row>
    <x:row r="354" ht="22" customHeight="1">
      <x:c r="A354" s="1" t="n">
        <x:v>338</x:v>
      </x:c>
      <x:c r="B354" s="16" t="n">
        <x:v>2.1039500834764118</x:v>
      </x:c>
      <x:c r="C354" s="16" t="n">
        <x:f>$B$12+$D$12*B354</x:f>
        <x:v>0.02830972592069726</x:v>
      </x:c>
      <x:c r="D354" s="12" t="n">
        <x:f>D353*EXP(C354)</x:f>
        <x:v>102.03957507304997</x:v>
      </x:c>
      <x:c r="E354" s="16" t="n">
        <x:f>ABS(C354)</x:f>
        <x:v>0.02830972592069726</x:v>
      </x:c>
      <x:c r="F354" s="16" t="n">
        <x:f>C354^2</x:f>
        <x:v>0.0008014405817049982</x:v>
      </x:c>
      <x:c r="G354" s="1"/>
      <x:c r="H354" s="1"/>
      <x:c r="I354" s="1"/>
      <x:c r="J354" s="1"/>
      <x:c r="K354" s="1"/>
      <x:c r="L354" s="1"/>
      <x:c r="M354" s="1"/>
      <x:c r="N354" s="1"/>
    </x:row>
    <x:row r="355" ht="22" customHeight="1">
      <x:c r="A355" s="1" t="n">
        <x:v>339</x:v>
      </x:c>
      <x:c r="B355" s="16" t="n">
        <x:v>0.24722690773372416</x:v>
      </x:c>
      <x:c r="C355" s="16" t="n">
        <x:f>$B$12+$D$12*B355</x:f>
        <x:v>0.0037613841388698826</x:v>
      </x:c>
      <x:c r="D355" s="12" t="n">
        <x:f>D354*EXP(C355)</x:f>
        <x:v>102.42410784664011</x:v>
      </x:c>
      <x:c r="E355" s="16" t="n">
        <x:f>ABS(C355)</x:f>
        <x:v>0.0037613841388698826</x:v>
      </x:c>
      <x:c r="F355" s="16" t="n">
        <x:f>C355^2</x:f>
        <x:v>0.000014148010640141928</x:v>
      </x:c>
      <x:c r="G355" s="1"/>
      <x:c r="H355" s="1"/>
      <x:c r="I355" s="1"/>
      <x:c r="J355" s="1"/>
      <x:c r="K355" s="1"/>
      <x:c r="L355" s="1"/>
      <x:c r="M355" s="1"/>
      <x:c r="N355" s="1"/>
    </x:row>
    <x:row r="356" ht="22" customHeight="1">
      <x:c r="A356" s="1" t="n">
        <x:v>340</x:v>
      </x:c>
      <x:c r="B356" s="16" t="n">
        <x:v>-1.3354336181255961</x:v>
      </x:c>
      <x:c r="C356" s="16" t="n">
        <x:f>$B$12+$D$12*B356</x:f>
        <x:v>-0.017163486095412944</x:v>
      </x:c>
      <x:c r="D356" s="12" t="n">
        <x:f>D355*EXP(C356)</x:f>
        <x:v>100.68115346956539</x:v>
      </x:c>
      <x:c r="E356" s="16" t="n">
        <x:f>ABS(C356)</x:f>
        <x:v>0.017163486095412944</x:v>
      </x:c>
      <x:c r="F356" s="16" t="n">
        <x:f>C356^2</x:f>
        <x:v>0.00029458525494743343</x:v>
      </x:c>
      <x:c r="G356" s="1"/>
      <x:c r="H356" s="1"/>
      <x:c r="I356" s="1"/>
      <x:c r="J356" s="1"/>
      <x:c r="K356" s="1"/>
      <x:c r="L356" s="1"/>
      <x:c r="M356" s="1"/>
      <x:c r="N356" s="1"/>
    </x:row>
    <x:row r="357" ht="22" customHeight="1">
      <x:c r="A357" s="1" t="n">
        <x:v>341</x:v>
      </x:c>
      <x:c r="B357" s="16" t="n">
        <x:v>1.0373544608991865</x:v>
      </x:c>
      <x:c r="C357" s="16" t="n">
        <x:f>$B$12+$D$12*B357</x:f>
        <x:v>0.014207917838534744</x:v>
      </x:c>
      <x:c r="D357" s="12" t="n">
        <x:f>D356*EXP(C357)</x:f>
        <x:v>102.12183332128582</x:v>
      </x:c>
      <x:c r="E357" s="16" t="n">
        <x:f>ABS(C357)</x:f>
        <x:v>0.014207917838534744</x:v>
      </x:c>
      <x:c r="F357" s="16" t="n">
        <x:f>C357^2</x:f>
        <x:v>0.00020186492930655378</x:v>
      </x:c>
      <x:c r="G357" s="1"/>
      <x:c r="H357" s="1"/>
      <x:c r="I357" s="1"/>
      <x:c r="J357" s="1"/>
      <x:c r="K357" s="1"/>
      <x:c r="L357" s="1"/>
      <x:c r="M357" s="1"/>
      <x:c r="N357" s="1"/>
    </x:row>
    <x:row r="358" ht="22" customHeight="1">
      <x:c r="A358" s="1" t="n">
        <x:v>342</x:v>
      </x:c>
      <x:c r="B358" s="16" t="n">
        <x:v>1.5786251425786606</x:v>
      </x:c>
      <x:c r="C358" s="16" t="n">
        <x:f>$B$12+$D$12*B358</x:f>
        <x:v>0.02136423379556238</x:v>
      </x:c>
      <x:c r="D358" s="12" t="n">
        <x:f>D357*EXP(C358)</x:f>
        <x:v>104.3270606631342</x:v>
      </x:c>
      <x:c r="E358" s="16" t="n">
        <x:f>ABS(C358)</x:f>
        <x:v>0.02136423379556238</x:v>
      </x:c>
      <x:c r="F358" s="16" t="n">
        <x:f>C358^2</x:f>
        <x:v>0.00045643048567144975</x:v>
      </x:c>
      <x:c r="G358" s="1"/>
      <x:c r="H358" s="1"/>
      <x:c r="I358" s="1"/>
      <x:c r="J358" s="1"/>
      <x:c r="K358" s="1"/>
      <x:c r="L358" s="1"/>
      <x:c r="M358" s="1"/>
      <x:c r="N358" s="1"/>
    </x:row>
    <x:row r="359" ht="22" customHeight="1">
      <x:c r="A359" s="1" t="n">
        <x:v>343</x:v>
      </x:c>
      <x:c r="B359" s="16" t="n">
        <x:v>-0.5418670880472313</x:v>
      </x:c>
      <x:c r="C359" s="16" t="n">
        <x:f>$B$12+$D$12*B359</x:f>
        <x:v>-0.006671484562017843</x:v>
      </x:c>
      <x:c r="D359" s="12" t="n">
        <x:f>D358*EXP(C359)</x:f>
        <x:v>103.63336086523705</x:v>
      </x:c>
      <x:c r="E359" s="16" t="n">
        <x:f>ABS(C359)</x:f>
        <x:v>0.006671484562017843</x:v>
      </x:c>
      <x:c r="F359" s="16" t="n">
        <x:f>C359^2</x:f>
        <x:v>0.00004450870626124241</x:v>
      </x:c>
      <x:c r="G359" s="1"/>
      <x:c r="H359" s="1"/>
      <x:c r="I359" s="1"/>
      <x:c r="J359" s="1"/>
      <x:c r="K359" s="1"/>
      <x:c r="L359" s="1"/>
      <x:c r="M359" s="1"/>
      <x:c r="N359" s="1"/>
    </x:row>
    <x:row r="360" ht="22" customHeight="1">
      <x:c r="A360" s="1" t="n">
        <x:v>344</x:v>
      </x:c>
      <x:c r="B360" s="16" t="n">
        <x:v>1.3021851743145343</x:v>
      </x:c>
      <x:c r="C360" s="16" t="n">
        <x:f>$B$12+$D$12*B360</x:f>
        <x:v>0.017709330947489277</x:v>
      </x:c>
      <x:c r="D360" s="12" t="n">
        <x:f>D359*EXP(C360)</x:f>
        <x:v>105.48498547447957</x:v>
      </x:c>
      <x:c r="E360" s="16" t="n">
        <x:f>ABS(C360)</x:f>
        <x:v>0.017709330947489277</x:v>
      </x:c>
      <x:c r="F360" s="16" t="n">
        <x:f>C360^2</x:f>
        <x:v>0.00031362040260770143</x:v>
      </x:c>
      <x:c r="G360" s="1"/>
      <x:c r="H360" s="1"/>
      <x:c r="I360" s="1"/>
      <x:c r="J360" s="1"/>
      <x:c r="K360" s="1"/>
      <x:c r="L360" s="1"/>
      <x:c r="M360" s="1"/>
      <x:c r="N360" s="1"/>
    </x:row>
    <x:row r="361" ht="22" customHeight="1">
      <x:c r="A361" s="1" t="n">
        <x:v>345</x:v>
      </x:c>
      <x:c r="B361" s="16" t="n">
        <x:v>0.31690897403207186</x:v>
      </x:c>
      <x:c r="C361" s="16" t="n">
        <x:f>$B$12+$D$12*B361</x:f>
        <x:v>0.0046826734306198835</x:v>
      </x:c>
      <x:c r="D361" s="12" t="n">
        <x:f>D360*EXP(C361)</x:f>
        <x:v>105.98009552792922</x:v>
      </x:c>
      <x:c r="E361" s="16" t="n">
        <x:f>ABS(C361)</x:f>
        <x:v>0.0046826734306198835</x:v>
      </x:c>
      <x:c r="F361" s="16" t="n">
        <x:f>C361^2</x:f>
        <x:v>0.000021927430457833388</x:v>
      </x:c>
      <x:c r="G361" s="1"/>
      <x:c r="H361" s="1"/>
      <x:c r="I361" s="1"/>
      <x:c r="J361" s="1"/>
      <x:c r="K361" s="1"/>
      <x:c r="L361" s="1"/>
      <x:c r="M361" s="1"/>
      <x:c r="N361" s="1"/>
    </x:row>
    <x:row r="362" ht="22" customHeight="1">
      <x:c r="A362" s="1" t="n">
        <x:v>346</x:v>
      </x:c>
      <x:c r="B362" s="16" t="n">
        <x:v>-0.18547264091480853</x:v>
      </x:c>
      <x:c r="C362" s="16" t="n">
        <x:f>$B$12+$D$12*B362</x:f>
        <x:v>-0.0019594775102113327</x:v>
      </x:c>
      <x:c r="D362" s="12" t="n">
        <x:f>D361*EXP(C362)</x:f>
        <x:v>105.77263323943663</x:v>
      </x:c>
      <x:c r="E362" s="16" t="n">
        <x:f>ABS(C362)</x:f>
        <x:v>0.0019594775102113327</x:v>
      </x:c>
      <x:c r="F362" s="16" t="n">
        <x:f>C362^2</x:f>
        <x:v>0.000003839552113024003</x:v>
      </x:c>
      <x:c r="G362" s="1"/>
      <x:c r="H362" s="1"/>
      <x:c r="I362" s="1"/>
      <x:c r="J362" s="1"/>
      <x:c r="K362" s="1"/>
      <x:c r="L362" s="1"/>
      <x:c r="M362" s="1"/>
      <x:c r="N362" s="1"/>
    </x:row>
    <x:row r="363" ht="22" customHeight="1">
      <x:c r="A363" s="1" t="n">
        <x:v>347</x:v>
      </x:c>
      <x:c r="B363" s="16" t="n">
        <x:v>0.9244703337379515</x:v>
      </x:c>
      <x:c r="C363" s="16" t="n">
        <x:f>$B$12+$D$12*B363</x:f>
        <x:v>0.012715440030587518</x:v>
      </x:c>
      <x:c r="D363" s="12" t="n">
        <x:f>D362*EXP(C363)</x:f>
        <x:v>107.12616595951503</x:v>
      </x:c>
      <x:c r="E363" s="16" t="n">
        <x:f>ABS(C363)</x:f>
        <x:v>0.012715440030587518</x:v>
      </x:c>
      <x:c r="F363" s="16" t="n">
        <x:f>C363^2</x:f>
        <x:v>0.0001616824151714675</x:v>
      </x:c>
      <x:c r="G363" s="1"/>
      <x:c r="H363" s="1"/>
      <x:c r="I363" s="1"/>
      <x:c r="J363" s="1"/>
      <x:c r="K363" s="1"/>
      <x:c r="L363" s="1"/>
      <x:c r="M363" s="1"/>
      <x:c r="N363" s="1"/>
    </x:row>
    <x:row r="364" ht="22" customHeight="1">
      <x:c r="A364" s="1" t="n">
        <x:v>348</x:v>
      </x:c>
      <x:c r="B364" s="16" t="n">
        <x:v>-0.570422492816769</x:v>
      </x:c>
      <x:c r="C364" s="16" t="n">
        <x:f>$B$12+$D$12*B364</x:f>
        <x:v>-0.007049024868057617</x:v>
      </x:c>
      <x:c r="D364" s="12" t="n">
        <x:f>D363*EXP(C364)</x:f>
        <x:v>106.373686191757</x:v>
      </x:c>
      <x:c r="E364" s="16" t="n">
        <x:f>ABS(C364)</x:f>
        <x:v>0.007049024868057617</x:v>
      </x:c>
      <x:c r="F364" s="16" t="n">
        <x:f>C364^2</x:f>
        <x:v>0.000049688751590494705</x:v>
      </x:c>
      <x:c r="G364" s="1"/>
      <x:c r="H364" s="1"/>
      <x:c r="I364" s="1"/>
      <x:c r="J364" s="1"/>
      <x:c r="K364" s="1"/>
      <x:c r="L364" s="1"/>
      <x:c r="M364" s="1"/>
      <x:c r="N364" s="1"/>
    </x:row>
    <x:row r="365" ht="22" customHeight="1">
      <x:c r="A365" s="1" t="n">
        <x:v>349</x:v>
      </x:c>
      <x:c r="B365" s="16" t="n">
        <x:v>0.02056869424599539</x:v>
      </x:c>
      <x:c r="C365" s="16" t="n">
        <x:f>$B$12+$D$12*B365</x:f>
        <x:v>0.0007646620830203164</x:v>
      </x:c>
      <x:c r="D365" s="12" t="n">
        <x:f>D364*EXP(C365)</x:f>
        <x:v>106.45505722292516</x:v>
      </x:c>
      <x:c r="E365" s="16" t="n">
        <x:f>ABS(C365)</x:f>
        <x:v>0.0007646620830203164</x:v>
      </x:c>
      <x:c r="F365" s="16" t="n">
        <x:f>C365^2</x:f>
        <x:v>5.847081012089692e-7</x:v>
      </x:c>
      <x:c r="G365" s="1"/>
      <x:c r="H365" s="1"/>
      <x:c r="I365" s="1"/>
      <x:c r="J365" s="1"/>
      <x:c r="K365" s="1"/>
      <x:c r="L365" s="1"/>
      <x:c r="M365" s="1"/>
      <x:c r="N365" s="1"/>
    </x:row>
    <x:row r="366" ht="22" customHeight="1">
      <x:c r="A366" s="1" t="n">
        <x:v>350</x:v>
      </x:c>
      <x:c r="B366" s="16" t="n">
        <x:v>0.8426920481816675</x:v>
      </x:c>
      <x:c r="C366" s="16" t="n">
        <x:f>$B$12+$D$12*B366</x:f>
        <x:v>0.011634222684676742</x:v>
      </x:c>
      <x:c r="D366" s="12" t="n">
        <x:f>D365*EXP(C366)</x:f>
        <x:v>107.7008117055231</x:v>
      </x:c>
      <x:c r="E366" s="16" t="n">
        <x:f>ABS(C366)</x:f>
        <x:v>0.011634222684676742</x:v>
      </x:c>
      <x:c r="F366" s="16" t="n">
        <x:f>C366^2</x:f>
        <x:v>0.0001353551374766469</x:v>
      </x:c>
      <x:c r="G366" s="1"/>
      <x:c r="H366" s="1"/>
      <x:c r="I366" s="1"/>
      <x:c r="J366" s="1"/>
      <x:c r="K366" s="1"/>
      <x:c r="L366" s="1"/>
      <x:c r="M366" s="1"/>
      <x:c r="N366" s="1"/>
    </x:row>
    <x:row r="367" ht="22" customHeight="1">
      <x:c r="A367" s="1" t="n">
        <x:v>351</x:v>
      </x:c>
      <x:c r="B367" s="16" t="n">
        <x:v>-0.7585651855460861</x:v>
      </x:c>
      <x:c r="C367" s="16" t="n">
        <x:f>$B$12+$D$12*B367</x:f>
        <x:v>-0.009536520680687399</x:v>
      </x:c>
      <x:c r="D367" s="12" t="n">
        <x:f>D366*EXP(C367)</x:f>
        <x:v>106.6786025936093</x:v>
      </x:c>
      <x:c r="E367" s="16" t="n">
        <x:f>ABS(C367)</x:f>
        <x:v>0.009536520680687399</x:v>
      </x:c>
      <x:c r="F367" s="16" t="n">
        <x:f>C367^2</x:f>
        <x:v>0.00009094522669317845</x:v>
      </x:c>
      <x:c r="G367" s="1"/>
      <x:c r="H367" s="1"/>
      <x:c r="I367" s="1"/>
      <x:c r="J367" s="1"/>
      <x:c r="K367" s="1"/>
      <x:c r="L367" s="1"/>
      <x:c r="M367" s="1"/>
      <x:c r="N367" s="1"/>
    </x:row>
    <x:row r="368" ht="22" customHeight="1">
      <x:c r="A368" s="1" t="n">
        <x:v>352</x:v>
      </x:c>
      <x:c r="B368" s="16" t="n">
        <x:v>-1.1982065683694194</x:v>
      </x:c>
      <x:c r="C368" s="16" t="n">
        <x:f>$B$12+$D$12*B368</x:f>
        <x:v>-0.015349162580126943</x:v>
      </x:c>
      <x:c r="D368" s="12" t="n">
        <x:f>D367*EXP(C368)</x:f>
        <x:v>105.05367789737922</x:v>
      </x:c>
      <x:c r="E368" s="16" t="n">
        <x:f>ABS(C368)</x:f>
        <x:v>0.015349162580126943</x:v>
      </x:c>
      <x:c r="F368" s="16" t="n">
        <x:f>C368^2</x:f>
        <x:v>0.00023559679191116918</x:v>
      </x:c>
      <x:c r="G368" s="1"/>
      <x:c r="H368" s="1"/>
      <x:c r="I368" s="1"/>
      <x:c r="J368" s="1"/>
      <x:c r="K368" s="1"/>
      <x:c r="L368" s="1"/>
      <x:c r="M368" s="1"/>
      <x:c r="N368" s="1"/>
    </x:row>
    <x:row r="369" ht="22" customHeight="1">
      <x:c r="A369" s="1" t="n">
        <x:v>353</x:v>
      </x:c>
      <x:c r="B369" s="16" t="n">
        <x:v>-1.5576797332638312</x:v>
      </x:c>
      <x:c r="C369" s="16" t="n">
        <x:f>$B$12+$D$12*B369</x:f>
        <x:v>-0.020101874362104585</x:v>
      </x:c>
      <x:c r="D369" s="12" t="n">
        <x:f>D368*EXP(C369)</x:f>
        <x:v>102.96298587818666</x:v>
      </x:c>
      <x:c r="E369" s="16" t="n">
        <x:f>ABS(C369)</x:f>
        <x:v>0.020101874362104585</x:v>
      </x:c>
      <x:c r="F369" s="16" t="n">
        <x:f>C369^2</x:f>
        <x:v>0.0004040853528698376</x:v>
      </x:c>
      <x:c r="G369" s="1"/>
      <x:c r="H369" s="1"/>
      <x:c r="I369" s="1"/>
      <x:c r="J369" s="1"/>
      <x:c r="K369" s="1"/>
      <x:c r="L369" s="1"/>
      <x:c r="M369" s="1"/>
      <x:c r="N369" s="1"/>
    </x:row>
    <x:row r="370" ht="22" customHeight="1">
      <x:c r="A370" s="1" t="n">
        <x:v>354</x:v>
      </x:c>
      <x:c r="B370" s="16" t="n">
        <x:v>-2.519146178174884</x:v>
      </x:c>
      <x:c r="C370" s="16" t="n">
        <x:f>$B$12+$D$12*B370</x:f>
        <x:v>-0.032813735349133025</x:v>
      </x:c>
      <x:c r="D370" s="12" t="n">
        <x:f>D369*EXP(C370)</x:f>
        <x:v>99.63921658309597</x:v>
      </x:c>
      <x:c r="E370" s="16" t="n">
        <x:f>ABS(C370)</x:f>
        <x:v>0.032813735349133025</x:v>
      </x:c>
      <x:c r="F370" s="16" t="n">
        <x:f>C370^2</x:f>
        <x:v>0.0010767412275629422</x:v>
      </x:c>
      <x:c r="G370" s="1"/>
      <x:c r="H370" s="1"/>
      <x:c r="I370" s="1"/>
      <x:c r="J370" s="1"/>
      <x:c r="K370" s="1"/>
      <x:c r="L370" s="1"/>
      <x:c r="M370" s="1"/>
      <x:c r="N370" s="1"/>
    </x:row>
    <x:row r="371" ht="22" customHeight="1">
      <x:c r="A371" s="1" t="n">
        <x:v>355</x:v>
      </x:c>
      <x:c r="B371" s="16" t="n">
        <x:v>1.0379216848495918</x:v>
      </x:c>
      <x:c r="C371" s="16" t="n">
        <x:f>$B$12+$D$12*B371</x:f>
        <x:v>0.014215417291109745</x:v>
      </x:c>
      <x:c r="D371" s="12" t="n">
        <x:f>D370*EXP(C371)</x:f>
        <x:v>101.06574495096778</x:v>
      </x:c>
      <x:c r="E371" s="16" t="n">
        <x:f>ABS(C371)</x:f>
        <x:v>0.014215417291109745</x:v>
      </x:c>
      <x:c r="F371" s="16" t="n">
        <x:f>C371^2</x:f>
        <x:v>0.00020207808876038192</x:v>
      </x:c>
      <x:c r="G371" s="1"/>
      <x:c r="H371" s="1"/>
      <x:c r="I371" s="1"/>
      <x:c r="J371" s="1"/>
      <x:c r="K371" s="1"/>
      <x:c r="L371" s="1"/>
      <x:c r="M371" s="1"/>
      <x:c r="N371" s="1"/>
    </x:row>
    <x:row r="372" ht="22" customHeight="1">
      <x:c r="A372" s="1" t="n">
        <x:v>356</x:v>
      </x:c>
      <x:c r="B372" s="16" t="n">
        <x:v>-1.2033935768027564</x:v>
      </x:c>
      <x:c r="C372" s="16" t="n">
        <x:f>$B$12+$D$12*B372</x:f>
        <x:v>-0.015417741707866781</x:v>
      </x:c>
      <x:c r="D372" s="12" t="n">
        <x:f>D371*EXP(C372)</x:f>
        <x:v>99.51948990970585</x:v>
      </x:c>
      <x:c r="E372" s="16" t="n">
        <x:f>ABS(C372)</x:f>
        <x:v>0.015417741707866781</x:v>
      </x:c>
      <x:c r="F372" s="16" t="n">
        <x:f>C372^2</x:f>
        <x:v>0.0002377067593704949</x:v>
      </x:c>
      <x:c r="G372" s="1"/>
      <x:c r="H372" s="1"/>
      <x:c r="I372" s="1"/>
      <x:c r="J372" s="1"/>
      <x:c r="K372" s="1"/>
      <x:c r="L372" s="1"/>
      <x:c r="M372" s="1"/>
      <x:c r="N372" s="1"/>
    </x:row>
    <x:row r="373" ht="22" customHeight="1">
      <x:c r="A373" s="1" t="n">
        <x:v>357</x:v>
      </x:c>
      <x:c r="B373" s="16" t="n">
        <x:v>0.9897798398393787</x:v>
      </x:c>
      <x:c r="C373" s="16" t="n">
        <x:f>$B$12+$D$12*B373</x:f>
        <x:v>0.013578918279971075</x:v>
      </x:c>
      <x:c r="D373" s="12" t="n">
        <x:f>D372*EXP(C373)</x:f>
        <x:v>100.88007365207845</x:v>
      </x:c>
      <x:c r="E373" s="16" t="n">
        <x:f>ABS(C373)</x:f>
        <x:v>0.013578918279971075</x:v>
      </x:c>
      <x:c r="F373" s="16" t="n">
        <x:f>C373^2</x:f>
        <x:v>0.0001843870216541326</x:v>
      </x:c>
      <x:c r="G373" s="1"/>
      <x:c r="H373" s="1"/>
      <x:c r="I373" s="1"/>
      <x:c r="J373" s="1"/>
      <x:c r="K373" s="1"/>
      <x:c r="L373" s="1"/>
      <x:c r="M373" s="1"/>
      <x:c r="N373" s="1"/>
    </x:row>
    <x:row r="374" ht="22" customHeight="1">
      <x:c r="A374" s="1" t="n">
        <x:v>358</x:v>
      </x:c>
      <x:c r="B374" s="16" t="n">
        <x:v>0.9841175492540732</x:v>
      </x:c>
      <x:c r="C374" s="16" t="n">
        <x:f>$B$12+$D$12*B374</x:f>
        <x:v>0.01350405529211587</x:v>
      </x:c>
      <x:c r="D374" s="12" t="n">
        <x:f>D373*EXP(C374)</x:f>
        <x:v>102.25160350950091</x:v>
      </x:c>
      <x:c r="E374" s="16" t="n">
        <x:f>ABS(C374)</x:f>
        <x:v>0.01350405529211587</x:v>
      </x:c>
      <x:c r="F374" s="16" t="n">
        <x:f>C374^2</x:f>
        <x:v>0.00018235950933252266</x:v>
      </x:c>
      <x:c r="G374" s="1"/>
      <x:c r="H374" s="1"/>
      <x:c r="I374" s="1"/>
      <x:c r="J374" s="1"/>
      <x:c r="K374" s="1"/>
      <x:c r="L374" s="1"/>
      <x:c r="M374" s="1"/>
      <x:c r="N374" s="1"/>
    </x:row>
    <x:row r="375" ht="22" customHeight="1">
      <x:c r="A375" s="1" t="n">
        <x:v>359</x:v>
      </x:c>
      <x:c r="B375" s="16" t="n">
        <x:v>-1.1945491092831122</x:v>
      </x:c>
      <x:c r="C375" s="16" t="n">
        <x:f>$B$12+$D$12*B375</x:f>
        <x:v>-0.01530080612242947</x:v>
      </x:c>
      <x:c r="D375" s="12" t="n">
        <x:f>D374*EXP(C375)</x:f>
        <x:v>100.69898003475454</x:v>
      </x:c>
      <x:c r="E375" s="16" t="n">
        <x:f>ABS(C375)</x:f>
        <x:v>0.01530080612242947</x:v>
      </x:c>
      <x:c r="F375" s="16" t="n">
        <x:f>C375^2</x:f>
        <x:v>0.00023411466799617514</x:v>
      </x:c>
      <x:c r="G375" s="1"/>
      <x:c r="H375" s="1"/>
      <x:c r="I375" s="1"/>
      <x:c r="J375" s="1"/>
      <x:c r="K375" s="1"/>
      <x:c r="L375" s="1"/>
      <x:c r="M375" s="1"/>
      <x:c r="N375" s="1"/>
    </x:row>
    <x:row r="376" ht="22" customHeight="1">
      <x:c r="A376" s="1" t="n">
        <x:v>360</x:v>
      </x:c>
      <x:c r="B376" s="16" t="n">
        <x:v>0.8968039119997323</x:v>
      </x:c>
      <x:c r="C376" s="16" t="n">
        <x:f>$B$12+$D$12*B376</x:f>
        <x:v>0.012349653258718136</x:v>
      </x:c>
      <x:c r="D376" s="12" t="n">
        <x:f>D375*EXP(C376)</x:f>
        <x:v>101.9502882293978</x:v>
      </x:c>
      <x:c r="E376" s="16" t="n">
        <x:f>ABS(C376)</x:f>
        <x:v>0.012349653258718136</x:v>
      </x:c>
      <x:c r="F376" s="16" t="n">
        <x:f>C376^2</x:f>
        <x:v>0.00015251393561056746</x:v>
      </x:c>
      <x:c r="G376" s="1"/>
      <x:c r="H376" s="1"/>
      <x:c r="I376" s="1"/>
      <x:c r="J376" s="1"/>
      <x:c r="K376" s="1"/>
      <x:c r="L376" s="1"/>
      <x:c r="M376" s="1"/>
      <x:c r="N376" s="1"/>
    </x:row>
    <x:row r="377" ht="22" customHeight="1">
      <x:c r="A377" s="1" t="n">
        <x:v>361</x:v>
      </x:c>
      <x:c r="B377" s="16" t="n">
        <x:v>0.639859378073302</x:v>
      </x:c>
      <x:c r="C377" s="16" t="n">
        <x:f>$B$12+$D$12*B377</x:f>
        <x:v>0.008952505897062927</x:v>
      </x:c>
      <x:c r="D377" s="12" t="n">
        <x:f>D376*EXP(C377)</x:f>
        <x:v>102.86709652852527</x:v>
      </x:c>
      <x:c r="E377" s="16" t="n">
        <x:f>ABS(C377)</x:f>
        <x:v>0.008952505897062927</x:v>
      </x:c>
      <x:c r="F377" s="16" t="n">
        <x:f>C377^2</x:f>
        <x:v>0.00008014736183694648</x:v>
      </x:c>
      <x:c r="G377" s="1"/>
      <x:c r="H377" s="1"/>
      <x:c r="I377" s="1"/>
      <x:c r="J377" s="1"/>
      <x:c r="K377" s="1"/>
      <x:c r="L377" s="1"/>
      <x:c r="M377" s="1"/>
      <x:c r="N377" s="1"/>
    </x:row>
    <x:row r="378" ht="22" customHeight="1">
      <x:c r="A378" s="1" t="n">
        <x:v>362</x:v>
      </x:c>
      <x:c r="B378" s="16" t="n">
        <x:v>-0.13203403024764465</x:v>
      </x:c>
      <x:c r="C378" s="16" t="n">
        <x:f>$B$12+$D$12*B378</x:f>
        <x:v>-0.0012529482353350095</x:v>
      </x:c>
      <x:c r="D378" s="12" t="n">
        <x:f>D377*EXP(C378)</x:f>
        <x:v>102.73829009220523</x:v>
      </x:c>
      <x:c r="E378" s="16" t="n">
        <x:f>ABS(C378)</x:f>
        <x:v>0.0012529482353350095</x:v>
      </x:c>
      <x:c r="F378" s="16" t="n">
        <x:f>C378^2</x:f>
        <x:v>0.0000015698792804291145</x:v>
      </x:c>
      <x:c r="G378" s="1"/>
      <x:c r="H378" s="1"/>
      <x:c r="I378" s="1"/>
      <x:c r="J378" s="1"/>
      <x:c r="K378" s="1"/>
      <x:c r="L378" s="1"/>
      <x:c r="M378" s="1"/>
      <x:c r="N378" s="1"/>
    </x:row>
    <x:row r="379" ht="22" customHeight="1">
      <x:c r="A379" s="1" t="n">
        <x:v>363</x:v>
      </x:c>
      <x:c r="B379" s="16" t="n">
        <x:v>-1.0238573008787692</x:v>
      </x:c>
      <x:c r="C379" s="16" t="n">
        <x:f>$B$12+$D$12*B379</x:f>
        <x:v>-0.013044034134654863</x:v>
      </x:c>
      <x:c r="D379" s="12" t="n">
        <x:f>D378*EXP(C379)</x:f>
        <x:v>101.40687074701071</x:v>
      </x:c>
      <x:c r="E379" s="16" t="n">
        <x:f>ABS(C379)</x:f>
        <x:v>0.013044034134654863</x:v>
      </x:c>
      <x:c r="F379" s="16" t="n">
        <x:f>C379^2</x:f>
        <x:v>0.00017014682650604124</x:v>
      </x:c>
      <x:c r="G379" s="1"/>
      <x:c r="H379" s="1"/>
      <x:c r="I379" s="1"/>
      <x:c r="J379" s="1"/>
      <x:c r="K379" s="1"/>
      <x:c r="L379" s="1"/>
      <x:c r="M379" s="1"/>
      <x:c r="N379" s="1"/>
    </x:row>
    <x:row r="380" ht="22" customHeight="1">
      <x:c r="A380" s="1" t="n">
        <x:v>364</x:v>
      </x:c>
      <x:c r="B380" s="16" t="n">
        <x:v>1.0441407688615925</x:v>
      </x:c>
      <x:c r="C380" s="16" t="n">
        <x:f>$B$12+$D$12*B380</x:f>
        <x:v>0.014297641826189093</x:v>
      </x:c>
      <x:c r="D380" s="12" t="n">
        <x:f>D379*EXP(C380)</x:f>
        <x:v>102.86716436489212</x:v>
      </x:c>
      <x:c r="E380" s="16" t="n">
        <x:f>ABS(C380)</x:f>
        <x:v>0.014297641826189093</x:v>
      </x:c>
      <x:c r="F380" s="16" t="n">
        <x:f>C380^2</x:f>
        <x:v>0.00020442256178999178</x:v>
      </x:c>
      <x:c r="G380" s="1"/>
      <x:c r="H380" s="1"/>
      <x:c r="I380" s="1"/>
      <x:c r="J380" s="1"/>
      <x:c r="K380" s="1"/>
      <x:c r="L380" s="1"/>
      <x:c r="M380" s="1"/>
      <x:c r="N380" s="1"/>
    </x:row>
    <x:row r="381" ht="22" customHeight="1">
      <x:c r="A381" s="1" t="n">
        <x:v>365</x:v>
      </x:c>
      <x:c r="B381" s="16" t="n">
        <x:v>0.8165060806215958</x:v>
      </x:c>
      <x:c r="C381" s="16" t="n">
        <x:f>$B$12+$D$12*B381</x:f>
        <x:v>0.011288009479633208</x:v>
      </x:c>
      <x:c r="D381" s="12" t="n">
        <x:f>D380*EXP(C381)</x:f>
        <x:v>104.03490824398904</x:v>
      </x:c>
      <x:c r="E381" s="16" t="n">
        <x:f>ABS(C381)</x:f>
        <x:v>0.011288009479633208</x:v>
      </x:c>
      <x:c r="F381" s="16" t="n">
        <x:f>C381^2</x:f>
        <x:v>0.00012741915801228916</x:v>
      </x:c>
      <x:c r="G381" s="1"/>
      <x:c r="H381" s="1"/>
      <x:c r="I381" s="1"/>
      <x:c r="J381" s="1"/>
      <x:c r="K381" s="1"/>
      <x:c r="L381" s="1"/>
      <x:c r="M381" s="1"/>
      <x:c r="N381" s="1"/>
    </x:row>
    <x:row r="382" ht="22" customHeight="1">
      <x:c r="A382" s="1" t="n">
        <x:v>366</x:v>
      </x:c>
      <x:c r="B382" s="16" t="n">
        <x:v>-0.01514774545138322</x:v>
      </x:c>
      <x:c r="C382" s="16" t="n">
        <x:f>$B$12+$D$12*B382</x:f>
        <x:v>0.000292443402079596</x:v>
      </x:c>
      <x:c r="D382" s="12" t="n">
        <x:f>D381*EXP(C382)</x:f>
        <x:v>104.06533701562083</x:v>
      </x:c>
      <x:c r="E382" s="16" t="n">
        <x:f>ABS(C382)</x:f>
        <x:v>0.000292443402079596</x:v>
      </x:c>
      <x:c r="F382" s="16" t="n">
        <x:f>C382^2</x:f>
        <x:v>8.552314341988825e-8</x:v>
      </x:c>
      <x:c r="G382" s="1"/>
      <x:c r="H382" s="1"/>
      <x:c r="I382" s="1"/>
      <x:c r="J382" s="1"/>
      <x:c r="K382" s="1"/>
      <x:c r="L382" s="1"/>
      <x:c r="M382" s="1"/>
      <x:c r="N382" s="1"/>
    </x:row>
    <x:row r="383" ht="22" customHeight="1">
      <x:c r="A383" s="1" t="n">
        <x:v>367</x:v>
      </x:c>
      <x:c r="B383" s="16" t="n">
        <x:v>-0.3446932664567762</x:v>
      </x:c>
      <x:c r="C383" s="16" t="n">
        <x:f>$B$12+$D$12*B383</x:f>
        <x:v>-0.004064585253565234</x:v>
      </x:c>
      <x:c r="D383" s="12" t="n">
        <x:f>D382*EXP(C383)</x:f>
        <x:v>103.64321304197293</x:v>
      </x:c>
      <x:c r="E383" s="16" t="n">
        <x:f>ABS(C383)</x:f>
        <x:v>0.004064585253565234</x:v>
      </x:c>
      <x:c r="F383" s="16" t="n">
        <x:f>C383^2</x:f>
        <x:v>0.000016520853283499957</x:v>
      </x:c>
      <x:c r="G383" s="1"/>
      <x:c r="H383" s="1"/>
      <x:c r="I383" s="1"/>
      <x:c r="J383" s="1"/>
      <x:c r="K383" s="1"/>
      <x:c r="L383" s="1"/>
      <x:c r="M383" s="1"/>
      <x:c r="N383" s="1"/>
    </x:row>
    <x:row r="384" ht="22" customHeight="1">
      <x:c r="A384" s="1" t="n">
        <x:v>368</x:v>
      </x:c>
      <x:c r="B384" s="16" t="n">
        <x:v>0.26351085306635635</x:v>
      </x:c>
      <x:c r="C384" s="16" t="n">
        <x:f>$B$12+$D$12*B384</x:f>
        <x:v>0.00397667948327261</x:v>
      </x:c>
      <x:c r="D384" s="12" t="n">
        <x:f>D383*EXP(C384)</x:f>
        <x:v>104.05618947407643</x:v>
      </x:c>
      <x:c r="E384" s="16" t="n">
        <x:f>ABS(C384)</x:f>
        <x:v>0.00397667948327261</x:v>
      </x:c>
      <x:c r="F384" s="16" t="n">
        <x:f>C384^2</x:f>
        <x:v>0.00001581397971268131</x:v>
      </x:c>
      <x:c r="G384" s="1"/>
      <x:c r="H384" s="1"/>
      <x:c r="I384" s="1"/>
      <x:c r="J384" s="1"/>
      <x:c r="K384" s="1"/>
      <x:c r="L384" s="1"/>
      <x:c r="M384" s="1"/>
      <x:c r="N384" s="1"/>
    </x:row>
    <x:row r="385" ht="22" customHeight="1">
      <x:c r="A385" s="1" t="n">
        <x:v>369</x:v>
      </x:c>
      <x:c r="B385" s="16" t="n">
        <x:v>1.1927790990322549</x:v>
      </x:c>
      <x:c r="C385" s="16" t="n">
        <x:f>$B$12+$D$12*B385</x:f>
        <x:v>0.01626283759612394</x:v>
      </x:c>
      <x:c r="D385" s="12" t="n">
        <x:f>D384*EXP(C385)</x:f>
        <x:v>105.76227366753281</x:v>
      </x:c>
      <x:c r="E385" s="16" t="n">
        <x:f>ABS(C385)</x:f>
        <x:v>0.01626283759612394</x:v>
      </x:c>
      <x:c r="F385" s="16" t="n">
        <x:f>C385^2</x:f>
        <x:v>0.0002644798866779023</x:v>
      </x:c>
      <x:c r="G385" s="1"/>
      <x:c r="H385" s="1"/>
      <x:c r="I385" s="1"/>
      <x:c r="J385" s="1"/>
      <x:c r="K385" s="1"/>
      <x:c r="L385" s="1"/>
      <x:c r="M385" s="1"/>
      <x:c r="N385" s="1"/>
    </x:row>
    <x:row r="386" ht="22" customHeight="1">
      <x:c r="A386" s="1" t="n">
        <x:v>370</x:v>
      </x:c>
      <x:c r="B386" s="16" t="n">
        <x:v>0.3209865918029448</x:v>
      </x:c>
      <x:c r="C386" s="16" t="n">
        <x:f>$B$12+$D$12*B386</x:f>
        <x:v>0.004736584943118242</x:v>
      </x:c>
      <x:c r="D386" s="12" t="n">
        <x:f>D385*EXP(C386)</x:f>
        <x:v>106.26441393675303</x:v>
      </x:c>
      <x:c r="E386" s="16" t="n">
        <x:f>ABS(C386)</x:f>
        <x:v>0.004736584943118242</x:v>
      </x:c>
      <x:c r="F386" s="16" t="n">
        <x:f>C386^2</x:f>
        <x:v>0.000022435236923374438</x:v>
      </x:c>
      <x:c r="G386" s="1"/>
      <x:c r="H386" s="1"/>
      <x:c r="I386" s="1"/>
      <x:c r="J386" s="1"/>
      <x:c r="K386" s="1"/>
      <x:c r="L386" s="1"/>
      <x:c r="M386" s="1"/>
      <x:c r="N386" s="1"/>
    </x:row>
    <x:row r="387" ht="22" customHeight="1">
      <x:c r="A387" s="1" t="n">
        <x:v>371</x:v>
      </x:c>
      <x:c r="B387" s="16" t="n">
        <x:v>1.42314757985895</x:v>
      </x:c>
      <x:c r="C387" s="16" t="n">
        <x:f>$B$12+$D$12*B387</x:f>
        <x:v>0.01930861430477734</x:v>
      </x:c>
      <x:c r="D387" s="12" t="n">
        <x:f>D386*EXP(C387)</x:f>
        <x:v>108.33616951847202</x:v>
      </x:c>
      <x:c r="E387" s="16" t="n">
        <x:f>ABS(C387)</x:f>
        <x:v>0.01930861430477734</x:v>
      </x:c>
      <x:c r="F387" s="16" t="n">
        <x:f>C387^2</x:f>
        <x:v>0.00037282258637065215</x:v>
      </x:c>
      <x:c r="G387" s="1"/>
      <x:c r="H387" s="1"/>
      <x:c r="I387" s="1"/>
      <x:c r="J387" s="1"/>
      <x:c r="K387" s="1"/>
      <x:c r="L387" s="1"/>
      <x:c r="M387" s="1"/>
      <x:c r="N387" s="1"/>
    </x:row>
    <x:row r="388" ht="22" customHeight="1">
      <x:c r="A388" s="1" t="n">
        <x:v>372</x:v>
      </x:c>
      <x:c r="B388" s="16" t="n">
        <x:v>-0.008136204440103424</x:v>
      </x:c>
      <x:c r="C388" s="16" t="n">
        <x:f>$B$12+$D$12*B388</x:f>
        <x:v>0.0003851452692243024</x:v>
      </x:c>
      <x:c r="D388" s="12" t="n">
        <x:f>D387*EXP(C388)</x:f>
        <x:v>108.3779027178042</x:v>
      </x:c>
      <x:c r="E388" s="16" t="n">
        <x:f>ABS(C388)</x:f>
        <x:v>0.0003851452692243024</x:v>
      </x:c>
      <x:c r="F388" s="16" t="n">
        <x:f>C388^2</x:f>
        <x:v>1.4833687840586038e-7</x:v>
      </x:c>
      <x:c r="G388" s="1"/>
      <x:c r="H388" s="1"/>
      <x:c r="I388" s="1"/>
      <x:c r="J388" s="1"/>
      <x:c r="K388" s="1"/>
      <x:c r="L388" s="1"/>
      <x:c r="M388" s="1"/>
      <x:c r="N388" s="1"/>
    </x:row>
    <x:row r="389" ht="22" customHeight="1">
      <x:c r="A389" s="1" t="n">
        <x:v>373</x:v>
      </x:c>
      <x:c r="B389" s="16" t="n">
        <x:v>-0.8226093886628786</x:v>
      </x:c>
      <x:c r="C389" s="16" t="n">
        <x:f>$B$12+$D$12*B389</x:f>
        <x:v>-0.010383269947242401</x:v>
      </x:c>
      <x:c r="D389" s="12" t="n">
        <x:f>D388*EXP(C389)</x:f>
        <x:v>107.25840776464614</x:v>
      </x:c>
      <x:c r="E389" s="16" t="n">
        <x:f>ABS(C389)</x:f>
        <x:v>0.010383269947242401</x:v>
      </x:c>
      <x:c r="F389" s="16" t="n">
        <x:f>C389^2</x:f>
        <x:v>0.00010781229479730722</x:v>
      </x:c>
      <x:c r="G389" s="1"/>
      <x:c r="H389" s="1"/>
      <x:c r="I389" s="1"/>
      <x:c r="J389" s="1"/>
      <x:c r="K389" s="1"/>
      <x:c r="L389" s="1"/>
      <x:c r="M389" s="1"/>
      <x:c r="N389" s="1"/>
    </x:row>
    <x:row r="390" ht="22" customHeight="1">
      <x:c r="A390" s="1" t="n">
        <x:v>374</x:v>
      </x:c>
      <x:c r="B390" s="16" t="n">
        <x:v>0.4766119047383073</x:v>
      </x:c>
      <x:c r="C390" s="16" t="n">
        <x:f>$B$12+$D$12*B390</x:f>
        <x:v>0.006794157887621929</x:v>
      </x:c>
      <x:c r="D390" s="12" t="n">
        <x:f>D389*EXP(C390)</x:f>
        <x:v>107.98961949297882</x:v>
      </x:c>
      <x:c r="E390" s="16" t="n">
        <x:f>ABS(C390)</x:f>
        <x:v>0.006794157887621929</x:v>
      </x:c>
      <x:c r="F390" s="16" t="n">
        <x:f>C390^2</x:f>
        <x:v>0.000046160581401935275</x:v>
      </x:c>
      <x:c r="G390" s="1"/>
      <x:c r="H390" s="1"/>
      <x:c r="I390" s="1"/>
      <x:c r="J390" s="1"/>
      <x:c r="K390" s="1"/>
      <x:c r="L390" s="1"/>
      <x:c r="M390" s="1"/>
      <x:c r="N390" s="1"/>
    </x:row>
    <x:row r="391" ht="22" customHeight="1">
      <x:c r="A391" s="1" t="n">
        <x:v>375</x:v>
      </x:c>
      <x:c r="B391" s="16" t="n">
        <x:v>-2.704671271698895</x:v>
      </x:c>
      <x:c r="C391" s="16" t="n">
        <x:f>$B$12+$D$12*B391</x:f>
        <x:v>-0.035266623030201144</x:v>
      </x:c>
      <x:c r="D391" s="12" t="n">
        <x:f>D390*EXP(C391)</x:f>
        <x:v>104.24756297518611</x:v>
      </x:c>
      <x:c r="E391" s="16" t="n">
        <x:f>ABS(C391)</x:f>
        <x:v>0.035266623030201144</x:v>
      </x:c>
      <x:c r="F391" s="16" t="n">
        <x:f>C391^2</x:f>
        <x:v>0.0012437346999543137</x:v>
      </x:c>
      <x:c r="G391" s="1"/>
      <x:c r="H391" s="1"/>
      <x:c r="I391" s="1"/>
      <x:c r="J391" s="1"/>
      <x:c r="K391" s="1"/>
      <x:c r="L391" s="1"/>
      <x:c r="M391" s="1"/>
      <x:c r="N391" s="1"/>
    </x:row>
    <x:row r="392" ht="22" customHeight="1">
      <x:c r="A392" s="1" t="n">
        <x:v>376</x:v>
      </x:c>
      <x:c r="B392" s="16" t="n">
        <x:v>-0.4467606707918148</x:v>
      </x:c>
      <x:c r="C392" s="16" t="n">
        <x:f>$B$12+$D$12*B392</x:f>
        <x:v>-0.005414051646366769</x:v>
      </x:c>
      <x:c r="D392" s="12" t="n">
        <x:f>D391*EXP(C392)</x:f>
        <x:v>103.68468638162174</x:v>
      </x:c>
      <x:c r="E392" s="16" t="n">
        <x:f>ABS(C392)</x:f>
        <x:v>0.005414051646366769</x:v>
      </x:c>
      <x:c r="F392" s="16" t="n">
        <x:f>C392^2</x:f>
        <x:v>0.000029311955229526718</x:v>
      </x:c>
      <x:c r="G392" s="1"/>
      <x:c r="H392" s="1"/>
      <x:c r="I392" s="1"/>
      <x:c r="J392" s="1"/>
      <x:c r="K392" s="1"/>
      <x:c r="L392" s="1"/>
      <x:c r="M392" s="1"/>
      <x:c r="N392" s="1"/>
    </x:row>
    <x:row r="393" ht="22" customHeight="1">
      <x:c r="A393" s="1" t="n">
        <x:v>377</x:v>
      </x:c>
      <x:c r="B393" s="16" t="n">
        <x:v>0.03447330821042555</x:v>
      </x:c>
      <x:c r="C393" s="16" t="n">
        <x:f>$B$12+$D$12*B393</x:f>
        <x:v>0.0009484995125319438</x:v>
      </x:c>
      <x:c r="D393" s="12" t="n">
        <x:f>D392*EXP(C393)</x:f>
        <x:v>103.78307791089402</x:v>
      </x:c>
      <x:c r="E393" s="16" t="n">
        <x:f>ABS(C393)</x:f>
        <x:v>0.0009484995125319438</x:v>
      </x:c>
      <x:c r="F393" s="16" t="n">
        <x:f>C393^2</x:f>
        <x:v>8.99651325273335e-7</x:v>
      </x:c>
      <x:c r="G393" s="1"/>
      <x:c r="H393" s="1"/>
      <x:c r="I393" s="1"/>
      <x:c r="J393" s="1"/>
      <x:c r="K393" s="1"/>
      <x:c r="L393" s="1"/>
      <x:c r="M393" s="1"/>
      <x:c r="N393" s="1"/>
    </x:row>
    <x:row r="394" ht="22" customHeight="1">
      <x:c r="A394" s="1" t="n">
        <x:v>378</x:v>
      </x:c>
      <x:c r="B394" s="16" t="n">
        <x:v>-2.0769768590192372</x:v>
      </x:c>
      <x:c r="C394" s="16" t="n">
        <x:f>$B$12+$D$12*B394</x:f>
        <x:v>-0.026967670780175982</x:v>
      </x:c>
      <x:c r="D394" s="12" t="n">
        <x:f>D393*EXP(C394)</x:f>
        <x:v>101.02169146424283</x:v>
      </x:c>
      <x:c r="E394" s="16" t="n">
        <x:f>ABS(C394)</x:f>
        <x:v>0.026967670780175982</x:v>
      </x:c>
      <x:c r="F394" s="16" t="n">
        <x:f>C394^2</x:f>
        <x:v>0.0007272552673079575</x:v>
      </x:c>
      <x:c r="G394" s="1"/>
      <x:c r="H394" s="1"/>
      <x:c r="I394" s="1"/>
      <x:c r="J394" s="1"/>
      <x:c r="K394" s="1"/>
      <x:c r="L394" s="1"/>
      <x:c r="M394" s="1"/>
      <x:c r="N394" s="1"/>
    </x:row>
    <x:row r="395" ht="22" customHeight="1">
      <x:c r="A395" s="1" t="n">
        <x:v>379</x:v>
      </x:c>
      <x:c r="B395" s="16" t="n">
        <x:v>-2.201588676265882</x:v>
      </x:c>
      <x:c r="C395" s="16" t="n">
        <x:f>$B$12+$D$12*B395</x:f>
        <x:v>-0.028615204198075853</x:v>
      </x:c>
      <x:c r="D395" s="12" t="n">
        <x:f>D394*EXP(C395)</x:f>
        <x:v>98.17190322574196</x:v>
      </x:c>
      <x:c r="E395" s="16" t="n">
        <x:f>ABS(C395)</x:f>
        <x:v>0.028615204198075853</x:v>
      </x:c>
      <x:c r="F395" s="16" t="n">
        <x:f>C395^2</x:f>
        <x:v>0.0008188299112975778</x:v>
      </x:c>
      <x:c r="G395" s="1"/>
      <x:c r="H395" s="1"/>
      <x:c r="I395" s="1"/>
      <x:c r="J395" s="1"/>
      <x:c r="K395" s="1"/>
      <x:c r="L395" s="1"/>
      <x:c r="M395" s="1"/>
      <x:c r="N395" s="1"/>
    </x:row>
    <x:row r="396" ht="22" customHeight="1">
      <x:c r="A396" s="1" t="n">
        <x:v>380</x:v>
      </x:c>
      <x:c r="B396" s="16" t="n">
        <x:v>-1.6554449161536402</x:v>
      </x:c>
      <x:c r="C396" s="16" t="n">
        <x:f>$B$12+$D$12*B396</x:f>
        <x:v>-0.02139445968408286</x:v>
      </x:c>
      <x:c r="D396" s="12" t="n">
        <x:f>D395*EXP(C396)</x:f>
        <x:v>96.09387678923177</x:v>
      </x:c>
      <x:c r="E396" s="16" t="n">
        <x:f>ABS(C396)</x:f>
        <x:v>0.02139445968408286</x:v>
      </x:c>
      <x:c r="F396" s="16" t="n">
        <x:f>C396^2</x:f>
        <x:v>0.00045772290517384693</x:v>
      </x:c>
      <x:c r="G396" s="1"/>
      <x:c r="H396" s="1"/>
      <x:c r="I396" s="1"/>
      <x:c r="J396" s="1"/>
      <x:c r="K396" s="1"/>
      <x:c r="L396" s="1"/>
      <x:c r="M396" s="1"/>
      <x:c r="N396" s="1"/>
    </x:row>
    <x:row r="397" ht="22" customHeight="1">
      <x:c r="A397" s="1" t="n">
        <x:v>381</x:v>
      </x:c>
      <x:c r="B397" s="16" t="n">
        <x:v>1.012677329958848</x:v>
      </x:c>
      <x:c r="C397" s="16" t="n">
        <x:f>$B$12+$D$12*B397</x:f>
        <x:v>0.013881653453820517</x:v>
      </x:c>
      <x:c r="D397" s="12" t="n">
        <x:f>D396*EXP(C397)</x:f>
        <x:v>97.43712033634937</x:v>
      </x:c>
      <x:c r="E397" s="16" t="n">
        <x:f>ABS(C397)</x:f>
        <x:v>0.013881653453820517</x:v>
      </x:c>
      <x:c r="F397" s="16" t="n">
        <x:f>C397^2</x:f>
        <x:v>0.00019270030261196708</x:v>
      </x:c>
      <x:c r="G397" s="1"/>
      <x:c r="H397" s="1"/>
      <x:c r="I397" s="1"/>
      <x:c r="J397" s="1"/>
      <x:c r="K397" s="1"/>
      <x:c r="L397" s="1"/>
      <x:c r="M397" s="1"/>
      <x:c r="N397" s="1"/>
    </x:row>
    <x:row r="398" ht="22" customHeight="1">
      <x:c r="A398" s="1" t="n">
        <x:v>382</x:v>
      </x:c>
      <x:c r="B398" s="16" t="n">
        <x:v>0.8499655143337456</x:v>
      </x:c>
      <x:c r="C398" s="16" t="n">
        <x:f>$B$12+$D$12*B398</x:f>
        <x:v>0.01173038754940858</x:v>
      </x:c>
      <x:c r="D398" s="12" t="n">
        <x:f>D397*EXP(C398)</x:f>
        <x:v>98.58682558018458</x:v>
      </x:c>
      <x:c r="E398" s="16" t="n">
        <x:f>ABS(C398)</x:f>
        <x:v>0.01173038754940858</x:v>
      </x:c>
      <x:c r="F398" s="16" t="n">
        <x:f>C398^2</x:f>
        <x:v>0.0001376019920593198</x:v>
      </x:c>
      <x:c r="G398" s="1"/>
      <x:c r="H398" s="1"/>
      <x:c r="I398" s="1"/>
      <x:c r="J398" s="1"/>
      <x:c r="K398" s="1"/>
      <x:c r="L398" s="1"/>
      <x:c r="M398" s="1"/>
      <x:c r="N398" s="1"/>
    </x:row>
    <x:row r="399" ht="22" customHeight="1">
      <x:c r="A399" s="1" t="n">
        <x:v>383</x:v>
      </x:c>
      <x:c r="B399" s="16" t="n">
        <x:v>-1.495375349074145</x:v>
      </x:c>
      <x:c r="C399" s="16" t="n">
        <x:f>$B$12+$D$12*B399</x:f>
        <x:v>-0.019278127808188213</x:v>
      </x:c>
      <x:c r="D399" s="12" t="n">
        <x:f>D398*EXP(C399)</x:f>
        <x:v>96.70445870852838</x:v>
      </x:c>
      <x:c r="E399" s="16" t="n">
        <x:f>ABS(C399)</x:f>
        <x:v>0.019278127808188213</x:v>
      </x:c>
      <x:c r="F399" s="16" t="n">
        <x:f>C399^2</x:f>
        <x:v>0.00037164621178883967</x:v>
      </x:c>
      <x:c r="G399" s="1"/>
      <x:c r="H399" s="1"/>
      <x:c r="I399" s="1"/>
      <x:c r="J399" s="1"/>
      <x:c r="K399" s="1"/>
      <x:c r="L399" s="1"/>
      <x:c r="M399" s="1"/>
      <x:c r="N399" s="1"/>
    </x:row>
    <x:row r="400" ht="22" customHeight="1">
      <x:c r="A400" s="1" t="n">
        <x:v>384</x:v>
      </x:c>
      <x:c r="B400" s="16" t="n">
        <x:v>-1.4504674824160233</x:v>
      </x:c>
      <x:c r="C400" s="16" t="n">
        <x:f>$B$12+$D$12*B400</x:f>
        <x:v>-0.018684386278045823</x:v>
      </x:c>
      <x:c r="D400" s="12" t="n">
        <x:f>D399*EXP(C400)</x:f>
        <x:v>94.9143706726557</x:v>
      </x:c>
      <x:c r="E400" s="16" t="n">
        <x:f>ABS(C400)</x:f>
        <x:v>0.018684386278045823</x:v>
      </x:c>
      <x:c r="F400" s="16" t="n">
        <x:f>C400^2</x:f>
        <x:v>0.00034910629058722704</x:v>
      </x:c>
      <x:c r="G400" s="1"/>
      <x:c r="H400" s="1"/>
      <x:c r="I400" s="1"/>
      <x:c r="J400" s="1"/>
      <x:c r="K400" s="1"/>
      <x:c r="L400" s="1"/>
      <x:c r="M400" s="1"/>
      <x:c r="N400" s="1"/>
    </x:row>
    <x:row r="401" ht="22" customHeight="1">
      <x:c r="A401" s="1" t="n">
        <x:v>385</x:v>
      </x:c>
      <x:c r="B401" s="16" t="n">
        <x:v>0.46960112014120864</x:v>
      </x:c>
      <x:c r="C401" s="16" t="n">
        <x:f>$B$12+$D$12*B401</x:f>
        <x:v>0.0067014660212754516</x:v>
      </x:c>
      <x:c r="D401" s="12" t="n">
        <x:f>D400*EXP(C401)</x:f>
        <x:v>95.55257215698174</x:v>
      </x:c>
      <x:c r="E401" s="16" t="n">
        <x:f>ABS(C401)</x:f>
        <x:v>0.0067014660212754516</x:v>
      </x:c>
      <x:c r="F401" s="16" t="n">
        <x:f>C401^2</x:f>
        <x:v>0.00004490964683430943</x:v>
      </x:c>
      <x:c r="G401" s="1"/>
      <x:c r="H401" s="1"/>
      <x:c r="I401" s="1"/>
      <x:c r="J401" s="1"/>
      <x:c r="K401" s="1"/>
      <x:c r="L401" s="1"/>
      <x:c r="M401" s="1"/>
      <x:c r="N401" s="1"/>
    </x:row>
    <x:row r="402" ht="22" customHeight="1">
      <x:c r="A402" s="1" t="n">
        <x:v>386</x:v>
      </x:c>
      <x:c r="B402" s="16" t="n">
        <x:v>-1.7385881372442535</x:v>
      </x:c>
      <x:c r="C402" s="16" t="n">
        <x:f>$B$12+$D$12*B402</x:f>
        <x:v>-0.02249372328720884</x:v>
      </x:c>
      <x:c r="D402" s="12" t="n">
        <x:f>D401*EXP(C402)</x:f>
        <x:v>93.42723205755655</x:v>
      </x:c>
      <x:c r="E402" s="16" t="n">
        <x:f>ABS(C402)</x:f>
        <x:v>0.02249372328720884</x:v>
      </x:c>
      <x:c r="F402" s="16" t="n">
        <x:f>C402^2</x:f>
        <x:v>0.0005059675873215212</x:v>
      </x:c>
      <x:c r="G402" s="1"/>
      <x:c r="H402" s="1"/>
      <x:c r="I402" s="1"/>
      <x:c r="J402" s="1"/>
      <x:c r="K402" s="1"/>
      <x:c r="L402" s="1"/>
      <x:c r="M402" s="1"/>
      <x:c r="N402" s="1"/>
    </x:row>
    <x:row r="403" ht="22" customHeight="1">
      <x:c r="A403" s="1" t="n">
        <x:v>387</x:v>
      </x:c>
      <x:c r="B403" s="16" t="n">
        <x:v>0.7314792642932284</x:v>
      </x:c>
      <x:c r="C403" s="16" t="n">
        <x:f>$B$12+$D$12*B403</x:f>
        <x:v>0.010163842250442178</x:v>
      </x:c>
      <x:c r="D403" s="12" t="n">
        <x:f>D402*EXP(C403)</x:f>
        <x:v>94.38165378576832</x:v>
      </x:c>
      <x:c r="E403" s="16" t="n">
        <x:f>ABS(C403)</x:f>
        <x:v>0.010163842250442178</x:v>
      </x:c>
      <x:c r="F403" s="16" t="n">
        <x:f>C403^2</x:f>
        <x:v>0.00010330368929187352</x:v>
      </x:c>
      <x:c r="G403" s="1"/>
      <x:c r="H403" s="1"/>
      <x:c r="I403" s="1"/>
      <x:c r="J403" s="1"/>
      <x:c r="K403" s="1"/>
      <x:c r="L403" s="1"/>
      <x:c r="M403" s="1"/>
      <x:c r="N403" s="1"/>
    </x:row>
    <x:row r="404" ht="22" customHeight="1">
      <x:c r="A404" s="1" t="n">
        <x:v>388</x:v>
      </x:c>
      <x:c r="B404" s="16" t="n">
        <x:v>-1.0808825929185515</x:v>
      </x:c>
      <x:c r="C404" s="16" t="n">
        <x:f>$B$12+$D$12*B404</x:f>
        <x:v>-0.013797984092025943</x:v>
      </x:c>
      <x:c r="D404" s="12" t="n">
        <x:f>D403*EXP(C404)</x:f>
        <x:v>93.08832044383087</x:v>
      </x:c>
      <x:c r="E404" s="16" t="n">
        <x:f>ABS(C404)</x:f>
        <x:v>0.013797984092025943</x:v>
      </x:c>
      <x:c r="F404" s="16" t="n">
        <x:f>C404^2</x:f>
        <x:v>0.00019038436500380099</x:v>
      </x:c>
      <x:c r="G404" s="1"/>
      <x:c r="H404" s="1"/>
      <x:c r="I404" s="1"/>
      <x:c r="J404" s="1"/>
      <x:c r="K404" s="1"/>
      <x:c r="L404" s="1"/>
      <x:c r="M404" s="1"/>
      <x:c r="N404" s="1"/>
    </x:row>
    <x:row r="405" ht="22" customHeight="1">
      <x:c r="A405" s="1" t="n">
        <x:v>389</x:v>
      </x:c>
      <x:c r="B405" s="16" t="n">
        <x:v>-1.5754549126236892</x:v>
      </x:c>
      <x:c r="C405" s="16" t="n">
        <x:f>$B$12+$D$12*B405</x:f>
        <x:v>-0.020336885797228473</x:v>
      </x:c>
      <x:c r="D405" s="12" t="n">
        <x:f>D404*EXP(C405)</x:f>
        <x:v>91.21431421580327</x:v>
      </x:c>
      <x:c r="E405" s="16" t="n">
        <x:f>ABS(C405)</x:f>
        <x:v>0.020336885797228473</x:v>
      </x:c>
      <x:c r="F405" s="16" t="n">
        <x:f>C405^2</x:f>
        <x:v>0.0004135889239295132</x:v>
      </x:c>
      <x:c r="G405" s="1"/>
      <x:c r="H405" s="1"/>
      <x:c r="I405" s="1"/>
      <x:c r="J405" s="1"/>
      <x:c r="K405" s="1"/>
      <x:c r="L405" s="1"/>
      <x:c r="M405" s="1"/>
      <x:c r="N405" s="1"/>
    </x:row>
    <x:row r="406" ht="22" customHeight="1">
      <x:c r="A406" s="1" t="n">
        <x:v>390</x:v>
      </x:c>
      <x:c r="B406" s="16" t="n">
        <x:v>-0.2843063596548599</x:v>
      </x:c>
      <x:c r="C406" s="16" t="n">
        <x:f>$B$12+$D$12*B406</x:f>
        <x:v>-0.0032661902926536045</x:v>
      </x:c>
      <x:c r="D406" s="12" t="n">
        <x:f>D405*EXP(C406)</x:f>
        <x:v>90.9168769159929</x:v>
      </x:c>
      <x:c r="E406" s="16" t="n">
        <x:f>ABS(C406)</x:f>
        <x:v>0.0032661902926536045</x:v>
      </x:c>
      <x:c r="F406" s="16" t="n">
        <x:f>C406^2</x:f>
        <x:v>0.000010667999027824638</x:v>
      </x:c>
      <x:c r="G406" s="1"/>
      <x:c r="H406" s="1"/>
      <x:c r="I406" s="1"/>
      <x:c r="J406" s="1"/>
      <x:c r="K406" s="1"/>
      <x:c r="L406" s="1"/>
      <x:c r="M406" s="1"/>
      <x:c r="N406" s="1"/>
    </x:row>
    <x:row r="407" ht="22" customHeight="1">
      <x:c r="A407" s="1" t="n">
        <x:v>391</x:v>
      </x:c>
      <x:c r="B407" s="16" t="n">
        <x:v>-0.2459591014841811</x:v>
      </x:c>
      <x:c r="C407" s="16" t="n">
        <x:f>$B$12+$D$12*B407</x:f>
        <x:v>-0.0027591887039039777</x:v>
      </x:c>
      <x:c r="D407" s="12" t="n">
        <x:f>D406*EXP(C407)</x:f>
        <x:v>90.66636585878263</x:v>
      </x:c>
      <x:c r="E407" s="16" t="n">
        <x:f>ABS(C407)</x:f>
        <x:v>0.0027591887039039777</x:v>
      </x:c>
      <x:c r="F407" s="16" t="n">
        <x:f>C407^2</x:f>
        <x:v>0.000007613122303751312</x:v>
      </x:c>
      <x:c r="G407" s="1"/>
      <x:c r="H407" s="1"/>
      <x:c r="I407" s="1"/>
      <x:c r="J407" s="1"/>
      <x:c r="K407" s="1"/>
      <x:c r="L407" s="1"/>
      <x:c r="M407" s="1"/>
      <x:c r="N407" s="1"/>
    </x:row>
    <x:row r="408" ht="22" customHeight="1">
      <x:c r="A408" s="1" t="n">
        <x:v>392</x:v>
      </x:c>
      <x:c r="B408" s="16" t="n">
        <x:v>-1.7033194674520378</x:v>
      </x:c>
      <x:c r="C408" s="16" t="n">
        <x:f>$B$12+$D$12*B408</x:f>
        <x:v>-0.022027424718008608</x:v>
      </x:c>
      <x:c r="D408" s="12" t="n">
        <x:f>D407*EXP(C408)</x:f>
        <x:v>88.69105468841656</x:v>
      </x:c>
      <x:c r="E408" s="16" t="n">
        <x:f>ABS(C408)</x:f>
        <x:v>0.022027424718008608</x:v>
      </x:c>
      <x:c r="F408" s="16" t="n">
        <x:f>C408^2</x:f>
        <x:v>0.0004852074397075366</x:v>
      </x:c>
      <x:c r="G408" s="1"/>
      <x:c r="H408" s="1"/>
      <x:c r="I408" s="1"/>
      <x:c r="J408" s="1"/>
      <x:c r="K408" s="1"/>
      <x:c r="L408" s="1"/>
      <x:c r="M408" s="1"/>
      <x:c r="N408" s="1"/>
    </x:row>
    <x:row r="409" ht="22" customHeight="1">
      <x:c r="A409" s="1" t="n">
        <x:v>393</x:v>
      </x:c>
      <x:c r="B409" s="16" t="n">
        <x:v>-2.1538198605951684</x:v>
      </x:c>
      <x:c r="C409" s="16" t="n">
        <x:f>$B$12+$D$12*B409</x:f>
        <x:v>-0.027983637129318426</x:v>
      </x:c>
      <x:c r="D409" s="12" t="n">
        <x:f>D408*EXP(C409)</x:f>
        <x:v>86.24356099903967</x:v>
      </x:c>
      <x:c r="E409" s="16" t="n">
        <x:f>ABS(C409)</x:f>
        <x:v>0.027983637129318426</x:v>
      </x:c>
      <x:c r="F409" s="16" t="n">
        <x:f>C409^2</x:f>
        <x:v>0.0007830839469853688</x:v>
      </x:c>
      <x:c r="G409" s="1"/>
      <x:c r="H409" s="1"/>
      <x:c r="I409" s="1"/>
      <x:c r="J409" s="1"/>
      <x:c r="K409" s="1"/>
      <x:c r="L409" s="1"/>
      <x:c r="M409" s="1"/>
      <x:c r="N409" s="1"/>
    </x:row>
    <x:row r="410" ht="22" customHeight="1">
      <x:c r="A410" s="1" t="n">
        <x:v>394</x:v>
      </x:c>
      <x:c r="B410" s="16" t="n">
        <x:v>0.39368005964027436</x:v>
      </x:c>
      <x:c r="C410" s="16" t="n">
        <x:f>$B$12+$D$12*B410</x:f>
        <x:v>0.005697688955332255</x:v>
      </x:c>
      <x:c r="D410" s="12" t="n">
        <x:f>D409*EXP(C410)</x:f>
        <x:v>86.73635253731422</x:v>
      </x:c>
      <x:c r="E410" s="16" t="n">
        <x:f>ABS(C410)</x:f>
        <x:v>0.005697688955332255</x:v>
      </x:c>
      <x:c r="F410" s="16" t="n">
        <x:f>C410^2</x:f>
        <x:v>0.00003246365943171517</x:v>
      </x:c>
      <x:c r="G410" s="1"/>
      <x:c r="H410" s="1"/>
      <x:c r="I410" s="1"/>
      <x:c r="J410" s="1"/>
      <x:c r="K410" s="1"/>
      <x:c r="L410" s="1"/>
      <x:c r="M410" s="1"/>
      <x:c r="N410" s="1"/>
    </x:row>
    <x:row r="411" ht="22" customHeight="1">
      <x:c r="A411" s="1" t="n">
        <x:v>395</x:v>
      </x:c>
      <x:c r="B411" s="16" t="n">
        <x:v>0.2226766928853606</x:v>
      </x:c>
      <x:c r="C411" s="16" t="n">
        <x:f>$B$12+$D$12*B411</x:f>
        <x:v>0.003436797753140165</x:v>
      </x:c>
      <x:c r="D411" s="12" t="n">
        <x:f>D410*EXP(C411)</x:f>
        <x:v>87.03496067279518</x:v>
      </x:c>
      <x:c r="E411" s="16" t="n">
        <x:f>ABS(C411)</x:f>
        <x:v>0.003436797753140165</x:v>
      </x:c>
      <x:c r="F411" s="16" t="n">
        <x:f>C411^2</x:f>
        <x:v>0.000011811578795989285</x:v>
      </x:c>
      <x:c r="G411" s="1"/>
      <x:c r="H411" s="1"/>
      <x:c r="I411" s="1"/>
      <x:c r="J411" s="1"/>
      <x:c r="K411" s="1"/>
      <x:c r="L411" s="1"/>
      <x:c r="M411" s="1"/>
      <x:c r="N411" s="1"/>
    </x:row>
    <x:row r="412" ht="22" customHeight="1">
      <x:c r="A412" s="1" t="n">
        <x:v>396</x:v>
      </x:c>
      <x:c r="B412" s="16" t="n">
        <x:v>0.6707225277918168</x:v>
      </x:c>
      <x:c r="C412" s="16" t="n">
        <x:f>$B$12+$D$12*B412</x:f>
        <x:v>0.009360557650631823</x:v>
      </x:c>
      <x:c r="D412" s="12" t="n">
        <x:f>D411*EXP(C412)</x:f>
        <x:v>87.85348136831342</x:v>
      </x:c>
      <x:c r="E412" s="16" t="n">
        <x:f>ABS(C412)</x:f>
        <x:v>0.009360557650631823</x:v>
      </x:c>
      <x:c r="F412" s="16" t="n">
        <x:f>C412^2</x:f>
        <x:v>0.00008762003953080195</x:v>
      </x:c>
      <x:c r="G412" s="1"/>
      <x:c r="H412" s="1"/>
      <x:c r="I412" s="1"/>
      <x:c r="J412" s="1"/>
      <x:c r="K412" s="1"/>
      <x:c r="L412" s="1"/>
      <x:c r="M412" s="1"/>
      <x:c r="N412" s="1"/>
    </x:row>
    <x:row r="413" ht="22" customHeight="1">
      <x:c r="A413" s="1" t="n">
        <x:v>397</x:v>
      </x:c>
      <x:c r="B413" s="16" t="n">
        <x:v>0.6266252309692096</x:v>
      </x:c>
      <x:c r="C413" s="16" t="n">
        <x:f>$B$12+$D$12*B413</x:f>
        <x:v>0.008777532928261432</x:v>
      </x:c>
      <x:c r="D413" s="12" t="n">
        <x:f>D412*EXP(C413)</x:f>
        <x:v>88.62801245714292</x:v>
      </x:c>
      <x:c r="E413" s="16" t="n">
        <x:f>ABS(C413)</x:f>
        <x:v>0.008777532928261432</x:v>
      </x:c>
      <x:c r="F413" s="16" t="n">
        <x:f>C413^2</x:f>
        <x:v>0.00007704508430671371</x:v>
      </x:c>
      <x:c r="G413" s="1"/>
      <x:c r="H413" s="1"/>
      <x:c r="I413" s="1"/>
      <x:c r="J413" s="1"/>
      <x:c r="K413" s="1"/>
      <x:c r="L413" s="1"/>
      <x:c r="M413" s="1"/>
      <x:c r="N413" s="1"/>
    </x:row>
    <x:row r="414" ht="22" customHeight="1">
      <x:c r="A414" s="1" t="n">
        <x:v>398</x:v>
      </x:c>
      <x:c r="B414" s="16" t="n">
        <x:v>0.395769733287182</x:v>
      </x:c>
      <x:c r="C414" s="16" t="n">
        <x:f>$B$12+$D$12*B414</x:f>
        <x:v>0.00572531721115787</x:v>
      </x:c>
      <x:c r="D414" s="12" t="n">
        <x:f>D413*EXP(C414)</x:f>
        <x:v>89.13689129859407</x:v>
      </x:c>
      <x:c r="E414" s="16" t="n">
        <x:f>ABS(C414)</x:f>
        <x:v>0.00572531721115787</x:v>
      </x:c>
      <x:c r="F414" s="16" t="n">
        <x:f>C414^2</x:f>
        <x:v>0.00003277925716838052</x:v>
      </x:c>
      <x:c r="G414" s="1"/>
      <x:c r="H414" s="1"/>
      <x:c r="I414" s="1"/>
      <x:c r="J414" s="1"/>
      <x:c r="K414" s="1"/>
      <x:c r="L414" s="1"/>
      <x:c r="M414" s="1"/>
      <x:c r="N414" s="1"/>
    </x:row>
    <x:row r="415" ht="22" customHeight="1">
      <x:c r="A415" s="1" t="n">
        <x:v>399</x:v>
      </x:c>
      <x:c r="B415" s="16" t="n">
        <x:v>-0.33215608354025</x:v>
      </x:c>
      <x:c r="C415" s="16" t="n">
        <x:f>$B$12+$D$12*B415</x:f>
        <x:v>-0.0038988270752664863</x:v>
      </x:c>
      <x:c r="D415" s="12" t="n">
        <x:f>D414*EXP(C415)</x:f>
        <x:v>88.7900385721658</x:v>
      </x:c>
      <x:c r="E415" s="16" t="n">
        <x:f>ABS(C415)</x:f>
        <x:v>0.0038988270752664863</x:v>
      </x:c>
      <x:c r="F415" s="16" t="n">
        <x:f>C415^2</x:f>
        <x:v>0.000015200852562831024</x:v>
      </x:c>
      <x:c r="G415" s="1"/>
      <x:c r="H415" s="1"/>
      <x:c r="I415" s="1"/>
      <x:c r="J415" s="1"/>
      <x:c r="K415" s="1"/>
      <x:c r="L415" s="1"/>
      <x:c r="M415" s="1"/>
      <x:c r="N415" s="1"/>
    </x:row>
    <x:row r="416" ht="22" customHeight="1">
      <x:c r="A416" s="1" t="n">
        <x:v>400</x:v>
      </x:c>
      <x:c r="B416" s="16" t="n">
        <x:v>0.698223278259225</x:v>
      </x:c>
      <x:c r="C416" s="16" t="n">
        <x:f>$B$12+$D$12*B416</x:f>
        <x:v>0.00972415402867598</x:v>
      </x:c>
      <x:c r="D416" s="12" t="n">
        <x:f>D415*EXP(C416)</x:f>
        <x:v>89.65765818003439</x:v>
      </x:c>
      <x:c r="E416" s="16" t="n">
        <x:f>ABS(C416)</x:f>
        <x:v>0.00972415402867598</x:v>
      </x:c>
      <x:c r="F416" s="16" t="n">
        <x:f>C416^2</x:f>
        <x:v>0.0000945591715734153</x:v>
      </x:c>
      <x:c r="G416" s="1"/>
      <x:c r="H416" s="1"/>
      <x:c r="I416" s="1"/>
      <x:c r="J416" s="1"/>
      <x:c r="K416" s="1"/>
      <x:c r="L416" s="1"/>
      <x:c r="M416" s="1"/>
      <x:c r="N416" s="1"/>
    </x:row>
    <x:row r="417" ht="22" customHeight="1">
      <x:c r="A417" s="1" t="n">
        <x:v>401</x:v>
      </x:c>
      <x:c r="B417" s="16" t="n">
        <x:v>-0.44956440269321324</x:v>
      </x:c>
      <x:c r="C417" s="16" t="n">
        <x:f>$B$12+$D$12*B417</x:f>
        <x:v>-0.0054511206989209336</x:v>
      </x:c>
      <x:c r="D417" s="12" t="n">
        <x:f>D416*EXP(C417)</x:f>
        <x:v>89.17025312253594</x:v>
      </x:c>
      <x:c r="E417" s="16" t="n">
        <x:f>ABS(C417)</x:f>
        <x:v>0.0054511206989209336</x:v>
      </x:c>
      <x:c r="F417" s="16" t="n">
        <x:f>C417^2</x:f>
        <x:v>0.00002971471687420425</x:v>
      </x:c>
      <x:c r="G417" s="1"/>
      <x:c r="H417" s="1"/>
      <x:c r="I417" s="1"/>
      <x:c r="J417" s="1"/>
      <x:c r="K417" s="1"/>
      <x:c r="L417" s="1"/>
      <x:c r="M417" s="1"/>
      <x:c r="N417" s="1"/>
    </x:row>
    <x:row r="418" ht="22" customHeight="1">
      <x:c r="A418" s="1" t="n">
        <x:v>402</x:v>
      </x:c>
      <x:c r="B418" s="16" t="n">
        <x:v>1.3418197004615877</x:v>
      </x:c>
      <x:c r="C418" s="16" t="n">
        <x:f>$B$12+$D$12*B418</x:f>
        <x:v>0.018233351925376545</x:v>
      </x:c>
      <x:c r="D418" s="12" t="n">
        <x:f>D417*EXP(C418)</x:f>
        <x:v>90.81103878313806</x:v>
      </x:c>
      <x:c r="E418" s="16" t="n">
        <x:f>ABS(C418)</x:f>
        <x:v>0.018233351925376545</x:v>
      </x:c>
      <x:c r="F418" s="16" t="n">
        <x:f>C418^2</x:f>
        <x:v>0.00033245512243463253</x:v>
      </x:c>
      <x:c r="G418" s="1"/>
      <x:c r="H418" s="1"/>
      <x:c r="I418" s="1"/>
      <x:c r="J418" s="1"/>
      <x:c r="K418" s="1"/>
      <x:c r="L418" s="1"/>
      <x:c r="M418" s="1"/>
      <x:c r="N418" s="1"/>
    </x:row>
    <x:row r="419" ht="22" customHeight="1">
      <x:c r="A419" s="1" t="n">
        <x:v>403</x:v>
      </x:c>
      <x:c r="B419" s="16" t="n">
        <x:v>-0.41748505115465834</x:v>
      </x:c>
      <x:c r="C419" s="16" t="n">
        <x:f>$B$12+$D$12*B419</x:f>
        <x:v>-0.005026989145011268</x:v>
      </x:c>
      <x:c r="D419" s="12" t="n">
        <x:f>D418*EXP(C419)</x:f>
        <x:v>90.3556781822635</x:v>
      </x:c>
      <x:c r="E419" s="16" t="n">
        <x:f>ABS(C419)</x:f>
        <x:v>0.005026989145011268</x:v>
      </x:c>
      <x:c r="F419" s="16" t="n">
        <x:f>C419^2</x:f>
        <x:v>0.000025270619864061115</x:v>
      </x:c>
      <x:c r="G419" s="1"/>
      <x:c r="H419" s="1"/>
      <x:c r="I419" s="1"/>
      <x:c r="J419" s="1"/>
      <x:c r="K419" s="1"/>
      <x:c r="L419" s="1"/>
      <x:c r="M419" s="1"/>
      <x:c r="N419" s="1"/>
    </x:row>
    <x:row r="420" ht="22" customHeight="1">
      <x:c r="A420" s="1" t="n">
        <x:v>404</x:v>
      </x:c>
      <x:c r="B420" s="16" t="n">
        <x:v>1.386081191946938</x:v>
      </x:c>
      <x:c r="C420" s="16" t="n">
        <x:f>$B$12+$D$12*B420</x:f>
        <x:v>0.01881854751885601</x:v>
      </x:c>
      <x:c r="D420" s="12" t="n">
        <x:f>D419*EXP(C420)</x:f>
        <x:v>92.07214081751826</x:v>
      </x:c>
      <x:c r="E420" s="16" t="n">
        <x:f>ABS(C420)</x:f>
        <x:v>0.01881854751885601</x:v>
      </x:c>
      <x:c r="F420" s="16" t="n">
        <x:f>C420^2</x:f>
        <x:v>0.00035413773071944174</x:v>
      </x:c>
      <x:c r="G420" s="1"/>
      <x:c r="H420" s="1"/>
      <x:c r="I420" s="1"/>
      <x:c r="J420" s="1"/>
      <x:c r="K420" s="1"/>
      <x:c r="L420" s="1"/>
      <x:c r="M420" s="1"/>
      <x:c r="N420" s="1"/>
    </x:row>
    <x:row r="421" ht="22" customHeight="1">
      <x:c r="A421" s="1" t="n">
        <x:v>405</x:v>
      </x:c>
      <x:c r="B421" s="16" t="n">
        <x:v>-1.861144312504251</x:v>
      </x:c>
      <x:c r="C421" s="16" t="n">
        <x:f>$B$12+$D$12*B421</x:f>
        <x:v>-0.02411407839294642</x:v>
      </x:c>
      <x:c r="D421" s="12" t="n">
        <x:f>D420*EXP(C421)</x:f>
        <x:v>89.87846157164842</x:v>
      </x:c>
      <x:c r="E421" s="16" t="n">
        <x:f>ABS(C421)</x:f>
        <x:v>0.02411407839294642</x:v>
      </x:c>
      <x:c r="F421" s="16" t="n">
        <x:f>C421^2</x:f>
        <x:v>0.0005814887767411653</x:v>
      </x:c>
      <x:c r="G421" s="1"/>
      <x:c r="H421" s="1"/>
      <x:c r="I421" s="1"/>
      <x:c r="J421" s="1"/>
      <x:c r="K421" s="1"/>
      <x:c r="L421" s="1"/>
      <x:c r="M421" s="1"/>
      <x:c r="N421" s="1"/>
    </x:row>
    <x:row r="422" ht="22" customHeight="1">
      <x:c r="A422" s="1" t="n">
        <x:v>406</x:v>
      </x:c>
      <x:c r="B422" s="16" t="n">
        <x:v>-1.7566086175988331</x:v>
      </x:c>
      <x:c r="C422" s="16" t="n">
        <x:f>$B$12+$D$12*B422</x:f>
        <x:v>-0.02273197792667063</x:v>
      </x:c>
      <x:c r="D422" s="12" t="n">
        <x:f>D421*EXP(C422)</x:f>
        <x:v>87.85839342658727</x:v>
      </x:c>
      <x:c r="E422" s="16" t="n">
        <x:f>ABS(C422)</x:f>
        <x:v>0.02273197792667063</x:v>
      </x:c>
      <x:c r="F422" s="16" t="n">
        <x:f>C422^2</x:f>
        <x:v>0.0005167428204586407</x:v>
      </x:c>
      <x:c r="G422" s="1"/>
      <x:c r="H422" s="1"/>
      <x:c r="I422" s="1"/>
      <x:c r="J422" s="1"/>
      <x:c r="K422" s="1"/>
      <x:c r="L422" s="1"/>
      <x:c r="M422" s="1"/>
      <x:c r="N422" s="1"/>
    </x:row>
    <x:row r="423" ht="22" customHeight="1">
      <x:c r="A423" s="1" t="n">
        <x:v>407</x:v>
      </x:c>
      <x:c r="B423" s="16" t="n">
        <x:v>-2.3017106491761066</x:v>
      </x:c>
      <x:c r="C423" s="16" t="n">
        <x:f>$B$12+$D$12*B423</x:f>
        <x:v>-0.02993894940844515</x:v>
      </x:c>
      <x:c r="D423" s="12" t="n">
        <x:f>D422*EXP(C423)</x:f>
        <x:v>85.26699092691616</x:v>
      </x:c>
      <x:c r="E423" s="16" t="n">
        <x:f>ABS(C423)</x:f>
        <x:v>0.02993894940844515</x:v>
      </x:c>
      <x:c r="F423" s="16" t="n">
        <x:f>C423^2</x:f>
        <x:v>0.0008963406916814381</x:v>
      </x:c>
      <x:c r="G423" s="1"/>
      <x:c r="H423" s="1"/>
      <x:c r="I423" s="1"/>
      <x:c r="J423" s="1"/>
      <x:c r="K423" s="1"/>
      <x:c r="L423" s="1"/>
      <x:c r="M423" s="1"/>
      <x:c r="N423" s="1"/>
    </x:row>
    <x:row r="424" ht="22" customHeight="1">
      <x:c r="A424" s="1" t="n">
        <x:v>408</x:v>
      </x:c>
      <x:c r="B424" s="16" t="n">
        <x:v>-0.03318286337016508</x:v>
      </x:c>
      <x:c r="C424" s="16" t="n">
        <x:f>$B$12+$D$12*B424</x:f>
        <x:v>0.0000539952346145005</x:v>
      </x:c>
      <x:c r="D424" s="12" t="n">
        <x:f>D423*EXP(C424)</x:f>
        <x:v>85.2715950623957</x:v>
      </x:c>
      <x:c r="E424" s="16" t="n">
        <x:f>ABS(C424)</x:f>
        <x:v>0.0000539952346145005</x:v>
      </x:c>
      <x:c r="F424" s="16" t="n">
        <x:f>C424^2</x:f>
        <x:v>2.9154853610749533e-9</x:v>
      </x:c>
      <x:c r="G424" s="1"/>
      <x:c r="H424" s="1"/>
      <x:c r="I424" s="1"/>
      <x:c r="J424" s="1"/>
      <x:c r="K424" s="1"/>
      <x:c r="L424" s="1"/>
      <x:c r="M424" s="1"/>
      <x:c r="N424" s="1"/>
    </x:row>
    <x:row r="425" ht="22" customHeight="1">
      <x:c r="A425" s="1" t="n">
        <x:v>409</x:v>
      </x:c>
      <x:c r="B425" s="16" t="n">
        <x:v>-0.0293271834099268</x:v>
      </x:c>
      <x:c r="C425" s="16" t="n">
        <x:f>$B$12+$D$12*B425</x:f>
        <x:v>0.00010497243504041303</x:v>
      </x:c>
      <x:c r="D425" s="12" t="n">
        <x:f>D424*EXP(C425)</x:f>
        <x:v>85.28054669919851</x:v>
      </x:c>
      <x:c r="E425" s="16" t="n">
        <x:f>ABS(C425)</x:f>
        <x:v>0.00010497243504041303</x:v>
      </x:c>
      <x:c r="F425" s="16" t="n">
        <x:f>C425^2</x:f>
        <x:v>1.1019212118313735e-8</x:v>
      </x:c>
      <x:c r="G425" s="1"/>
      <x:c r="H425" s="1"/>
      <x:c r="I425" s="1"/>
      <x:c r="J425" s="1"/>
      <x:c r="K425" s="1"/>
      <x:c r="L425" s="1"/>
      <x:c r="M425" s="1"/>
      <x:c r="N425" s="1"/>
    </x:row>
    <x:row r="426" ht="22" customHeight="1">
      <x:c r="A426" s="1" t="n">
        <x:v>410</x:v>
      </x:c>
      <x:c r="B426" s="16" t="n">
        <x:v>0.8897064550942787</x:v>
      </x:c>
      <x:c r="C426" s="16" t="n">
        <x:f>$B$12+$D$12*B426</x:f>
        <x:v>0.012255815469556501</x:v>
      </x:c>
      <x:c r="D426" s="12" t="n">
        <x:f>D425*EXP(C426)</x:f>
        <x:v>86.33216037113691</x:v>
      </x:c>
      <x:c r="E426" s="16" t="n">
        <x:f>ABS(C426)</x:f>
        <x:v>0.012255815469556501</x:v>
      </x:c>
      <x:c r="F426" s="16" t="n">
        <x:f>C426^2</x:f>
        <x:v>0.00015020501282382045</x:v>
      </x:c>
      <x:c r="G426" s="1"/>
      <x:c r="H426" s="1"/>
      <x:c r="I426" s="1"/>
      <x:c r="J426" s="1"/>
      <x:c r="K426" s="1"/>
      <x:c r="L426" s="1"/>
      <x:c r="M426" s="1"/>
      <x:c r="N426" s="1"/>
    </x:row>
    <x:row r="427" ht="22" customHeight="1">
      <x:c r="A427" s="1" t="n">
        <x:v>411</x:v>
      </x:c>
      <x:c r="B427" s="16" t="n">
        <x:v>1.9521101235173801</x:v>
      </x:c>
      <x:c r="C427" s="16" t="n">
        <x:f>$B$12+$D$12*B427</x:f>
        <x:v>0.026302200360661995</x:v>
      </x:c>
      <x:c r="D427" s="12" t="n">
        <x:f>D426*EXP(C427)</x:f>
        <x:v>88.63301224053978</x:v>
      </x:c>
      <x:c r="E427" s="16" t="n">
        <x:f>ABS(C427)</x:f>
        <x:v>0.026302200360661995</x:v>
      </x:c>
      <x:c r="F427" s="16" t="n">
        <x:f>C427^2</x:f>
        <x:v>0.0006918057438124079</x:v>
      </x:c>
      <x:c r="G427" s="1"/>
      <x:c r="H427" s="1"/>
      <x:c r="I427" s="1"/>
      <x:c r="J427" s="1"/>
      <x:c r="K427" s="1"/>
      <x:c r="L427" s="1"/>
      <x:c r="M427" s="1"/>
      <x:c r="N427" s="1"/>
    </x:row>
    <x:row r="428" ht="22" customHeight="1">
      <x:c r="A428" s="1" t="n">
        <x:v>412</x:v>
      </x:c>
      <x:c r="B428" s="16" t="n">
        <x:v>-0.8684527651140199</x:v>
      </x:c>
      <x:c r="C428" s="16" t="n">
        <x:f>$B$12+$D$12*B428</x:f>
        <x:v>-0.010989380157023913</x:v>
      </x:c>
      <x:c r="D428" s="12" t="n">
        <x:f>D427*EXP(C428)</x:f>
        <x:v>87.66432277172797</x:v>
      </x:c>
      <x:c r="E428" s="16" t="n">
        <x:f>ABS(C428)</x:f>
        <x:v>0.010989380157023913</x:v>
      </x:c>
      <x:c r="F428" s="16" t="n">
        <x:f>C428^2</x:f>
        <x:v>0.00012076647623559092</x:v>
      </x:c>
      <x:c r="G428" s="1"/>
      <x:c r="H428" s="1"/>
      <x:c r="I428" s="1"/>
      <x:c r="J428" s="1"/>
      <x:c r="K428" s="1"/>
      <x:c r="L428" s="1"/>
      <x:c r="M428" s="1"/>
      <x:c r="N428" s="1"/>
    </x:row>
    <x:row r="429" ht="22" customHeight="1">
      <x:c r="A429" s="1" t="n">
        <x:v>413</x:v>
      </x:c>
      <x:c r="B429" s="16" t="n">
        <x:v>0.9949007664945804</x:v>
      </x:c>
      <x:c r="C429" s="16" t="n">
        <x:f>$B$12+$D$12*B429</x:f>
        <x:v>0.013646623719001466</x:v>
      </x:c>
      <x:c r="D429" s="12" t="n">
        <x:f>D428*EXP(C429)</x:f>
        <x:v>88.86884493538292</x:v>
      </x:c>
      <x:c r="E429" s="16" t="n">
        <x:f>ABS(C429)</x:f>
        <x:v>0.013646623719001466</x:v>
      </x:c>
      <x:c r="F429" s="16" t="n">
        <x:f>C429^2</x:f>
        <x:v>0.0001862303389280134</x:v>
      </x:c>
      <x:c r="G429" s="1"/>
      <x:c r="H429" s="1"/>
      <x:c r="I429" s="1"/>
      <x:c r="J429" s="1"/>
      <x:c r="K429" s="1"/>
      <x:c r="L429" s="1"/>
      <x:c r="M429" s="1"/>
      <x:c r="N429" s="1"/>
    </x:row>
    <x:row r="430" ht="22" customHeight="1">
      <x:c r="A430" s="1" t="n">
        <x:v>414</x:v>
      </x:c>
      <x:c r="B430" s="16" t="n">
        <x:v>-1.6891475450220972</x:v>
      </x:c>
      <x:c r="C430" s="16" t="n">
        <x:f>$B$12+$D$12*B430</x:f>
        <x:v>-0.021840053116220653</x:v>
      </x:c>
      <x:c r="D430" s="12" t="n">
        <x:f>D429*EXP(C430)</x:f>
        <x:v>86.94898586550659</x:v>
      </x:c>
      <x:c r="E430" s="16" t="n">
        <x:f>ABS(C430)</x:f>
        <x:v>0.021840053116220653</x:v>
      </x:c>
      <x:c r="F430" s="16" t="n">
        <x:f>C430^2</x:f>
        <x:v>0.00047698792011933945</x:v>
      </x:c>
      <x:c r="G430" s="1"/>
      <x:c r="H430" s="1"/>
      <x:c r="I430" s="1"/>
      <x:c r="J430" s="1"/>
      <x:c r="K430" s="1"/>
      <x:c r="L430" s="1"/>
      <x:c r="M430" s="1"/>
      <x:c r="N430" s="1"/>
    </x:row>
    <x:row r="431" ht="22" customHeight="1">
      <x:c r="A431" s="1" t="n">
        <x:v>415</x:v>
      </x:c>
      <x:c r="B431" s="16" t="n">
        <x:v>-0.1372855443013618</x:v>
      </x:c>
      <x:c r="C431" s="16" t="n">
        <x:f>$B$12+$D$12*B431</x:f>
        <x:v>-0.0013223802128893118</x:v>
      </x:c>
      <x:c r="D431" s="12" t="n">
        <x:f>D430*EXP(C431)</x:f>
        <x:v>86.83408223695388</x:v>
      </x:c>
      <x:c r="E431" s="16" t="n">
        <x:f>ABS(C431)</x:f>
        <x:v>0.0013223802128893118</x:v>
      </x:c>
      <x:c r="F431" s="16" t="n">
        <x:f>C431^2</x:f>
        <x:v>0.0000017486894274411817</x:v>
      </x:c>
      <x:c r="G431" s="1"/>
      <x:c r="H431" s="1"/>
      <x:c r="I431" s="1"/>
      <x:c r="J431" s="1"/>
      <x:c r="K431" s="1"/>
      <x:c r="L431" s="1"/>
      <x:c r="M431" s="1"/>
      <x:c r="N431" s="1"/>
    </x:row>
    <x:row r="432" ht="22" customHeight="1">
      <x:c r="A432" s="1" t="n">
        <x:v>416</x:v>
      </x:c>
      <x:c r="B432" s="16" t="n">
        <x:v>-2.5649545664954965</x:v>
      </x:c>
      <x:c r="C432" s="16" t="n">
        <x:f>$B$12+$D$12*B432</x:f>
        <x:v>-0.0334193829694463</x:v>
      </x:c>
      <x:c r="D432" s="12" t="n">
        <x:f>D431*EXP(C432)</x:f>
        <x:v>83.98009564256367</x:v>
      </x:c>
      <x:c r="E432" s="16" t="n">
        <x:f>ABS(C432)</x:f>
        <x:v>0.0334193829694463</x:v>
      </x:c>
      <x:c r="F432" s="16" t="n">
        <x:f>C432^2</x:f>
        <x:v>0.0011168551580585174</x:v>
      </x:c>
      <x:c r="G432" s="1"/>
      <x:c r="H432" s="1"/>
      <x:c r="I432" s="1"/>
      <x:c r="J432" s="1"/>
      <x:c r="K432" s="1"/>
      <x:c r="L432" s="1"/>
      <x:c r="M432" s="1"/>
      <x:c r="N432" s="1"/>
    </x:row>
    <x:row r="433" ht="22" customHeight="1">
      <x:c r="A433" s="1" t="n">
        <x:v>417</x:v>
      </x:c>
      <x:c r="B433" s="16" t="n">
        <x:v>0.47265447383561404</x:v>
      </x:c>
      <x:c r="C433" s="16" t="n">
        <x:f>$B$12+$D$12*B433</x:f>
        <x:v>0.006741835404848793</x:v>
      </x:c>
      <x:c r="D433" s="12" t="n">
        <x:f>D432*EXP(C433)</x:f>
        <x:v>84.54818846706709</x:v>
      </x:c>
      <x:c r="E433" s="16" t="n">
        <x:f>ABS(C433)</x:f>
        <x:v>0.006741835404848793</x:v>
      </x:c>
      <x:c r="F433" s="16" t="n">
        <x:f>C433^2</x:f>
        <x:v>0.00004545234462607269</x:v>
      </x:c>
      <x:c r="G433" s="1"/>
      <x:c r="H433" s="1"/>
      <x:c r="I433" s="1"/>
      <x:c r="J433" s="1"/>
      <x:c r="K433" s="1"/>
      <x:c r="L433" s="1"/>
      <x:c r="M433" s="1"/>
      <x:c r="N433" s="1"/>
    </x:row>
    <x:row r="434" ht="22" customHeight="1">
      <x:c r="A434" s="1" t="n">
        <x:v>418</x:v>
      </x:c>
      <x:c r="B434" s="16" t="n">
        <x:v>0.21621289387545897</x:v>
      </x:c>
      <x:c r="C434" s="16" t="n">
        <x:f>$B$12+$D$12*B434</x:f>
        <x:v>0.0033513377613777246</x:v>
      </x:c>
      <x:c r="D434" s="12" t="n">
        <x:f>D433*EXP(C434)</x:f>
        <x:v>84.83201333458355</x:v>
      </x:c>
      <x:c r="E434" s="16" t="n">
        <x:f>ABS(C434)</x:f>
        <x:v>0.0033513377613777246</x:v>
      </x:c>
      <x:c r="F434" s="16" t="n">
        <x:f>C434^2</x:f>
        <x:v>0.000011231464790836259</x:v>
      </x:c>
      <x:c r="G434" s="1"/>
      <x:c r="H434" s="1"/>
      <x:c r="I434" s="1"/>
      <x:c r="J434" s="1"/>
      <x:c r="K434" s="1"/>
      <x:c r="L434" s="1"/>
      <x:c r="M434" s="1"/>
      <x:c r="N434" s="1"/>
    </x:row>
    <x:row r="435" ht="22" customHeight="1">
      <x:c r="A435" s="1" t="n">
        <x:v>419</x:v>
      </x:c>
      <x:c r="B435" s="16" t="n">
        <x:v>0.031447706516609227</x:v>
      </x:c>
      <x:c r="C435" s="16" t="n">
        <x:f>$B$12+$D$12*B435</x:f>
        <x:v>0.0009084970471963293</x:v>
      </x:c>
      <x:c r="D435" s="12" t="n">
        <x:f>D434*EXP(C435)</x:f>
        <x:v>84.90911798757722</x:v>
      </x:c>
      <x:c r="E435" s="16" t="n">
        <x:f>ABS(C435)</x:f>
        <x:v>0.0009084970471963293</x:v>
      </x:c>
      <x:c r="F435" s="16" t="n">
        <x:f>C435^2</x:f>
        <x:v>8.253668847644494e-7</x:v>
      </x:c>
      <x:c r="G435" s="1"/>
      <x:c r="H435" s="1"/>
      <x:c r="I435" s="1"/>
      <x:c r="J435" s="1"/>
      <x:c r="K435" s="1"/>
      <x:c r="L435" s="1"/>
      <x:c r="M435" s="1"/>
      <x:c r="N435" s="1"/>
    </x:row>
    <x:row r="436" ht="22" customHeight="1">
      <x:c r="A436" s="1" t="n">
        <x:v>420</x:v>
      </x:c>
      <x:c r="B436" s="16" t="n">
        <x:v>0.7290601155962259</x:v>
      </x:c>
      <x:c r="C436" s="16" t="n">
        <x:f>$B$12+$D$12*B436</x:f>
        <x:v>0.010131857897679777</x:v>
      </x:c>
      <x:c r="D436" s="12" t="n">
        <x:f>D435*EXP(C436)</x:f>
        <x:v>85.77377801474644</x:v>
      </x:c>
      <x:c r="E436" s="16" t="n">
        <x:f>ABS(C436)</x:f>
        <x:v>0.010131857897679777</x:v>
      </x:c>
      <x:c r="F436" s="16" t="n">
        <x:f>C436^2</x:f>
        <x:v>0.00010265454445877607</x:v>
      </x:c>
      <x:c r="G436" s="1"/>
      <x:c r="H436" s="1"/>
      <x:c r="I436" s="1"/>
      <x:c r="J436" s="1"/>
      <x:c r="K436" s="1"/>
      <x:c r="L436" s="1"/>
      <x:c r="M436" s="1"/>
      <x:c r="N436" s="1"/>
    </x:row>
    <x:row r="437" ht="22" customHeight="1">
      <x:c r="A437" s="1" t="n">
        <x:v>421</x:v>
      </x:c>
      <x:c r="B437" s="16" t="n">
        <x:v>-0.9784445708187364</x:v>
      </x:c>
      <x:c r="C437" s="16" t="n">
        <x:f>$B$12+$D$12*B437</x:f>
        <x:v>-0.012443617641057949</x:v>
      </x:c>
      <x:c r="D437" s="12" t="n">
        <x:f>D436*EXP(C437)</x:f>
        <x:v>84.71305521909255</x:v>
      </x:c>
      <x:c r="E437" s="16" t="n">
        <x:f>ABS(C437)</x:f>
        <x:v>0.012443617641057949</x:v>
      </x:c>
      <x:c r="F437" s="16" t="n">
        <x:f>C437^2</x:f>
        <x:v>0.0001548436199968486</x:v>
      </x:c>
      <x:c r="G437" s="1"/>
      <x:c r="H437" s="1"/>
      <x:c r="I437" s="1"/>
      <x:c r="J437" s="1"/>
      <x:c r="K437" s="1"/>
      <x:c r="L437" s="1"/>
      <x:c r="M437" s="1"/>
      <x:c r="N437" s="1"/>
    </x:row>
    <x:row r="438" ht="22" customHeight="1">
      <x:c r="A438" s="1" t="n">
        <x:v>422</x:v>
      </x:c>
      <x:c r="B438" s="16" t="n">
        <x:v>0.39481161229688144</x:v>
      </x:c>
      <x:c r="C438" s="16" t="n">
        <x:f>$B$12+$D$12*B438</x:f>
        <x:v>0.005712649581515754</x:v>
      </x:c>
      <x:c r="D438" s="12" t="n">
        <x:f>D437*EXP(C438)</x:f>
        <x:v>85.19837613285199</x:v>
      </x:c>
      <x:c r="E438" s="16" t="n">
        <x:f>ABS(C438)</x:f>
        <x:v>0.005712649581515754</x:v>
      </x:c>
      <x:c r="F438" s="16" t="n">
        <x:f>C438^2</x:f>
        <x:v>0.00003263436524119212</x:v>
      </x:c>
      <x:c r="G438" s="1"/>
      <x:c r="H438" s="1"/>
      <x:c r="I438" s="1"/>
      <x:c r="J438" s="1"/>
      <x:c r="K438" s="1"/>
      <x:c r="L438" s="1"/>
      <x:c r="M438" s="1"/>
      <x:c r="N438" s="1"/>
    </x:row>
    <x:row r="439" ht="22" customHeight="1">
      <x:c r="A439" s="1" t="n">
        <x:v>423</x:v>
      </x:c>
      <x:c r="B439" s="16" t="n">
        <x:v>0.2981507011744149</x:v>
      </x:c>
      <x:c r="C439" s="16" t="n">
        <x:f>$B$12+$D$12*B439</x:f>
        <x:v>0.004434664196199494</x:v>
      </x:c>
      <x:c r="D439" s="12" t="n">
        <x:f>D438*EXP(C439)</x:f>
        <x:v>85.57704132697533</x:v>
      </x:c>
      <x:c r="E439" s="16" t="n">
        <x:f>ABS(C439)</x:f>
        <x:v>0.004434664196199494</x:v>
      </x:c>
      <x:c r="F439" s="16" t="n">
        <x:f>C439^2</x:f>
        <x:v>0.0000196662465330537</x:v>
      </x:c>
      <x:c r="G439" s="1"/>
      <x:c r="H439" s="1"/>
      <x:c r="I439" s="1"/>
      <x:c r="J439" s="1"/>
      <x:c r="K439" s="1"/>
      <x:c r="L439" s="1"/>
      <x:c r="M439" s="1"/>
      <x:c r="N439" s="1"/>
    </x:row>
    <x:row r="440" ht="22" customHeight="1">
      <x:c r="A440" s="1" t="n">
        <x:v>424</x:v>
      </x:c>
      <x:c r="B440" s="16" t="n">
        <x:v>0.07676914704381901</x:v>
      </x:c>
      <x:c r="C440" s="16" t="n">
        <x:f>$B$12+$D$12*B440</x:f>
        <x:v>0.0015077065721497101</x:v>
      </x:c>
      <x:c r="D440" s="12" t="n">
        <x:f>D439*EXP(C440)</x:f>
        <x:v>85.70616370948164</x:v>
      </x:c>
      <x:c r="E440" s="16" t="n">
        <x:f>ABS(C440)</x:f>
        <x:v>0.0015077065721497101</x:v>
      </x:c>
      <x:c r="F440" s="16" t="n">
        <x:f>C440^2</x:f>
        <x:v>0.000002273179107703429</x:v>
      </x:c>
      <x:c r="G440" s="1"/>
      <x:c r="H440" s="1"/>
      <x:c r="I440" s="1"/>
      <x:c r="J440" s="1"/>
      <x:c r="K440" s="1"/>
      <x:c r="L440" s="1"/>
      <x:c r="M440" s="1"/>
      <x:c r="N440" s="1"/>
    </x:row>
    <x:row r="441" ht="22" customHeight="1">
      <x:c r="A441" s="1" t="n">
        <x:v>425</x:v>
      </x:c>
      <x:c r="B441" s="16" t="n">
        <x:v>-0.43400664069430767</x:v>
      </x:c>
      <x:c r="C441" s="16" t="n">
        <x:f>$B$12+$D$12*B441</x:f>
        <x:v>-0.005245426460868084</x:v>
      </x:c>
      <x:c r="D441" s="12" t="n">
        <x:f>D440*EXP(C441)</x:f>
        <x:v>85.25777535267414</x:v>
      </x:c>
      <x:c r="E441" s="16" t="n">
        <x:f>ABS(C441)</x:f>
        <x:v>0.005245426460868084</x:v>
      </x:c>
      <x:c r="F441" s="16" t="n">
        <x:f>C441^2</x:f>
        <x:v>0.000027514498756375075</x:v>
      </x:c>
      <x:c r="G441" s="1"/>
      <x:c r="H441" s="1"/>
      <x:c r="I441" s="1"/>
      <x:c r="J441" s="1"/>
      <x:c r="K441" s="1"/>
      <x:c r="L441" s="1"/>
      <x:c r="M441" s="1"/>
      <x:c r="N441" s="1"/>
    </x:row>
    <x:row r="442" ht="22" customHeight="1">
      <x:c r="A442" s="1" t="n">
        <x:v>426</x:v>
      </x:c>
      <x:c r="B442" s="16" t="n">
        <x:v>-0.5673411385126964</x:v>
      </x:c>
      <x:c r="C442" s="16" t="n">
        <x:f>$B$12+$D$12*B442</x:f>
        <x:v>-0.007008285279304963</x:v>
      </x:c>
      <x:c r="D442" s="12" t="n">
        <x:f>D441*EXP(C442)</x:f>
        <x:v>84.66235342116556</x:v>
      </x:c>
      <x:c r="E442" s="16" t="n">
        <x:f>ABS(C442)</x:f>
        <x:v>0.007008285279304963</x:v>
      </x:c>
      <x:c r="F442" s="16" t="n">
        <x:f>C442^2</x:f>
        <x:v>0.000049116062556122644</x:v>
      </x:c>
      <x:c r="G442" s="1"/>
      <x:c r="H442" s="1"/>
      <x:c r="I442" s="1"/>
      <x:c r="J442" s="1"/>
      <x:c r="K442" s="1"/>
      <x:c r="L442" s="1"/>
      <x:c r="M442" s="1"/>
      <x:c r="N442" s="1"/>
    </x:row>
    <x:row r="443" ht="22" customHeight="1">
      <x:c r="A443" s="1" t="n">
        <x:v>427</x:v>
      </x:c>
      <x:c r="B443" s="16" t="n">
        <x:v>0.1435136454946547</x:v>
      </x:c>
      <x:c r="C443" s="16" t="n">
        <x:f>$B$12+$D$12*B443</x:f>
        <x:v>0.0023901573227158935</x:v>
      </x:c>
      <x:c r="D443" s="12" t="n">
        <x:f>D442*EXP(C443)</x:f>
        <x:v>84.86495178968937</x:v>
      </x:c>
      <x:c r="E443" s="16" t="n">
        <x:f>ABS(C443)</x:f>
        <x:v>0.0023901573227158935</x:v>
      </x:c>
      <x:c r="F443" s="16" t="n">
        <x:f>C443^2</x:f>
        <x:v>0.000005712852027332408</x:v>
      </x:c>
      <x:c r="G443" s="1"/>
      <x:c r="H443" s="1"/>
      <x:c r="I443" s="1"/>
      <x:c r="J443" s="1"/>
      <x:c r="K443" s="1"/>
      <x:c r="L443" s="1"/>
      <x:c r="M443" s="1"/>
      <x:c r="N443" s="1"/>
    </x:row>
    <x:row r="444" ht="22" customHeight="1">
      <x:c r="A444" s="1" t="n">
        <x:v>428</x:v>
      </x:c>
      <x:c r="B444" s="16" t="n">
        <x:v>0.22312786789180863</x:v>
      </x:c>
      <x:c r="C444" s="16" t="n">
        <x:f>$B$12+$D$12*B444</x:f>
        <x:v>0.003442762884833679</x:v>
      </x:c>
      <x:c r="D444" s="12" t="n">
        <x:f>D443*EXP(C444)</x:f>
        <x:v>85.15762520944882</x:v>
      </x:c>
      <x:c r="E444" s="16" t="n">
        <x:f>ABS(C444)</x:f>
        <x:v>0.003442762884833679</x:v>
      </x:c>
      <x:c r="F444" s="16" t="n">
        <x:f>C444^2</x:f>
        <x:v>0.000011852616281188314</x:v>
      </x:c>
      <x:c r="G444" s="1"/>
      <x:c r="H444" s="1"/>
      <x:c r="I444" s="1"/>
      <x:c r="J444" s="1"/>
      <x:c r="K444" s="1"/>
      <x:c r="L444" s="1"/>
      <x:c r="M444" s="1"/>
      <x:c r="N444" s="1"/>
    </x:row>
    <x:row r="445" ht="22" customHeight="1">
      <x:c r="A445" s="1" t="n">
        <x:v>429</x:v>
      </x:c>
      <x:c r="B445" s="16" t="n">
        <x:v>2.075307485341498</x:v>
      </x:c>
      <x:c r="C445" s="16" t="n">
        <x:f>$B$12+$D$12*B445</x:f>
        <x:v>0.02793103280277776</x:v>
      </x:c>
      <x:c r="D445" s="12" t="n">
        <x:f>D444*EXP(C445)</x:f>
        <x:v>87.56969461630875</x:v>
      </x:c>
      <x:c r="E445" s="16" t="n">
        <x:f>ABS(C445)</x:f>
        <x:v>0.02793103280277776</x:v>
      </x:c>
      <x:c r="F445" s="16" t="n">
        <x:f>C445^2</x:f>
        <x:v>0.0007801425934298472</x:v>
      </x:c>
      <x:c r="G445" s="1"/>
      <x:c r="H445" s="1"/>
      <x:c r="I445" s="1"/>
      <x:c r="J445" s="1"/>
      <x:c r="K445" s="1"/>
      <x:c r="L445" s="1"/>
      <x:c r="M445" s="1"/>
      <x:c r="N445" s="1"/>
    </x:row>
    <x:row r="446" ht="22" customHeight="1">
      <x:c r="A446" s="1" t="n">
        <x:v>430</x:v>
      </x:c>
      <x:c r="B446" s="16" t="n">
        <x:v>-1.7027242233869166</x:v>
      </x:c>
      <x:c r="C446" s="16" t="n">
        <x:f>$B$12+$D$12*B446</x:f>
        <x:v>-0.022019554802371694</x:v>
      </x:c>
      <x:c r="D446" s="12" t="n">
        <x:f>D445*EXP(C446)</x:f>
        <x:v>85.6625235147242</x:v>
      </x:c>
      <x:c r="E446" s="16" t="n">
        <x:f>ABS(C446)</x:f>
        <x:v>0.022019554802371694</x:v>
      </x:c>
      <x:c r="F446" s="16" t="n">
        <x:f>C446^2</x:f>
        <x:v>0.0004848607936946503</x:v>
      </x:c>
      <x:c r="G446" s="1"/>
      <x:c r="H446" s="1"/>
      <x:c r="I446" s="1"/>
      <x:c r="J446" s="1"/>
      <x:c r="K446" s="1"/>
      <x:c r="L446" s="1"/>
      <x:c r="M446" s="1"/>
      <x:c r="N446" s="1"/>
    </x:row>
    <x:row r="447" ht="22" customHeight="1">
      <x:c r="A447" s="1" t="n">
        <x:v>431</x:v>
      </x:c>
      <x:c r="B447" s="16" t="n">
        <x:v>2.4266549906665644</x:v>
      </x:c>
      <x:c r="C447" s="16" t="n">
        <x:f>$B$12+$D$12*B447</x:f>
        <x:v>0.03257631259332174</x:v>
      </x:c>
      <x:c r="D447" s="12" t="n">
        <x:f>D446*EXP(C447)</x:f>
        <x:v>88.49904349678289</x:v>
      </x:c>
      <x:c r="E447" s="16" t="n">
        <x:f>ABS(C447)</x:f>
        <x:v>0.03257631259332174</x:v>
      </x:c>
      <x:c r="F447" s="16" t="n">
        <x:f>C447^2</x:f>
        <x:v>0.0010612161421778127</x:v>
      </x:c>
      <x:c r="G447" s="1"/>
      <x:c r="H447" s="1"/>
      <x:c r="I447" s="1"/>
      <x:c r="J447" s="1"/>
      <x:c r="K447" s="1"/>
      <x:c r="L447" s="1"/>
      <x:c r="M447" s="1"/>
      <x:c r="N447" s="1"/>
    </x:row>
    <x:row r="448" ht="22" customHeight="1">
      <x:c r="A448" s="1" t="n">
        <x:v>432</x:v>
      </x:c>
      <x:c r="B448" s="16" t="n">
        <x:v>0.9174189156693059</x:v>
      </x:c>
      <x:c r="C448" s="16" t="n">
        <x:f>$B$12+$D$12*B448</x:f>
        <x:v>0.012622210935880696</x:v>
      </x:c>
      <x:c r="D448" s="12" t="n">
        <x:f>D447*EXP(C448)</x:f>
        <x:v>89.62317668984275</x:v>
      </x:c>
      <x:c r="E448" s="16" t="n">
        <x:f>ABS(C448)</x:f>
        <x:v>0.012622210935880696</x:v>
      </x:c>
      <x:c r="F448" s="16" t="n">
        <x:f>C448^2</x:f>
        <x:v>0.00015932020890986623</x:v>
      </x:c>
      <x:c r="G448" s="1"/>
      <x:c r="H448" s="1"/>
      <x:c r="I448" s="1"/>
      <x:c r="J448" s="1"/>
      <x:c r="K448" s="1"/>
      <x:c r="L448" s="1"/>
      <x:c r="M448" s="1"/>
      <x:c r="N448" s="1"/>
    </x:row>
    <x:row r="449" ht="22" customHeight="1">
      <x:c r="A449" s="1" t="n">
        <x:v>433</x:v>
      </x:c>
      <x:c r="B449" s="16" t="n">
        <x:v>-0.045483283671928824</x:v>
      </x:c>
      <x:c r="C449" s="16" t="n">
        <x:f>$B$12+$D$12*B449</x:f>
        <x:v>-0.00010863262804846382</x:v>
      </x:c>
      <x:c r="D449" s="12" t="n">
        <x:f>D448*EXP(C449)</x:f>
        <x:v>89.61344121742944</x:v>
      </x:c>
      <x:c r="E449" s="16" t="n">
        <x:f>ABS(C449)</x:f>
        <x:v>0.00010863262804846382</x:v>
      </x:c>
      <x:c r="F449" s="16" t="n">
        <x:f>C449^2</x:f>
        <x:v>1.1801047876715888e-8</x:v>
      </x:c>
      <x:c r="G449" s="1"/>
      <x:c r="H449" s="1"/>
      <x:c r="I449" s="1"/>
      <x:c r="J449" s="1"/>
      <x:c r="K449" s="1"/>
      <x:c r="L449" s="1"/>
      <x:c r="M449" s="1"/>
      <x:c r="N449" s="1"/>
    </x:row>
    <x:row r="450" ht="22" customHeight="1">
      <x:c r="A450" s="1" t="n">
        <x:v>434</x:v>
      </x:c>
      <x:c r="B450" s="16" t="n">
        <x:v>1.1261542227532702</x:v>
      </x:c>
      <x:c r="C450" s="16" t="n">
        <x:f>$B$12+$D$12*B450</x:f>
        <x:v>0.015381968409248912</x:v>
      </x:c>
      <x:c r="D450" s="12" t="n">
        <x:f>D449*EXP(C450)</x:f>
        <x:v>91.0025283982121</x:v>
      </x:c>
      <x:c r="E450" s="16" t="n">
        <x:f>ABS(C450)</x:f>
        <x:v>0.015381968409248912</x:v>
      </x:c>
      <x:c r="F450" s="16" t="n">
        <x:f>C450^2</x:f>
        <x:v>0.0002366049521431315</x:v>
      </x:c>
      <x:c r="G450" s="1"/>
      <x:c r="H450" s="1"/>
      <x:c r="I450" s="1"/>
      <x:c r="J450" s="1"/>
      <x:c r="K450" s="1"/>
      <x:c r="L450" s="1"/>
      <x:c r="M450" s="1"/>
      <x:c r="N450" s="1"/>
    </x:row>
    <x:row r="451" ht="22" customHeight="1">
      <x:c r="A451" s="1" t="n">
        <x:v>435</x:v>
      </x:c>
      <x:c r="B451" s="16" t="n">
        <x:v>0.4755066331857553</x:v>
      </x:c>
      <x:c r="C451" s="16" t="n">
        <x:f>$B$12+$D$12*B451</x:f>
        <x:v>0.006779544732474057</x:v>
      </x:c>
      <x:c r="D451" s="12" t="n">
        <x:f>D450*EXP(C451)</x:f>
        <x:v>91.62158018381072</x:v>
      </x:c>
      <x:c r="E451" s="16" t="n">
        <x:f>ABS(C451)</x:f>
        <x:v>0.006779544732474057</x:v>
      </x:c>
      <x:c r="F451" s="16" t="n">
        <x:f>C451^2</x:f>
        <x:v>0.00004596222677961674</x:v>
      </x:c>
      <x:c r="G451" s="1"/>
      <x:c r="H451" s="1"/>
      <x:c r="I451" s="1"/>
      <x:c r="J451" s="1"/>
      <x:c r="K451" s="1"/>
      <x:c r="L451" s="1"/>
      <x:c r="M451" s="1"/>
      <x:c r="N451" s="1"/>
    </x:row>
    <x:row r="452" ht="22" customHeight="1">
      <x:c r="A452" s="1" t="n">
        <x:v>436</x:v>
      </x:c>
      <x:c r="B452" s="16" t="n">
        <x:v>0.20761694022837976</x:v>
      </x:c>
      <x:c r="C452" s="16" t="n">
        <x:f>$B$12+$D$12*B452</x:f>
        <x:v>0.003237687858782611</x:v>
      </x:c>
      <x:c r="D452" s="12" t="n">
        <x:f>D451*EXP(C452)</x:f>
        <x:v>91.91870299748538</x:v>
      </x:c>
      <x:c r="E452" s="16" t="n">
        <x:f>ABS(C452)</x:f>
        <x:v>0.003237687858782611</x:v>
      </x:c>
      <x:c r="F452" s="16" t="n">
        <x:f>C452^2</x:f>
        <x:v>0.000010482622670908328</x:v>
      </x:c>
      <x:c r="G452" s="1"/>
      <x:c r="H452" s="1"/>
      <x:c r="I452" s="1"/>
      <x:c r="J452" s="1"/>
      <x:c r="K452" s="1"/>
      <x:c r="L452" s="1"/>
      <x:c r="M452" s="1"/>
      <x:c r="N452" s="1"/>
    </x:row>
    <x:row r="453" ht="22" customHeight="1">
      <x:c r="A453" s="1" t="n">
        <x:v>437</x:v>
      </x:c>
      <x:c r="B453" s="16" t="n">
        <x:v>-0.5642368176428791</x:v>
      </x:c>
      <x:c r="C453" s="16" t="n">
        <x:f>$B$12+$D$12*B453</x:f>
        <x:v>-0.006967242042107123</x:v>
      </x:c>
      <x:c r="D453" s="12" t="n">
        <x:f>D452*EXP(C453)</x:f>
        <x:v>91.28050895331685</x:v>
      </x:c>
      <x:c r="E453" s="16" t="n">
        <x:f>ABS(C453)</x:f>
        <x:v>0.006967242042107123</x:v>
      </x:c>
      <x:c r="F453" s="16" t="n">
        <x:f>C453^2</x:f>
        <x:v>0.00004854246167330503</x:v>
      </x:c>
      <x:c r="G453" s="1"/>
      <x:c r="H453" s="1"/>
      <x:c r="I453" s="1"/>
      <x:c r="J453" s="1"/>
      <x:c r="K453" s="1"/>
      <x:c r="L453" s="1"/>
      <x:c r="M453" s="1"/>
      <x:c r="N453" s="1"/>
    </x:row>
    <x:row r="454" ht="22" customHeight="1">
      <x:c r="A454" s="1" t="n">
        <x:v>438</x:v>
      </x:c>
      <x:c r="B454" s="16" t="n">
        <x:v>-0.6697388743566266</x:v>
      </x:c>
      <x:c r="C454" s="16" t="n">
        <x:f>$B$12+$D$12*B454</x:f>
        <x:v>-0.00836211909256396</x:v>
      </x:c>
      <x:c r="D454" s="12" t="n">
        <x:f>D453*EXP(C454)</x:f>
        <x:v>90.52039298599699</x:v>
      </x:c>
      <x:c r="E454" s="16" t="n">
        <x:f>ABS(C454)</x:f>
        <x:v>0.00836211909256396</x:v>
      </x:c>
      <x:c r="F454" s="16" t="n">
        <x:f>C454^2</x:f>
        <x:v>0.0000699250357182227</x:v>
      </x:c>
      <x:c r="G454" s="1"/>
      <x:c r="H454" s="1"/>
      <x:c r="I454" s="1"/>
      <x:c r="J454" s="1"/>
      <x:c r="K454" s="1"/>
      <x:c r="L454" s="1"/>
      <x:c r="M454" s="1"/>
      <x:c r="N454" s="1"/>
    </x:row>
    <x:row r="455" ht="22" customHeight="1">
      <x:c r="A455" s="1" t="n">
        <x:v>439</x:v>
      </x:c>
      <x:c r="B455" s="16" t="n">
        <x:v>1.4391624026820249</x:v>
      </x:c>
      <x:c r="C455" s="16" t="n">
        <x:f>$B$12+$D$12*B455</x:f>
        <x:v>0.019520351492836624</x:v>
      </x:c>
      <x:c r="D455" s="12" t="n">
        <x:f>D454*EXP(C455)</x:f>
        <x:v>92.3047417728308</x:v>
      </x:c>
      <x:c r="E455" s="16" t="n">
        <x:f>ABS(C455)</x:f>
        <x:v>0.019520351492836624</x:v>
      </x:c>
      <x:c r="F455" s="16" t="n">
        <x:f>C455^2</x:f>
        <x:v>0.00038104412240388903</x:v>
      </x:c>
      <x:c r="G455" s="1"/>
      <x:c r="H455" s="1"/>
      <x:c r="I455" s="1"/>
      <x:c r="J455" s="1"/>
      <x:c r="K455" s="1"/>
      <x:c r="L455" s="1"/>
      <x:c r="M455" s="1"/>
      <x:c r="N455" s="1"/>
    </x:row>
    <x:row r="456" ht="22" customHeight="1">
      <x:c r="A456" s="1" t="n">
        <x:v>440</x:v>
      </x:c>
      <x:c r="B456" s="16" t="n">
        <x:v>0.8857925653621546</x:v>
      </x:c>
      <x:c r="C456" s="16" t="n">
        <x:f>$B$12+$D$12*B456</x:f>
        <x:v>0.012204068658779425</x:v>
      </x:c>
      <x:c r="D456" s="12" t="n">
        <x:f>D455*EXP(C456)</x:f>
        <x:v>93.43813712910654</x:v>
      </x:c>
      <x:c r="E456" s="16" t="n">
        <x:f>ABS(C456)</x:f>
        <x:v>0.012204068658779425</x:v>
      </x:c>
      <x:c r="F456" s="16" t="n">
        <x:f>C456^2</x:f>
        <x:v>0.00014893929182820223</x:v>
      </x:c>
      <x:c r="G456" s="1"/>
      <x:c r="H456" s="1"/>
      <x:c r="I456" s="1"/>
      <x:c r="J456" s="1"/>
      <x:c r="K456" s="1"/>
      <x:c r="L456" s="1"/>
      <x:c r="M456" s="1"/>
      <x:c r="N456" s="1"/>
    </x:row>
    <x:row r="457" ht="22" customHeight="1">
      <x:c r="A457" s="1" t="n">
        <x:v>441</x:v>
      </x:c>
      <x:c r="B457" s="16" t="n">
        <x:v>-0.056103368971738586</x:v>
      </x:c>
      <x:c r="C457" s="16" t="n">
        <x:f>$B$12+$D$12*B457</x:f>
        <x:v>-0.00024904423441924587</x:v>
      </x:c>
      <x:c r="D457" s="12" t="n">
        <x:f>D456*EXP(C457)</x:f>
        <x:v>93.41486979719735</x:v>
      </x:c>
      <x:c r="E457" s="16" t="n">
        <x:f>ABS(C457)</x:f>
        <x:v>0.00024904423441924587</x:v>
      </x:c>
      <x:c r="F457" s="16" t="n">
        <x:f>C457^2</x:f>
        <x:v>6.202303069746829e-8</x:v>
      </x:c>
      <x:c r="G457" s="1"/>
      <x:c r="H457" s="1"/>
      <x:c r="I457" s="1"/>
      <x:c r="J457" s="1"/>
      <x:c r="K457" s="1"/>
      <x:c r="L457" s="1"/>
      <x:c r="M457" s="1"/>
      <x:c r="N457" s="1"/>
    </x:row>
    <x:row r="458" ht="22" customHeight="1">
      <x:c r="A458" s="1" t="n">
        <x:v>442</x:v>
      </x:c>
      <x:c r="B458" s="16" t="n">
        <x:v>1.4542177035267132</x:v>
      </x:c>
      <x:c r="C458" s="16" t="n">
        <x:f>$B$12+$D$12*B458</x:f>
        <x:v>0.019719402528334044</x:v>
      </x:c>
      <x:c r="D458" s="12" t="n">
        <x:f>D457*EXP(C458)</x:f>
        <x:v>95.27523760364575</x:v>
      </x:c>
      <x:c r="E458" s="16" t="n">
        <x:f>ABS(C458)</x:f>
        <x:v>0.019719402528334044</x:v>
      </x:c>
      <x:c r="F458" s="16" t="n">
        <x:f>C458^2</x:f>
        <x:v>0.0003888548360744671</x:v>
      </x:c>
      <x:c r="G458" s="1"/>
      <x:c r="H458" s="1"/>
      <x:c r="I458" s="1"/>
      <x:c r="J458" s="1"/>
      <x:c r="K458" s="1"/>
      <x:c r="L458" s="1"/>
      <x:c r="M458" s="1"/>
      <x:c r="N458" s="1"/>
    </x:row>
    <x:row r="459" ht="22" customHeight="1">
      <x:c r="A459" s="1" t="n">
        <x:v>443</x:v>
      </x:c>
      <x:c r="B459" s="16" t="n">
        <x:v>-0.8657346138056304</x:v>
      </x:c>
      <x:c r="C459" s="16" t="n">
        <x:f>$B$12+$D$12*B459</x:f>
        <x:v>-0.01095344259336078</x:v>
      </x:c>
      <x:c r="D459" s="12" t="n">
        <x:f>D458*EXP(C459)</x:f>
        <x:v>94.2373404086969</x:v>
      </x:c>
      <x:c r="E459" s="16" t="n">
        <x:f>ABS(C459)</x:f>
        <x:v>0.01095344259336078</x:v>
      </x:c>
      <x:c r="F459" s="16" t="n">
        <x:f>C459^2</x:f>
        <x:v>0.00011997790464605012</x:v>
      </x:c>
      <x:c r="G459" s="1"/>
      <x:c r="H459" s="1"/>
      <x:c r="I459" s="1"/>
      <x:c r="J459" s="1"/>
      <x:c r="K459" s="1"/>
      <x:c r="L459" s="1"/>
      <x:c r="M459" s="1"/>
      <x:c r="N459" s="1"/>
    </x:row>
    <x:row r="460" ht="22" customHeight="1">
      <x:c r="A460" s="1" t="n">
        <x:v>444</x:v>
      </x:c>
      <x:c r="B460" s="16" t="n">
        <x:v>0.37106286660645166</x:v>
      </x:c>
      <x:c r="C460" s="16" t="n">
        <x:f>$B$12+$D$12*B460</x:f>
        <x:v>0.005398659680535941</x:v>
      </x:c>
      <x:c r="D460" s="12" t="n">
        <x:f>D459*EXP(C460)</x:f>
        <x:v>94.74747151186882</x:v>
      </x:c>
      <x:c r="E460" s="16" t="n">
        <x:f>ABS(C460)</x:f>
        <x:v>0.005398659680535941</x:v>
      </x:c>
      <x:c r="F460" s="16" t="n">
        <x:f>C460^2</x:f>
        <x:v>0.000029145526346244428</x:v>
      </x:c>
      <x:c r="G460" s="1"/>
      <x:c r="H460" s="1"/>
      <x:c r="I460" s="1"/>
      <x:c r="J460" s="1"/>
      <x:c r="K460" s="1"/>
      <x:c r="L460" s="1"/>
      <x:c r="M460" s="1"/>
      <x:c r="N460" s="1"/>
    </x:row>
    <x:row r="461" ht="22" customHeight="1">
      <x:c r="A461" s="1" t="n">
        <x:v>445</x:v>
      </x:c>
      <x:c r="B461" s="16" t="n">
        <x:v>-0.33141010090102835</x:v>
      </x:c>
      <x:c r="C461" s="16" t="n">
        <x:f>$B$12+$D$12*B461</x:f>
        <x:v>-0.0038889641958506586</x:v>
      </x:c>
      <x:c r="D461" s="12" t="n">
        <x:f>D460*EXP(C461)</x:f>
        <x:v>94.37971754201638</x:v>
      </x:c>
      <x:c r="E461" s="16" t="n">
        <x:f>ABS(C461)</x:f>
        <x:v>0.0038889641958506586</x:v>
      </x:c>
      <x:c r="F461" s="16" t="n">
        <x:f>C461^2</x:f>
        <x:v>0.00001512404251660836</x:v>
      </x:c>
      <x:c r="G461" s="1"/>
      <x:c r="H461" s="1"/>
      <x:c r="I461" s="1"/>
      <x:c r="J461" s="1"/>
      <x:c r="K461" s="1"/>
      <x:c r="L461" s="1"/>
      <x:c r="M461" s="1"/>
      <x:c r="N461" s="1"/>
    </x:row>
    <x:row r="462" ht="22" customHeight="1">
      <x:c r="A462" s="1" t="n">
        <x:v>446</x:v>
      </x:c>
      <x:c r="B462" s="16" t="n">
        <x:v>0.08654755137126532</x:v>
      </x:c>
      <x:c r="C462" s="16" t="n">
        <x:f>$B$12+$D$12*B462</x:f>
        <x:v>0.0016369900402763114</x:v>
      </x:c>
      <x:c r="D462" s="12" t="n">
        <x:f>D461*EXP(C462)</x:f>
        <x:v>94.5343427250495</x:v>
      </x:c>
      <x:c r="E462" s="16" t="n">
        <x:f>ABS(C462)</x:f>
        <x:v>0.0016369900402763114</x:v>
      </x:c>
      <x:c r="F462" s="16" t="n">
        <x:f>C462^2</x:f>
        <x:v>0.0000026797363919638396</x:v>
      </x:c>
      <x:c r="G462" s="1"/>
      <x:c r="H462" s="1"/>
      <x:c r="I462" s="1"/>
      <x:c r="J462" s="1"/>
      <x:c r="K462" s="1"/>
      <x:c r="L462" s="1"/>
      <x:c r="M462" s="1"/>
      <x:c r="N462" s="1"/>
    </x:row>
    <x:row r="463" ht="22" customHeight="1">
      <x:c r="A463" s="1" t="n">
        <x:v>447</x:v>
      </x:c>
      <x:c r="B463" s="16" t="n">
        <x:v>-0.5168771728181308</x:v>
      </x:c>
      <x:c r="C463" s="16" t="n">
        <x:f>$B$12+$D$12*B463</x:f>
        <x:v>-0.006341084754358057</x:v>
      </x:c>
      <x:c r="D463" s="12" t="n">
        <x:f>D462*EXP(C463)</x:f>
        <x:v>93.9367890172551</x:v>
      </x:c>
      <x:c r="E463" s="16" t="n">
        <x:f>ABS(C463)</x:f>
        <x:v>0.006341084754358057</x:v>
      </x:c>
      <x:c r="F463" s="16" t="n">
        <x:f>C463^2</x:f>
        <x:v>0.000040209355861952184</x:v>
      </x:c>
      <x:c r="G463" s="1"/>
      <x:c r="H463" s="1"/>
      <x:c r="I463" s="1"/>
      <x:c r="J463" s="1"/>
      <x:c r="K463" s="1"/>
      <x:c r="L463" s="1"/>
      <x:c r="M463" s="1"/>
      <x:c r="N463" s="1"/>
    </x:row>
    <x:row r="464" ht="22" customHeight="1">
      <x:c r="A464" s="1" t="n">
        <x:v>448</x:v>
      </x:c>
      <x:c r="B464" s="16" t="n">
        <x:v>-0.5174178146790213</x:v>
      </x:c>
      <x:c r="C464" s="16" t="n">
        <x:f>$B$12+$D$12*B464</x:f>
        <x:v>-0.006348232756470645</x:v>
      </x:c>
      <x:c r="D464" s="12" t="n">
        <x:f>D463*EXP(C464)</x:f>
        <x:v>93.34234524622956</x:v>
      </x:c>
      <x:c r="E464" s="16" t="n">
        <x:f>ABS(C464)</x:f>
        <x:v>0.006348232756470645</x:v>
      </x:c>
      <x:c r="F464" s="16" t="n">
        <x:f>C464^2</x:f>
        <x:v>0.000040300059130326886</x:v>
      </x:c>
      <x:c r="G464" s="1"/>
      <x:c r="H464" s="1"/>
      <x:c r="I464" s="1"/>
      <x:c r="J464" s="1"/>
      <x:c r="K464" s="1"/>
      <x:c r="L464" s="1"/>
      <x:c r="M464" s="1"/>
      <x:c r="N464" s="1"/>
    </x:row>
    <x:row r="465" ht="22" customHeight="1">
      <x:c r="A465" s="1" t="n">
        <x:v>449</x:v>
      </x:c>
      <x:c r="B465" s="16" t="n">
        <x:v>0.4547633880978488</x:v>
      </x:c>
      <x:c r="C465" s="16" t="n">
        <x:f>$B$12+$D$12*B465</x:f>
        <x:v>0.006505291533755591</x:v>
      </x:c>
      <x:c r="D465" s="12" t="n">
        <x:f>D464*EXP(C465)</x:f>
        <x:v>93.95154377313185</x:v>
      </x:c>
      <x:c r="E465" s="16" t="n">
        <x:f>ABS(C465)</x:f>
        <x:v>0.006505291533755591</x:v>
      </x:c>
      <x:c r="F465" s="16" t="n">
        <x:f>C465^2</x:f>
        <x:v>0.00004231881793915217</x:v>
      </x:c>
      <x:c r="G465" s="1"/>
      <x:c r="H465" s="1"/>
      <x:c r="I465" s="1"/>
      <x:c r="J465" s="1"/>
      <x:c r="K465" s="1"/>
      <x:c r="L465" s="1"/>
      <x:c r="M465" s="1"/>
      <x:c r="N465" s="1"/>
    </x:row>
    <x:row r="466" ht="22" customHeight="1">
      <x:c r="A466" s="1" t="n">
        <x:v>450</x:v>
      </x:c>
      <x:c r="B466" s="16" t="n">
        <x:v>0.777743269854122</x:v>
      </x:c>
      <x:c r="C466" s="16" t="n">
        <x:f>$B$12+$D$12*B466</x:f>
        <x:v>0.010775513734669168</x:v>
      </x:c>
      <x:c r="D466" s="12" t="n">
        <x:f>D465*EXP(C466)</x:f>
        <x:v>94.96939400435176</x:v>
      </x:c>
      <x:c r="E466" s="16" t="n">
        <x:f>ABS(C466)</x:f>
        <x:v>0.010775513734669168</x:v>
      </x:c>
      <x:c r="F466" s="16" t="n">
        <x:f>C466^2</x:f>
        <x:v>0.00011611169624604388</x:v>
      </x:c>
      <x:c r="G466" s="1"/>
      <x:c r="H466" s="1"/>
      <x:c r="I466" s="1"/>
      <x:c r="J466" s="1"/>
      <x:c r="K466" s="1"/>
      <x:c r="L466" s="1"/>
      <x:c r="M466" s="1"/>
      <x:c r="N466" s="1"/>
    </x:row>
    <x:row r="467" ht="22" customHeight="1">
      <x:c r="A467" s="1" t="n">
        <x:v>451</x:v>
      </x:c>
      <x:c r="B467" s="16" t="n">
        <x:v>-0.3965864253867353</x:v>
      </x:c>
      <x:c r="C467" s="16" t="n">
        <x:f>$B$12+$D$12*B467</x:f>
        <x:v>-0.004750681607719787</x:v>
      </x:c>
      <x:c r="D467" s="12" t="n">
        <x:f>D466*EXP(C467)</x:f>
        <x:v>94.5192946368755</x:v>
      </x:c>
      <x:c r="E467" s="16" t="n">
        <x:f>ABS(C467)</x:f>
        <x:v>0.004750681607719787</x:v>
      </x:c>
      <x:c r="F467" s="16" t="n">
        <x:f>C467^2</x:f>
        <x:v>0.000022568975737927062</x:v>
      </x:c>
      <x:c r="G467" s="1"/>
      <x:c r="H467" s="1"/>
      <x:c r="I467" s="1"/>
      <x:c r="J467" s="1"/>
      <x:c r="K467" s="1"/>
      <x:c r="L467" s="1"/>
      <x:c r="M467" s="1"/>
      <x:c r="N467" s="1"/>
    </x:row>
    <x:row r="468" ht="22" customHeight="1">
      <x:c r="A468" s="1" t="n">
        <x:v>452</x:v>
      </x:c>
      <x:c r="B468" s="16" t="n">
        <x:v>1.0284485296816683</x:v>
      </x:c>
      <x:c r="C468" s="16" t="n">
        <x:f>$B$12+$D$12*B468</x:f>
        <x:v>0.014090169621531081</x:v>
      </x:c>
      <x:c r="D468" s="12" t="n">
        <x:f>D467*EXP(C468)</x:f>
        <x:v>95.86051434781912</x:v>
      </x:c>
      <x:c r="E468" s="16" t="n">
        <x:f>ABS(C468)</x:f>
        <x:v>0.014090169621531081</x:v>
      </x:c>
      <x:c r="F468" s="16" t="n">
        <x:f>C468^2</x:f>
        <x:v>0.00019853287996351733</x:v>
      </x:c>
      <x:c r="G468" s="1"/>
      <x:c r="H468" s="1"/>
      <x:c r="I468" s="1"/>
      <x:c r="J468" s="1"/>
      <x:c r="K468" s="1"/>
      <x:c r="L468" s="1"/>
      <x:c r="M468" s="1"/>
      <x:c r="N468" s="1"/>
    </x:row>
    <x:row r="469" ht="22" customHeight="1">
      <x:c r="A469" s="1" t="n">
        <x:v>453</x:v>
      </x:c>
      <x:c r="B469" s="16" t="n">
        <x:v>-0.1464146229904569</x:v>
      </x:c>
      <x:c r="C469" s="16" t="n">
        <x:f>$B$12+$D$12*B469</x:f>
        <x:v>-0.0014430787352866861</x:v>
      </x:c>
      <x:c r="D469" s="12" t="n">
        <x:f>D468*EXP(C469)</x:f>
        <x:v>95.72227984363604</x:v>
      </x:c>
      <x:c r="E469" s="16" t="n">
        <x:f>ABS(C469)</x:f>
        <x:v>0.0014430787352866861</x:v>
      </x:c>
      <x:c r="F469" s="16" t="n">
        <x:f>C469^2</x:f>
        <x:v>0.0000020824762362366214</x:v>
      </x:c>
      <x:c r="G469" s="1"/>
      <x:c r="H469" s="1"/>
      <x:c r="I469" s="1"/>
      <x:c r="J469" s="1"/>
      <x:c r="K469" s="1"/>
      <x:c r="L469" s="1"/>
      <x:c r="M469" s="1"/>
      <x:c r="N469" s="1"/>
    </x:row>
    <x:row r="470" ht="22" customHeight="1">
      <x:c r="A470" s="1" t="n">
        <x:v>454</x:v>
      </x:c>
      <x:c r="B470" s="16" t="n">
        <x:v>-0.17717572023262956</x:v>
      </x:c>
      <x:c r="C470" s="16" t="n">
        <x:f>$B$12+$D$12*B470</x:f>
        <x:v>-0.001849781219830635</x:v>
      </x:c>
      <x:c r="D470" s="12" t="n">
        <x:f>D469*EXP(C470)</x:f>
        <x:v>95.54537823314222</x:v>
      </x:c>
      <x:c r="E470" s="16" t="n">
        <x:f>ABS(C470)</x:f>
        <x:v>0.001849781219830635</x:v>
      </x:c>
      <x:c r="F470" s="16" t="n">
        <x:f>C470^2</x:f>
        <x:v>0.000003421690561238112</x:v>
      </x:c>
      <x:c r="G470" s="1"/>
      <x:c r="H470" s="1"/>
      <x:c r="I470" s="1"/>
      <x:c r="J470" s="1"/>
      <x:c r="K470" s="1"/>
      <x:c r="L470" s="1"/>
      <x:c r="M470" s="1"/>
      <x:c r="N470" s="1"/>
    </x:row>
    <x:row r="471" ht="22" customHeight="1">
      <x:c r="A471" s="1" t="n">
        <x:v>455</x:v>
      </x:c>
      <x:c r="B471" s="16" t="n">
        <x:v>1.0505939963364865</x:v>
      </x:c>
      <x:c r="C471" s="16" t="n">
        <x:f>$B$12+$D$12*B471</x:f>
        <x:v>0.014382962048244387</x:v>
      </x:c>
      <x:c r="D471" s="12" t="n">
        <x:f>D470*EXP(C471)</x:f>
        <x:v>96.9295340508883</x:v>
      </x:c>
      <x:c r="E471" s="16" t="n">
        <x:f>ABS(C471)</x:f>
        <x:v>0.014382962048244387</x:v>
      </x:c>
      <x:c r="F471" s="16" t="n">
        <x:f>C471^2</x:f>
        <x:v>0.00020686959728123837</x:v>
      </x:c>
      <x:c r="G471" s="1"/>
      <x:c r="H471" s="1"/>
      <x:c r="I471" s="1"/>
      <x:c r="J471" s="1"/>
      <x:c r="K471" s="1"/>
      <x:c r="L471" s="1"/>
      <x:c r="M471" s="1"/>
      <x:c r="N471" s="1"/>
    </x:row>
    <x:row r="472" ht="22" customHeight="1">
      <x:c r="A472" s="1" t="n">
        <x:v>456</x:v>
      </x:c>
      <x:c r="B472" s="16" t="n">
        <x:v>-1.0089196213365639</x:v>
      </x:c>
      <x:c r="C472" s="16" t="n">
        <x:f>$B$12+$D$12*B472</x:f>
        <x:v>-0.012846538208703063</x:v>
      </x:c>
      <x:c r="D472" s="12" t="n">
        <x:f>D471*EXP(C472)</x:f>
        <x:v>95.6922892599197</x:v>
      </x:c>
      <x:c r="E472" s="16" t="n">
        <x:f>ABS(C472)</x:f>
        <x:v>0.012846538208703063</x:v>
      </x:c>
      <x:c r="F472" s="16" t="n">
        <x:f>C472^2</x:f>
        <x:v>0.0001650335439476677</x:v>
      </x:c>
      <x:c r="G472" s="1"/>
      <x:c r="H472" s="1"/>
      <x:c r="I472" s="1"/>
      <x:c r="J472" s="1"/>
      <x:c r="K472" s="1"/>
      <x:c r="L472" s="1"/>
      <x:c r="M472" s="1"/>
      <x:c r="N472" s="1"/>
    </x:row>
    <x:row r="473" ht="22" customHeight="1">
      <x:c r="A473" s="1" t="n">
        <x:v>457</x:v>
      </x:c>
      <x:c r="B473" s="16" t="n">
        <x:v>-1.2242695543908335</x:v>
      </x:c>
      <x:c r="C473" s="16" t="n">
        <x:f>$B$12+$D$12*B473</x:f>
        <x:v>-0.015693749806196734</x:v>
      </x:c>
      <x:c r="D473" s="12" t="n">
        <x:f>D472*EXP(C473)</x:f>
        <x:v>94.20224121682466</x:v>
      </x:c>
      <x:c r="E473" s="16" t="n">
        <x:f>ABS(C473)</x:f>
        <x:v>0.015693749806196734</x:v>
      </x:c>
      <x:c r="F473" s="16" t="n">
        <x:f>C473^2</x:f>
        <x:v>0.00024629378297950005</x:v>
      </x:c>
      <x:c r="G473" s="1"/>
      <x:c r="H473" s="1"/>
      <x:c r="I473" s="1"/>
      <x:c r="J473" s="1"/>
      <x:c r="K473" s="1"/>
      <x:c r="L473" s="1"/>
      <x:c r="M473" s="1"/>
      <x:c r="N473" s="1"/>
    </x:row>
    <x:row r="474" ht="22" customHeight="1">
      <x:c r="A474" s="1" t="n">
        <x:v>458</x:v>
      </x:c>
      <x:c r="B474" s="16" t="n">
        <x:v>-0.23429531823009125</x:v>
      </x:c>
      <x:c r="C474" s="16" t="n">
        <x:f>$B$12+$D$12*B474</x:f>
        <x:v>-0.0026049780269806273</x:v>
      </x:c>
      <x:c r="D474" s="12" t="n">
        <x:f>D473*EXP(C474)</x:f>
        <x:v>93.95716579499522</x:v>
      </x:c>
      <x:c r="E474" s="16" t="n">
        <x:f>ABS(C474)</x:f>
        <x:v>0.0026049780269806273</x:v>
      </x:c>
      <x:c r="F474" s="16" t="n">
        <x:f>C474^2</x:f>
        <x:v>0.000006785910521051882</x:v>
      </x:c>
      <x:c r="G474" s="1"/>
      <x:c r="H474" s="1"/>
      <x:c r="I474" s="1"/>
      <x:c r="J474" s="1"/>
      <x:c r="K474" s="1"/>
      <x:c r="L474" s="1"/>
      <x:c r="M474" s="1"/>
      <x:c r="N474" s="1"/>
    </x:row>
    <x:row r="475" ht="22" customHeight="1">
      <x:c r="A475" s="1" t="n">
        <x:v>459</x:v>
      </x:c>
      <x:c r="B475" s="16" t="n">
        <x:v>0.7558486181034334</x:v>
      </x:c>
      <x:c r="C475" s="16" t="n">
        <x:f>$B$12+$D$12*B475</x:f>
        <x:v>0.01048603741348575</x:v>
      </x:c>
      <x:c r="D475" s="12" t="n">
        <x:f>D474*EXP(C475)</x:f>
        <x:v>94.94758787698825</x:v>
      </x:c>
      <x:c r="E475" s="16" t="n">
        <x:f>ABS(C475)</x:f>
        <x:v>0.01048603741348575</x:v>
      </x:c>
      <x:c r="F475" s="16" t="n">
        <x:f>C475^2</x:f>
        <x:v>0.00010995698063702291</x:v>
      </x:c>
      <x:c r="G475" s="1"/>
      <x:c r="H475" s="1"/>
      <x:c r="I475" s="1"/>
      <x:c r="J475" s="1"/>
      <x:c r="K475" s="1"/>
      <x:c r="L475" s="1"/>
      <x:c r="M475" s="1"/>
      <x:c r="N475" s="1"/>
    </x:row>
    <x:row r="476" ht="22" customHeight="1">
      <x:c r="A476" s="1" t="n">
        <x:v>460</x:v>
      </x:c>
      <x:c r="B476" s="16" t="n">
        <x:v>-0.1467946163371004</x:v>
      </x:c>
      <x:c r="C476" s="16" t="n">
        <x:f>$B$12+$D$12*B476</x:f>
        <x:v>-0.0014481027510743348</x:v>
      </x:c>
      <x:c r="D476" s="12" t="n">
        <x:f>D475*EXP(C476)</x:f>
        <x:v>94.81019351835975</x:v>
      </x:c>
      <x:c r="E476" s="16" t="n">
        <x:f>ABS(C476)</x:f>
        <x:v>0.0014481027510743348</x:v>
      </x:c>
      <x:c r="F476" s="16" t="n">
        <x:f>C476^2</x:f>
        <x:v>0.000002097001577669057</x:v>
      </x:c>
      <x:c r="G476" s="1"/>
      <x:c r="H476" s="1"/>
      <x:c r="I476" s="1"/>
      <x:c r="J476" s="1"/>
      <x:c r="K476" s="1"/>
      <x:c r="L476" s="1"/>
      <x:c r="M476" s="1"/>
      <x:c r="N476" s="1"/>
    </x:row>
    <x:row r="477" ht="22" customHeight="1">
      <x:c r="A477" s="1" t="n">
        <x:v>461</x:v>
      </x:c>
      <x:c r="B477" s="16" t="n">
        <x:v>-0.17235378219402314</x:v>
      </x:c>
      <x:c r="C477" s="16" t="n">
        <x:f>$B$12+$D$12*B477</x:f>
        <x:v>-0.001786028806671276</x:v>
      </x:c>
      <x:c r="D477" s="12" t="n">
        <x:f>D476*EXP(C477)</x:f>
        <x:v>94.64101090904974</x:v>
      </x:c>
      <x:c r="E477" s="16" t="n">
        <x:f>ABS(C477)</x:f>
        <x:v>0.001786028806671276</x:v>
      </x:c>
      <x:c r="F477" s="16" t="n">
        <x:f>C477^2</x:f>
        <x:v>0.0000031898988982596226</x:v>
      </x:c>
      <x:c r="G477" s="1"/>
      <x:c r="H477" s="1"/>
      <x:c r="I477" s="1"/>
      <x:c r="J477" s="1"/>
      <x:c r="K477" s="1"/>
      <x:c r="L477" s="1"/>
      <x:c r="M477" s="1"/>
      <x:c r="N477" s="1"/>
    </x:row>
    <x:row r="478" ht="22" customHeight="1">
      <x:c r="A478" s="1" t="n">
        <x:v>462</x:v>
      </x:c>
      <x:c r="B478" s="16" t="n">
        <x:v>0.4429392840929448</x:v>
      </x:c>
      <x:c r="C478" s="16" t="n">
        <x:f>$B$12+$D$12*B478</x:f>
        <x:v>0.006348961203974388</x:v>
      </x:c>
      <x:c r="D478" s="12" t="n">
        <x:f>D477*EXP(C478)</x:f>
        <x:v>95.24379451566813</x:v>
      </x:c>
      <x:c r="E478" s="16" t="n">
        <x:f>ABS(C478)</x:f>
        <x:v>0.006348961203974388</x:v>
      </x:c>
      <x:c r="F478" s="16" t="n">
        <x:f>C478^2</x:f>
        <x:v>0.00004030930836957191</x:v>
      </x:c>
      <x:c r="G478" s="1"/>
      <x:c r="H478" s="1"/>
      <x:c r="I478" s="1"/>
      <x:c r="J478" s="1"/>
      <x:c r="K478" s="1"/>
      <x:c r="L478" s="1"/>
      <x:c r="M478" s="1"/>
      <x:c r="N478" s="1"/>
    </x:row>
    <x:row r="479" ht="22" customHeight="1">
      <x:c r="A479" s="1" t="n">
        <x:v>463</x:v>
      </x:c>
      <x:c r="B479" s="16" t="n">
        <x:v>1.383659533413529</x:v>
      </x:c>
      <x:c r="C479" s="16" t="n">
        <x:f>$B$12+$D$12*B479</x:f>
        <x:v>0.01878652998272911</x:v>
      </x:c>
      <x:c r="D479" s="12" t="n">
        <x:f>D478*EXP(C479)</x:f>
        <x:v>97.05000803674953</x:v>
      </x:c>
      <x:c r="E479" s="16" t="n">
        <x:f>ABS(C479)</x:f>
        <x:v>0.01878652998272911</x:v>
      </x:c>
      <x:c r="F479" s="16" t="n">
        <x:f>C479^2</x:f>
        <x:v>0.0003529337087919798</x:v>
      </x:c>
      <x:c r="G479" s="1"/>
      <x:c r="H479" s="1"/>
      <x:c r="I479" s="1"/>
      <x:c r="J479" s="1"/>
      <x:c r="K479" s="1"/>
      <x:c r="L479" s="1"/>
      <x:c r="M479" s="1"/>
      <x:c r="N479" s="1"/>
    </x:row>
    <x:row r="480" ht="22" customHeight="1">
      <x:c r="A480" s="1" t="n">
        <x:v>464</x:v>
      </x:c>
      <x:c r="B480" s="16" t="n">
        <x:v>-0.9453744321534309</x:v>
      </x:c>
      <x:c r="C480" s="16" t="n">
        <x:f>$B$12+$D$12*B480</x:f>
        <x:v>-0.012006386567877845</x:v>
      </x:c>
      <x:c r="D480" s="12" t="n">
        <x:f>D479*EXP(C480)</x:f>
        <x:v>95.89175525297576</x:v>
      </x:c>
      <x:c r="E480" s="16" t="n">
        <x:f>ABS(C480)</x:f>
        <x:v>0.012006386567877845</x:v>
      </x:c>
      <x:c r="F480" s="16" t="n">
        <x:f>C480^2</x:f>
        <x:v>0.00014415331841731752</x:v>
      </x:c>
      <x:c r="G480" s="1"/>
      <x:c r="H480" s="1"/>
      <x:c r="I480" s="1"/>
      <x:c r="J480" s="1"/>
      <x:c r="K480" s="1"/>
      <x:c r="L480" s="1"/>
      <x:c r="M480" s="1"/>
      <x:c r="N480" s="1"/>
    </x:row>
    <x:row r="481" ht="22" customHeight="1">
      <x:c r="A481" s="1" t="n">
        <x:v>465</x:v>
      </x:c>
      <x:c r="B481" s="16" t="n">
        <x:v>-1.2254487193738202</x:v>
      </x:c>
      <x:c r="C481" s="16" t="n">
        <x:f>$B$12+$D$12*B481</x:f>
        <x:v>-0.015709339930453106</x:v>
      </x:c>
      <x:c r="D481" s="12" t="n">
        <x:f>D480*EXP(C481)</x:f>
        <x:v>94.39712960166031</x:v>
      </x:c>
      <x:c r="E481" s="16" t="n">
        <x:f>ABS(C481)</x:f>
        <x:v>0.015709339930453106</x:v>
      </x:c>
      <x:c r="F481" s="16" t="n">
        <x:f>C481^2</x:f>
        <x:v>0.0002467833610505284</x:v>
      </x:c>
      <x:c r="G481" s="1"/>
      <x:c r="H481" s="1"/>
      <x:c r="I481" s="1"/>
      <x:c r="J481" s="1"/>
      <x:c r="K481" s="1"/>
      <x:c r="L481" s="1"/>
      <x:c r="M481" s="1"/>
      <x:c r="N481" s="1"/>
    </x:row>
    <x:row r="482" ht="22" customHeight="1">
      <x:c r="A482" s="1" t="n">
        <x:v>466</x:v>
      </x:c>
      <x:c r="B482" s="16" t="n">
        <x:v>0.7131135434486667</x:v>
      </x:c>
      <x:c r="C482" s="16" t="n">
        <x:f>$B$12+$D$12*B482</x:f>
        <x:v>0.009921023074028553</x:v>
      </x:c>
      <x:c r="D482" s="12" t="n">
        <x:f>D481*EXP(C482)</x:f>
        <x:v>95.33830670269491</x:v>
      </x:c>
      <x:c r="E482" s="16" t="n">
        <x:f>ABS(C482)</x:f>
        <x:v>0.009921023074028553</x:v>
      </x:c>
      <x:c r="F482" s="16" t="n">
        <x:f>C482^2</x:f>
        <x:v>0.00009842669883540696</x:v>
      </x:c>
      <x:c r="G482" s="1"/>
      <x:c r="H482" s="1"/>
      <x:c r="I482" s="1"/>
      <x:c r="J482" s="1"/>
      <x:c r="K482" s="1"/>
      <x:c r="L482" s="1"/>
      <x:c r="M482" s="1"/>
      <x:c r="N482" s="1"/>
    </x:row>
    <x:row r="483" ht="22" customHeight="1">
      <x:c r="A483" s="1" t="n">
        <x:v>467</x:v>
      </x:c>
      <x:c r="B483" s="16" t="n">
        <x:v>-1.3756377662114816</x:v>
      </x:c>
      <x:c r="C483" s="16" t="n">
        <x:f>$B$12+$D$12*B483</x:f>
        <x:v>-0.017695038230461153</x:v>
      </x:c>
      <x:c r="D483" s="12" t="n">
        <x:f>D482*EXP(C483)</x:f>
        <x:v>93.66612996804099</x:v>
      </x:c>
      <x:c r="E483" s="16" t="n">
        <x:f>ABS(C483)</x:f>
        <x:v>0.017695038230461153</x:v>
      </x:c>
      <x:c r="F483" s="16" t="n">
        <x:f>C483^2</x:f>
        <x:v>0.0003131143779774818</x:v>
      </x:c>
      <x:c r="G483" s="1"/>
      <x:c r="H483" s="1"/>
      <x:c r="I483" s="1"/>
      <x:c r="J483" s="1"/>
      <x:c r="K483" s="1"/>
      <x:c r="L483" s="1"/>
      <x:c r="M483" s="1"/>
      <x:c r="N483" s="1"/>
    </x:row>
    <x:row r="484" ht="22" customHeight="1">
      <x:c r="A484" s="1" t="n">
        <x:v>468</x:v>
      </x:c>
      <x:c r="B484" s="16" t="n">
        <x:v>0.22490786060698673</x:v>
      </x:c>
      <x:c r="C484" s="16" t="n">
        <x:f>$B$12+$D$12*B484</x:f>
        <x:v>0.0034662967482077256</x:v>
      </x:c>
      <x:c r="D484" s="12" t="n">
        <x:f>D483*EXP(C484)</x:f>
        <x:v>93.99136792976074</x:v>
      </x:c>
      <x:c r="E484" s="16" t="n">
        <x:f>ABS(C484)</x:f>
        <x:v>0.0034662967482077256</x:v>
      </x:c>
      <x:c r="F484" s="16" t="n">
        <x:f>C484^2</x:f>
        <x:v>0.000012015213146635452</x:v>
      </x:c>
      <x:c r="G484" s="1"/>
      <x:c r="H484" s="1"/>
      <x:c r="I484" s="1"/>
      <x:c r="J484" s="1"/>
      <x:c r="K484" s="1"/>
      <x:c r="L484" s="1"/>
      <x:c r="M484" s="1"/>
      <x:c r="N484" s="1"/>
    </x:row>
    <x:row r="485" ht="22" customHeight="1">
      <x:c r="A485" s="1" t="n">
        <x:v>469</x:v>
      </x:c>
      <x:c r="B485" s="16" t="n">
        <x:v>0.06174206848991267</x:v>
      </x:c>
      <x:c r="C485" s="16" t="n">
        <x:f>$B$12+$D$12*B485</x:f>
        <x:v>0.001309028672749814</x:v>
      </x:c>
      <x:c r="D485" s="12" t="n">
        <x:f>D484*EXP(C485)</x:f>
        <x:v>94.1144858902612</x:v>
      </x:c>
      <x:c r="E485" s="16" t="n">
        <x:f>ABS(C485)</x:f>
        <x:v>0.001309028672749814</x:v>
      </x:c>
      <x:c r="F485" s="16" t="n">
        <x:f>C485^2</x:f>
        <x:v>0.0000017135560660811397</x:v>
      </x:c>
      <x:c r="G485" s="1"/>
      <x:c r="H485" s="1"/>
      <x:c r="I485" s="1"/>
      <x:c r="J485" s="1"/>
      <x:c r="K485" s="1"/>
      <x:c r="L485" s="1"/>
      <x:c r="M485" s="1"/>
      <x:c r="N485" s="1"/>
    </x:row>
    <x:row r="486" ht="22" customHeight="1">
      <x:c r="A486" s="1" t="n">
        <x:v>470</x:v>
      </x:c>
      <x:c r="B486" s="16" t="n">
        <x:v>0.9482665064521081</x:v>
      </x:c>
      <x:c r="C486" s="16" t="n">
        <x:f>$B$12+$D$12*B486</x:f>
        <x:v>0.013030056979693488</x:v>
      </x:c>
      <x:c r="D486" s="12" t="n">
        <x:f>D485*EXP(C486)</x:f>
        <x:v>95.34882730946845</x:v>
      </x:c>
      <x:c r="E486" s="16" t="n">
        <x:f>ABS(C486)</x:f>
        <x:v>0.013030056979693488</x:v>
      </x:c>
      <x:c r="F486" s="16" t="n">
        <x:f>C486^2</x:f>
        <x:v>0.00016978238489405898</x:v>
      </x:c>
      <x:c r="G486" s="1"/>
      <x:c r="H486" s="1"/>
      <x:c r="I486" s="1"/>
      <x:c r="J486" s="1"/>
      <x:c r="K486" s="1"/>
      <x:c r="L486" s="1"/>
      <x:c r="M486" s="1"/>
      <x:c r="N486" s="1"/>
    </x:row>
    <x:row r="487" ht="22" customHeight="1">
      <x:c r="A487" s="1" t="n">
        <x:v>471</x:v>
      </x:c>
      <x:c r="B487" s="16" t="n">
        <x:v>-0.24298732095194964</x:v>
      </x:c>
      <x:c r="C487" s="16" t="n">
        <x:f>$B$12+$D$12*B487</x:f>
        <x:v>-0.0027198978256735068</x:v>
      </x:c>
      <x:c r="D487" s="12" t="n">
        <x:f>D486*EXP(C487)</x:f>
        <x:v>95.08984060973157</x:v>
      </x:c>
      <x:c r="E487" s="16" t="n">
        <x:f>ABS(C487)</x:f>
        <x:v>0.0027198978256735068</x:v>
      </x:c>
      <x:c r="F487" s="16" t="n">
        <x:f>C487^2</x:f>
        <x:v>0.000007397844182103469</x:v>
      </x:c>
      <x:c r="G487" s="1"/>
      <x:c r="H487" s="1"/>
      <x:c r="I487" s="1"/>
      <x:c r="J487" s="1"/>
      <x:c r="K487" s="1"/>
      <x:c r="L487" s="1"/>
      <x:c r="M487" s="1"/>
      <x:c r="N487" s="1"/>
    </x:row>
    <x:row r="488" ht="22" customHeight="1">
      <x:c r="A488" s="1" t="n">
        <x:v>472</x:v>
      </x:c>
      <x:c r="B488" s="16" t="n">
        <x:v>0.11456633812533941</x:v>
      </x:c>
      <x:c r="C488" s="16" t="n">
        <x:f>$B$12+$D$12*B488</x:f>
        <x:v>0.002007435544774322</x:v>
      </x:c>
      <x:c r="D488" s="12" t="n">
        <x:f>D487*EXP(C488)</x:f>
        <x:v>95.28091906038803</x:v>
      </x:c>
      <x:c r="E488" s="16" t="n">
        <x:f>ABS(C488)</x:f>
        <x:v>0.002007435544774322</x:v>
      </x:c>
      <x:c r="F488" s="16" t="n">
        <x:f>C488^2</x:f>
        <x:v>0.000004029797466423379</x:v>
      </x:c>
      <x:c r="G488" s="1"/>
      <x:c r="H488" s="1"/>
      <x:c r="I488" s="1"/>
      <x:c r="J488" s="1"/>
      <x:c r="K488" s="1"/>
      <x:c r="L488" s="1"/>
      <x:c r="M488" s="1"/>
      <x:c r="N488" s="1"/>
    </x:row>
    <x:row r="489" ht="22" customHeight="1">
      <x:c r="A489" s="1" t="n">
        <x:v>473</x:v>
      </x:c>
      <x:c r="B489" s="16" t="n">
        <x:v>-1.6696179686983468</x:v>
      </x:c>
      <x:c r="C489" s="16" t="n">
        <x:f>$B$12+$D$12*B489</x:f>
        <x:v>-0.02158184622748618</x:v>
      </x:c>
      <x:c r="D489" s="12" t="n">
        <x:f>D488*EXP(C489)</x:f>
        <x:v>93.2466119290125</x:v>
      </x:c>
      <x:c r="E489" s="16" t="n">
        <x:f>ABS(C489)</x:f>
        <x:v>0.02158184622748618</x:v>
      </x:c>
      <x:c r="F489" s="16" t="n">
        <x:f>C489^2</x:f>
        <x:v>0.0004657760865868595</x:v>
      </x:c>
      <x:c r="G489" s="1"/>
      <x:c r="H489" s="1"/>
      <x:c r="I489" s="1"/>
      <x:c r="J489" s="1"/>
      <x:c r="K489" s="1"/>
      <x:c r="L489" s="1"/>
      <x:c r="M489" s="1"/>
      <x:c r="N489" s="1"/>
    </x:row>
    <x:row r="490" ht="22" customHeight="1">
      <x:c r="A490" s="1" t="n">
        <x:v>474</x:v>
      </x:c>
      <x:c r="B490" s="16" t="n">
        <x:v>-0.30265916337003046</x:v>
      </x:c>
      <x:c r="C490" s="16" t="n">
        <x:f>$B$12+$D$12*B490</x:f>
        <x:v>-0.0035088386874928545</x:v>
      </x:c>
      <x:c r="D490" s="12" t="n">
        <x:f>D489*EXP(C490)</x:f>
        <x:v>92.9199979625635</x:v>
      </x:c>
      <x:c r="E490" s="16" t="n">
        <x:f>ABS(C490)</x:f>
        <x:v>0.0035088386874928545</x:v>
      </x:c>
      <x:c r="F490" s="16" t="n">
        <x:f>C490^2</x:f>
        <x:v>0.000012311948934846579</x:v>
      </x:c>
      <x:c r="G490" s="1"/>
      <x:c r="H490" s="1"/>
      <x:c r="I490" s="1"/>
      <x:c r="J490" s="1"/>
      <x:c r="K490" s="1"/>
      <x:c r="L490" s="1"/>
      <x:c r="M490" s="1"/>
      <x:c r="N490" s="1"/>
    </x:row>
    <x:row r="491" ht="22" customHeight="1">
      <x:c r="A491" s="1" t="n">
        <x:v>475</x:v>
      </x:c>
      <x:c r="B491" s="16" t="n">
        <x:v>0.10011825199201456</x:v>
      </x:c>
      <x:c r="C491" s="16" t="n">
        <x:f>$B$12+$D$12*B491</x:f>
        <x:v>0.0018164126927262408</x:v>
      </x:c>
      <x:c r="D491" s="12" t="n">
        <x:f>D490*EXP(C491)</x:f>
        <x:v>93.0889324071576</x:v>
      </x:c>
      <x:c r="E491" s="16" t="n">
        <x:f>ABS(C491)</x:f>
        <x:v>0.0018164126927262408</x:v>
      </x:c>
      <x:c r="F491" s="16" t="n">
        <x:f>C491^2</x:f>
        <x:v>0.000003299355070296993</x:v>
      </x:c>
      <x:c r="G491" s="1"/>
      <x:c r="H491" s="1"/>
      <x:c r="I491" s="1"/>
      <x:c r="J491" s="1"/>
      <x:c r="K491" s="1"/>
      <x:c r="L491" s="1"/>
      <x:c r="M491" s="1"/>
      <x:c r="N491" s="1"/>
    </x:row>
    <x:row r="492" ht="22" customHeight="1">
      <x:c r="A492" s="1" t="n">
        <x:v>476</x:v>
      </x:c>
      <x:c r="B492" s="16" t="n">
        <x:v>0.08568031654520353</x:v>
      </x:c>
      <x:c r="C492" s="16" t="n">
        <x:f>$B$12+$D$12*B492</x:f>
        <x:v>0.0016255240462103126</x:v>
      </x:c>
      <x:c r="D492" s="12" t="n">
        <x:f>D491*EXP(C492)</x:f>
        <x:v>93.24037375765342</x:v>
      </x:c>
      <x:c r="E492" s="16" t="n">
        <x:f>ABS(C492)</x:f>
        <x:v>0.0016255240462103126</x:v>
      </x:c>
      <x:c r="F492" s="16" t="n">
        <x:f>C492^2</x:f>
        <x:v>0.0000026423284248079465</x:v>
      </x:c>
      <x:c r="G492" s="1"/>
      <x:c r="H492" s="1"/>
      <x:c r="I492" s="1"/>
      <x:c r="J492" s="1"/>
      <x:c r="K492" s="1"/>
      <x:c r="L492" s="1"/>
      <x:c r="M492" s="1"/>
      <x:c r="N492" s="1"/>
    </x:row>
    <x:row r="493" ht="22" customHeight="1">
      <x:c r="A493" s="1" t="n">
        <x:v>477</x:v>
      </x:c>
      <x:c r="B493" s="16" t="n">
        <x:v>-0.01428242198425914</x:v>
      </x:c>
      <x:c r="C493" s="16" t="n">
        <x:f>$B$12+$D$12*B493</x:f>
        <x:v>0.00030388412544661103</x:v>
      </x:c>
      <x:c r="D493" s="12" t="n">
        <x:f>D492*EXP(C493)</x:f>
        <x:v>93.26871233269254</x:v>
      </x:c>
      <x:c r="E493" s="16" t="n">
        <x:f>ABS(C493)</x:f>
        <x:v>0.00030388412544661103</x:v>
      </x:c>
      <x:c r="F493" s="16" t="n">
        <x:f>C493^2</x:f>
        <x:v>9.234556169845164e-8</x:v>
      </x:c>
      <x:c r="G493" s="1"/>
      <x:c r="H493" s="1"/>
      <x:c r="I493" s="1"/>
      <x:c r="J493" s="1"/>
      <x:c r="K493" s="1"/>
      <x:c r="L493" s="1"/>
      <x:c r="M493" s="1"/>
      <x:c r="N493" s="1"/>
    </x:row>
    <x:row r="494" ht="22" customHeight="1">
      <x:c r="A494" s="1" t="n">
        <x:v>478</x:v>
      </x:c>
      <x:c r="B494" s="16" t="n">
        <x:v>1.0035463610045785</x:v>
      </x:c>
      <x:c r="C494" s="16" t="n">
        <x:f>$B$12+$D$12*B494</x:f>
        <x:v>0.013760929939611671</x:v>
      </x:c>
      <x:c r="D494" s="12" t="n">
        <x:f>D493*EXP(C494)</x:f>
        <x:v>94.56104802578939</x:v>
      </x:c>
      <x:c r="E494" s="16" t="n">
        <x:f>ABS(C494)</x:f>
        <x:v>0.013760929939611671</x:v>
      </x:c>
      <x:c r="F494" s="16" t="n">
        <x:f>C494^2</x:f>
        <x:v>0.00018936319280290088</x:v>
      </x:c>
      <x:c r="G494" s="1"/>
      <x:c r="H494" s="1"/>
      <x:c r="I494" s="1"/>
      <x:c r="J494" s="1"/>
      <x:c r="K494" s="1"/>
      <x:c r="L494" s="1"/>
      <x:c r="M494" s="1"/>
      <x:c r="N494" s="1"/>
    </x:row>
    <x:row r="495" ht="22" customHeight="1">
      <x:c r="A495" s="1" t="n">
        <x:v>479</x:v>
      </x:c>
      <x:c r="B495" s="16" t="n">
        <x:v>-2.186667515283087</x:v>
      </x:c>
      <x:c r="C495" s="16" t="n">
        <x:f>$B$12+$D$12*B495</x:f>
        <x:v>-0.02841792666937758</x:v>
      </x:c>
      <x:c r="D495" s="12" t="n">
        <x:f>D494*EXP(C495)</x:f>
        <x:v>91.91164269821553</x:v>
      </x:c>
      <x:c r="E495" s="16" t="n">
        <x:f>ABS(C495)</x:f>
        <x:v>0.02841792666937758</x:v>
      </x:c>
      <x:c r="F495" s="16" t="n">
        <x:f>C495^2</x:f>
        <x:v>0.0008075785561861216</x:v>
      </x:c>
      <x:c r="G495" s="1"/>
      <x:c r="H495" s="1"/>
      <x:c r="I495" s="1"/>
      <x:c r="J495" s="1"/>
      <x:c r="K495" s="1"/>
      <x:c r="L495" s="1"/>
      <x:c r="M495" s="1"/>
      <x:c r="N495" s="1"/>
    </x:row>
    <x:row r="496" ht="22" customHeight="1">
      <x:c r="A496" s="1" t="n">
        <x:v>480</x:v>
      </x:c>
      <x:c r="B496" s="16" t="n">
        <x:v>1.1224118478348317</x:v>
      </x:c>
      <x:c r="C496" s="16" t="n">
        <x:f>$B$12+$D$12*B496</x:f>
        <x:v>0.01533248925168046</x:v>
      </x:c>
      <x:c r="D496" s="12" t="n">
        <x:f>D495*EXP(C496)</x:f>
        <x:v>93.33173593399117</x:v>
      </x:c>
      <x:c r="E496" s="16" t="n">
        <x:f>ABS(C496)</x:f>
        <x:v>0.01533248925168046</x:v>
      </x:c>
      <x:c r="F496" s="16" t="n">
        <x:f>C496^2</x:f>
        <x:v>0.00023508522665289687</x:v>
      </x:c>
      <x:c r="G496" s="1"/>
      <x:c r="H496" s="1"/>
      <x:c r="I496" s="1"/>
      <x:c r="J496" s="1"/>
      <x:c r="K496" s="1"/>
      <x:c r="L496" s="1"/>
      <x:c r="M496" s="1"/>
      <x:c r="N496" s="1"/>
    </x:row>
    <x:row r="497" ht="22" customHeight="1">
      <x:c r="A497" s="1" t="n">
        <x:v>481</x:v>
      </x:c>
      <x:c r="B497" s="16" t="n">
        <x:v>1.1686025098824746</x:v>
      </x:c>
      <x:c r="C497" s="16" t="n">
        <x:f>$B$12+$D$12*B497</x:f>
        <x:v>0.01594319103743313</x:v>
      </x:c>
      <x:c r="D497" s="12" t="n">
        <x:f>D496*EXP(C497)</x:f>
        <x:v>94.8316666996455</x:v>
      </x:c>
      <x:c r="E497" s="16" t="n">
        <x:f>ABS(C497)</x:f>
        <x:v>0.01594319103743313</x:v>
      </x:c>
      <x:c r="F497" s="16" t="n">
        <x:f>C497^2</x:f>
        <x:v>0.00025418534045608805</x:v>
      </x:c>
      <x:c r="G497" s="1"/>
      <x:c r="H497" s="1"/>
      <x:c r="I497" s="1"/>
      <x:c r="J497" s="1"/>
      <x:c r="K497" s="1"/>
      <x:c r="L497" s="1"/>
      <x:c r="M497" s="1"/>
      <x:c r="N497" s="1"/>
    </x:row>
    <x:row r="498" ht="22" customHeight="1">
      <x:c r="A498" s="1" t="n">
        <x:v>482</x:v>
      </x:c>
      <x:c r="B498" s="16" t="n">
        <x:v>0.16740680757339535</x:v>
      </x:c>
      <x:c r="C498" s="16" t="n">
        <x:f>$B$12+$D$12*B498</x:f>
        <x:v>0.0027060565997973616</x:v>
      </x:c>
      <x:c r="D498" s="12" t="n">
        <x:f>D497*EXP(C498)</x:f>
        <x:v>95.08863408452294</x:v>
      </x:c>
      <x:c r="E498" s="16" t="n">
        <x:f>ABS(C498)</x:f>
        <x:v>0.0027060565997973616</x:v>
      </x:c>
      <x:c r="F498" s="16" t="n">
        <x:f>C498^2</x:f>
        <x:v>0.000007322742321306858</x:v>
      </x:c>
      <x:c r="G498" s="1"/>
      <x:c r="H498" s="1"/>
      <x:c r="I498" s="1"/>
      <x:c r="J498" s="1"/>
      <x:c r="K498" s="1"/>
      <x:c r="L498" s="1"/>
      <x:c r="M498" s="1"/>
      <x:c r="N498" s="1"/>
    </x:row>
    <x:row r="499" ht="22" customHeight="1">
      <x:c r="A499" s="1" t="n">
        <x:v>483</x:v>
      </x:c>
      <x:c r="B499" s="16" t="n">
        <x:v>0.8553996893728388</x:v>
      </x:c>
      <x:c r="C499" s="16" t="n">
        <x:f>$B$12+$D$12*B499</x:f>
        <x:v>0.011802234547337379</x:v>
      </x:c>
      <x:c r="D499" s="12" t="n">
        <x:f>D498*EXP(C499)</x:f>
        <x:v>96.21754115577674</x:v>
      </x:c>
      <x:c r="E499" s="16" t="n">
        <x:f>ABS(C499)</x:f>
        <x:v>0.011802234547337379</x:v>
      </x:c>
      <x:c r="F499" s="16" t="n">
        <x:f>C499^2</x:f>
        <x:v>0.00013929274031036394</x:v>
      </x:c>
      <x:c r="G499" s="1"/>
      <x:c r="H499" s="1"/>
      <x:c r="I499" s="1"/>
      <x:c r="J499" s="1"/>
      <x:c r="K499" s="1"/>
      <x:c r="L499" s="1"/>
      <x:c r="M499" s="1"/>
      <x:c r="N499" s="1"/>
    </x:row>
    <x:row r="500" ht="22" customHeight="1">
      <x:c r="A500" s="1" t="n">
        <x:v>484</x:v>
      </x:c>
      <x:c r="B500" s="16" t="n">
        <x:v>-1.163931867970169</x:v>
      </x:c>
      <x:c r="C500" s="16" t="n">
        <x:f>$B$12+$D$12*B500</x:f>
        <x:v>-0.014896005603975136</x:v>
      </x:c>
      <x:c r="D500" s="12" t="n">
        <x:f>D499*EXP(C500)</x:f>
        <x:v>94.7949062182453</x:v>
      </x:c>
      <x:c r="E500" s="16" t="n">
        <x:f>ABS(C500)</x:f>
        <x:v>0.014896005603975136</x:v>
      </x:c>
      <x:c r="F500" s="16" t="n">
        <x:f>C500^2</x:f>
        <x:v>0.00022189098295365866</x:v>
      </x:c>
      <x:c r="G500" s="1"/>
      <x:c r="H500" s="1"/>
      <x:c r="I500" s="1"/>
      <x:c r="J500" s="1"/>
      <x:c r="K500" s="1"/>
      <x:c r="L500" s="1"/>
      <x:c r="M500" s="1"/>
      <x:c r="N500" s="1"/>
    </x:row>
    <x:row r="501" ht="22" customHeight="1">
      <x:c r="A501" s="1" t="n">
        <x:v>485</x:v>
      </x:c>
      <x:c r="B501" s="16" t="n">
        <x:v>0.5667685902260635</x:v>
      </x:c>
      <x:c r="C501" s="16" t="n">
        <x:f>$B$12+$D$12*B501</x:f>
        <x:v>0.007986148787603495</x:v>
      </x:c>
      <x:c r="D501" s="12" t="n">
        <x:f>D500*EXP(C501)</x:f>
        <x:v>95.55498344882209</x:v>
      </x:c>
      <x:c r="E501" s="16" t="n">
        <x:f>ABS(C501)</x:f>
        <x:v>0.007986148787603495</x:v>
      </x:c>
      <x:c r="F501" s="16" t="n">
        <x:f>C501^2</x:f>
        <x:v>0.00006377857245774077</x:v>
      </x:c>
      <x:c r="G501" s="1"/>
      <x:c r="H501" s="1"/>
      <x:c r="I501" s="1"/>
      <x:c r="J501" s="1"/>
      <x:c r="K501" s="1"/>
      <x:c r="L501" s="1"/>
      <x:c r="M501" s="1"/>
      <x:c r="N501" s="1"/>
    </x:row>
    <x:row r="502" ht="22" customHeight="1">
      <x:c r="A502" s="1" t="n">
        <x:v>486</x:v>
      </x:c>
      <x:c r="B502" s="16" t="n">
        <x:v>0.3933945175370898</x:v>
      </x:c>
      <x:c r="C502" s="16" t="n">
        <x:f>$B$12+$D$12*B502</x:f>
        <x:v>0.005693913710194125</x:v>
      </x:c>
      <x:c r="D502" s="12" t="n">
        <x:f>D501*EXP(C502)</x:f>
        <x:v>96.10061720075973</x:v>
      </x:c>
      <x:c r="E502" s="16" t="n">
        <x:f>ABS(C502)</x:f>
        <x:v>0.005693913710194125</x:v>
      </x:c>
      <x:c r="F502" s="16" t="n">
        <x:f>C502^2</x:f>
        <x:v>0.00003242065333913663</x:v>
      </x:c>
      <x:c r="G502" s="1"/>
      <x:c r="H502" s="1"/>
      <x:c r="I502" s="1"/>
      <x:c r="J502" s="1"/>
      <x:c r="K502" s="1"/>
      <x:c r="L502" s="1"/>
      <x:c r="M502" s="1"/>
      <x:c r="N502" s="1"/>
    </x:row>
    <x:row r="503" ht="22" customHeight="1">
      <x:c r="A503" s="1" t="n">
        <x:v>487</x:v>
      </x:c>
      <x:c r="B503" s="16" t="n">
        <x:v>0.5683641974583745</x:v>
      </x:c>
      <x:c r="C503" s="16" t="n">
        <x:f>$B$12+$D$12*B503</x:f>
        <x:v>0.008007244830460102</x:v>
      </x:c>
      <x:c r="D503" s="12" t="n">
        <x:f>D502*EXP(C503)</x:f>
        <x:v>96.87320740255112</x:v>
      </x:c>
      <x:c r="E503" s="16" t="n">
        <x:f>ABS(C503)</x:f>
        <x:v>0.008007244830460102</x:v>
      </x:c>
      <x:c r="F503" s="16" t="n">
        <x:f>C503^2</x:f>
        <x:v>0.00006411596977493003</x:v>
      </x:c>
      <x:c r="G503" s="1"/>
      <x:c r="H503" s="1"/>
      <x:c r="I503" s="1"/>
      <x:c r="J503" s="1"/>
      <x:c r="K503" s="1"/>
      <x:c r="L503" s="1"/>
      <x:c r="M503" s="1"/>
      <x:c r="N503" s="1"/>
    </x:row>
    <x:row r="504" ht="22" customHeight="1">
      <x:c r="A504" s="1" t="n">
        <x:v>488</x:v>
      </x:c>
      <x:c r="B504" s="16" t="n">
        <x:v>0.43382959949164546</x:v>
      </x:c>
      <x:c r="C504" s="16" t="n">
        <x:f>$B$12+$D$12*B504</x:f>
        <x:v>0.0062285190971277955</x:v>
      </x:c>
      <x:c r="D504" s="12" t="n">
        <x:f>D503*EXP(C504)</x:f>
        <x:v>97.47846700362508</x:v>
      </x:c>
      <x:c r="E504" s="16" t="n">
        <x:f>ABS(C504)</x:f>
        <x:v>0.0062285190971277955</x:v>
      </x:c>
      <x:c r="F504" s="16" t="n">
        <x:f>C504^2</x:f>
        <x:v>0.00003879445014328565</x:v>
      </x:c>
      <x:c r="G504" s="1"/>
      <x:c r="H504" s="1"/>
      <x:c r="I504" s="1"/>
      <x:c r="J504" s="1"/>
      <x:c r="K504" s="1"/>
      <x:c r="L504" s="1"/>
      <x:c r="M504" s="1"/>
      <x:c r="N504" s="1"/>
    </x:row>
    <x:row r="505" ht="22" customHeight="1">
      <x:c r="A505" s="1" t="n">
        <x:v>489</x:v>
      </x:c>
      <x:c r="B505" s="16" t="n">
        <x:v>0.677424258231258</x:v>
      </x:c>
      <x:c r="C505" s="16" t="n">
        <x:f>$B$12+$D$12*B505</x:f>
        <x:v>0.00944916341131086</x:v>
      </x:c>
      <x:c r="D505" s="12" t="n">
        <x:f>D504*EXP(C505)</x:f>
        <x:v>98.40392247150504</x:v>
      </x:c>
      <x:c r="E505" s="16" t="n">
        <x:f>ABS(C505)</x:f>
        <x:v>0.00944916341131086</x:v>
      </x:c>
      <x:c r="F505" s="16" t="n">
        <x:f>C505^2</x:f>
        <x:v>0.0000892866891736559</x:v>
      </x:c>
      <x:c r="G505" s="1"/>
      <x:c r="H505" s="1"/>
      <x:c r="I505" s="1"/>
      <x:c r="J505" s="1"/>
      <x:c r="K505" s="1"/>
      <x:c r="L505" s="1"/>
      <x:c r="M505" s="1"/>
      <x:c r="N505" s="1"/>
    </x:row>
    <x:row r="506" ht="22" customHeight="1">
      <x:c r="A506" s="1" t="n">
        <x:v>490</x:v>
      </x:c>
      <x:c r="B506" s="16" t="n">
        <x:v>0.65022419103366</x:v>
      </x:c>
      <x:c r="C506" s="16" t="n">
        <x:f>$B$12+$D$12*B506</x:f>
        <x:v>0.009089542464699785</x:v>
      </x:c>
      <x:c r="D506" s="12" t="n">
        <x:f>D505*EXP(C506)</x:f>
        <x:v>99.30244650336124</x:v>
      </x:c>
      <x:c r="E506" s="16" t="n">
        <x:f>ABS(C506)</x:f>
        <x:v>0.009089542464699785</x:v>
      </x:c>
      <x:c r="F506" s="16" t="n">
        <x:f>C506^2</x:f>
        <x:v>0.00008261978221758064</x:v>
      </x:c>
      <x:c r="G506" s="1"/>
      <x:c r="H506" s="1"/>
      <x:c r="I506" s="1"/>
      <x:c r="J506" s="1"/>
      <x:c r="K506" s="1"/>
      <x:c r="L506" s="1"/>
      <x:c r="M506" s="1"/>
      <x:c r="N506" s="1"/>
    </x:row>
    <x:row r="507" ht="22" customHeight="1">
      <x:c r="A507" s="1" t="n">
        <x:v>491</x:v>
      </x:c>
      <x:c r="B507" s="16" t="n">
        <x:v>0.7669280569236062</x:v>
      </x:c>
      <x:c r="C507" s="16" t="n">
        <x:f>$B$12+$D$12*B507</x:f>
        <x:v>0.010632522282345996</x:v>
      </x:c>
      <x:c r="D507" s="12" t="n">
        <x:f>D506*EXP(C507)</x:f>
        <x:v>100.36391502239395</x:v>
      </x:c>
      <x:c r="E507" s="16" t="n">
        <x:f>ABS(C507)</x:f>
        <x:v>0.010632522282345996</x:v>
      </x:c>
      <x:c r="F507" s="16" t="n">
        <x:f>C507^2</x:f>
        <x:v>0.00011305053008458411</x:v>
      </x:c>
      <x:c r="G507" s="1"/>
      <x:c r="H507" s="1"/>
      <x:c r="I507" s="1"/>
      <x:c r="J507" s="1"/>
      <x:c r="K507" s="1"/>
      <x:c r="L507" s="1"/>
      <x:c r="M507" s="1"/>
      <x:c r="N507" s="1"/>
    </x:row>
    <x:row r="508" ht="22" customHeight="1">
      <x:c r="A508" s="1" t="n">
        <x:v>492</x:v>
      </x:c>
      <x:c r="B508" s="16" t="n">
        <x:v>-0.47008742393428965</x:v>
      </x:c>
      <x:c r="C508" s="16" t="n">
        <x:f>$B$12+$D$12*B508</x:f>
        <x:v>-0.005722462246440598</x:v>
      </x:c>
      <x:c r="D508" s="12" t="n">
        <x:f>D507*EXP(C508)</x:f>
        <x:v>99.79122646489613</x:v>
      </x:c>
      <x:c r="E508" s="16" t="n">
        <x:f>ABS(C508)</x:f>
        <x:v>0.005722462246440598</x:v>
      </x:c>
      <x:c r="F508" s="16" t="n">
        <x:f>C508^2</x:f>
        <x:v>0.00003274657416193798</x:v>
      </x:c>
      <x:c r="G508" s="1"/>
      <x:c r="H508" s="1"/>
      <x:c r="I508" s="1"/>
      <x:c r="J508" s="1"/>
      <x:c r="K508" s="1"/>
      <x:c r="L508" s="1"/>
      <x:c r="M508" s="1"/>
      <x:c r="N508" s="1"/>
    </x:row>
    <x:row r="509" ht="22" customHeight="1">
      <x:c r="A509" s="1" t="n">
        <x:v>493</x:v>
      </x:c>
      <x:c r="B509" s="16" t="n">
        <x:v>-0.070111606825119</x:v>
      </x:c>
      <x:c r="C509" s="16" t="n">
        <x:f>$B$12+$D$12*B509</x:f>
        <x:v>-0.00043425170911366967</x:v>
      </x:c>
      <x:c r="D509" s="12" t="n">
        <x:f>D508*EXP(C509)</x:f>
        <x:v>99.74790136193003</x:v>
      </x:c>
      <x:c r="E509" s="16" t="n">
        <x:f>ABS(C509)</x:f>
        <x:v>0.00043425170911366967</x:v>
      </x:c>
      <x:c r="F509" s="16" t="n">
        <x:f>C509^2</x:f>
        <x:v>1.8857454686814318e-7</x:v>
      </x:c>
      <x:c r="G509" s="1"/>
      <x:c r="H509" s="1"/>
      <x:c r="I509" s="1"/>
      <x:c r="J509" s="1"/>
      <x:c r="K509" s="1"/>
      <x:c r="L509" s="1"/>
      <x:c r="M509" s="1"/>
      <x:c r="N509" s="1"/>
    </x:row>
    <x:row r="510" ht="22" customHeight="1">
      <x:c r="A510" s="1" t="n">
        <x:v>494</x:v>
      </x:c>
      <x:c r="B510" s="16" t="n">
        <x:v>-0.23408219301809796</x:v>
      </x:c>
      <x:c r="C510" s="16" t="n">
        <x:f>$B$12+$D$12*B510</x:f>
        <x:v>-0.0026021602291448013</x:v>
      </x:c>
      <x:c r="D510" s="12" t="n">
        <x:f>D509*EXP(C510)</x:f>
        <x:v>99.48867875571503</x:v>
      </x:c>
      <x:c r="E510" s="16" t="n">
        <x:f>ABS(C510)</x:f>
        <x:v>0.0026021602291448013</x:v>
      </x:c>
      <x:c r="F510" s="16" t="n">
        <x:f>C510^2</x:f>
        <x:v>0.0000067712378581429245</x:v>
      </x:c>
      <x:c r="G510" s="1"/>
      <x:c r="H510" s="1"/>
      <x:c r="I510" s="1"/>
      <x:c r="J510" s="1"/>
      <x:c r="K510" s="1"/>
      <x:c r="L510" s="1"/>
      <x:c r="M510" s="1"/>
      <x:c r="N510" s="1"/>
    </x:row>
    <x:row r="511" ht="22" customHeight="1">
      <x:c r="A511" s="1" t="n">
        <x:v>495</x:v>
      </x:c>
      <x:c r="B511" s="16" t="n">
        <x:v>0.1559346836851567</x:v>
      </x:c>
      <x:c r="C511" s="16" t="n">
        <x:f>$B$12+$D$12*B511</x:f>
        <x:v>0.0025543799137672536</x:v>
      </x:c>
      <x:c r="D511" s="12" t="n">
        <x:f>D510*EXP(C511)</x:f>
        <x:v>99.74313548960305</x:v>
      </x:c>
      <x:c r="E511" s="16" t="n">
        <x:f>ABS(C511)</x:f>
        <x:v>0.0025543799137672536</x:v>
      </x:c>
      <x:c r="F511" s="16" t="n">
        <x:f>C511^2</x:f>
        <x:v>0.000006524856743857602</x:v>
      </x:c>
      <x:c r="G511" s="1"/>
      <x:c r="H511" s="1"/>
      <x:c r="I511" s="1"/>
      <x:c r="J511" s="1"/>
      <x:c r="K511" s="1"/>
      <x:c r="L511" s="1"/>
      <x:c r="M511" s="1"/>
      <x:c r="N511" s="1"/>
    </x:row>
    <x:row r="512" ht="22" customHeight="1">
      <x:c r="A512" s="1" t="n">
        <x:v>496</x:v>
      </x:c>
      <x:c r="B512" s="16" t="n">
        <x:v>0.7238833891276137</x:v>
      </x:c>
      <x:c r="C512" s="16" t="n">
        <x:f>$B$12+$D$12*B512</x:f>
        <x:v>0.010063414711144072</x:v>
      </x:c>
      <x:c r="D512" s="12" t="n">
        <x:f>D511*EXP(C512)</x:f>
        <x:v>100.75195962060994</x:v>
      </x:c>
      <x:c r="E512" s="16" t="n">
        <x:f>ABS(C512)</x:f>
        <x:v>0.010063414711144072</x:v>
      </x:c>
      <x:c r="F512" s="16" t="n">
        <x:f>C512^2</x:f>
        <x:v>0.00010127231564847093</x:v>
      </x:c>
      <x:c r="G512" s="1"/>
      <x:c r="H512" s="1"/>
      <x:c r="I512" s="1"/>
      <x:c r="J512" s="1"/>
      <x:c r="K512" s="1"/>
      <x:c r="L512" s="1"/>
      <x:c r="M512" s="1"/>
      <x:c r="N512" s="1"/>
    </x:row>
    <x:row r="513" ht="22" customHeight="1">
      <x:c r="A513" s="1" t="n">
        <x:v>497</x:v>
      </x:c>
      <x:c r="B513" s="16" t="n">
        <x:v>0.3866779881902797</x:v>
      </x:c>
      <x:c r="C513" s="16" t="n">
        <x:f>$B$12+$D$12*B513</x:f>
        <x:v>0.005605112288341233</x:v>
      </x:c>
      <x:c r="D513" s="12" t="n">
        <x:f>D512*EXP(C513)</x:f>
        <x:v>101.3182713051812</x:v>
      </x:c>
      <x:c r="E513" s="16" t="n">
        <x:f>ABS(C513)</x:f>
        <x:v>0.005605112288341233</x:v>
      </x:c>
      <x:c r="F513" s="16" t="n">
        <x:f>C513^2</x:f>
        <x:v>0.00003141728376491389</x:v>
      </x:c>
      <x:c r="G513" s="1"/>
      <x:c r="H513" s="1"/>
      <x:c r="I513" s="1"/>
      <x:c r="J513" s="1"/>
      <x:c r="K513" s="1"/>
      <x:c r="L513" s="1"/>
      <x:c r="M513" s="1"/>
      <x:c r="N513" s="1"/>
    </x:row>
    <x:row r="514" ht="22" customHeight="1">
      <x:c r="A514" s="1" t="n">
        <x:v>498</x:v>
      </x:c>
      <x:c r="B514" s="16" t="n">
        <x:v>-0.3232721169507448</x:v>
      </x:c>
      <x:c r="C514" s="16" t="n">
        <x:f>$B$12+$D$12*B514</x:f>
        <x:v>-0.0037813692597629582</x:v>
      </x:c>
      <x:c r="D514" s="12" t="n">
        <x:f>D513*EXP(C514)</x:f>
        <x:v>100.93587295894272</x:v>
      </x:c>
      <x:c r="E514" s="16" t="n">
        <x:f>ABS(C514)</x:f>
        <x:v>0.0037813692597629582</x:v>
      </x:c>
      <x:c r="F514" s="16" t="n">
        <x:f>C514^2</x:f>
        <x:v>0.000014298753478680263</x:v>
      </x:c>
      <x:c r="G514" s="1"/>
      <x:c r="H514" s="1"/>
      <x:c r="I514" s="1"/>
      <x:c r="J514" s="1"/>
      <x:c r="K514" s="1"/>
      <x:c r="L514" s="1"/>
      <x:c r="M514" s="1"/>
      <x:c r="N514" s="1"/>
    </x:row>
    <x:row r="515" ht="22" customHeight="1">
      <x:c r="A515" s="1" t="n">
        <x:v>499</x:v>
      </x:c>
      <x:c r="B515" s="16" t="n">
        <x:v>-0.6364717156511666</x:v>
      </x:c>
      <x:c r="C515" s="16" t="n">
        <x:f>$B$12+$D$12*B515</x:f>
        <x:v>-0.007922283153269849</x:v>
      </x:c>
      <x:c r="D515" s="12" t="n">
        <x:f>D514*EXP(C515)</x:f>
        <x:v>100.13938954239043</x:v>
      </x:c>
      <x:c r="E515" s="16" t="n">
        <x:f>ABS(C515)</x:f>
        <x:v>0.007922283153269849</x:v>
      </x:c>
      <x:c r="F515" s="16" t="n">
        <x:f>C515^2</x:f>
        <x:v>0.00006276257036058326</x:v>
      </x:c>
      <x:c r="G515" s="1"/>
      <x:c r="H515" s="1"/>
      <x:c r="I515" s="1"/>
      <x:c r="J515" s="1"/>
      <x:c r="K515" s="1"/>
      <x:c r="L515" s="1"/>
      <x:c r="M515" s="1"/>
      <x:c r="N515" s="1"/>
    </x:row>
    <x:row r="516" ht="22" customHeight="1">
      <x:c r="A516" s="1" t="n">
        <x:v>500</x:v>
      </x:c>
      <x:c r="B516" s="16" t="n">
        <x:v>-0.8082782709723892</x:v>
      </x:c>
      <x:c r="C516" s="16" t="n">
        <x:f>$B$12+$D$12*B516</x:f>
        <x:v>-0.010193793573069928</x:v>
      </x:c>
      <x:c r="D516" s="12" t="n">
        <x:f>D515*EXP(C516)</x:f>
        <x:v>99.12377455627544</x:v>
      </x:c>
      <x:c r="E516" s="16" t="n">
        <x:f>ABS(C516)</x:f>
        <x:v>0.010193793573069928</x:v>
      </x:c>
      <x:c r="F516" s="16" t="n">
        <x:f>C516^2</x:f>
        <x:v>0.00010391342741036176</x:v>
      </x:c>
      <x:c r="G516" s="1"/>
      <x:c r="H516" s="1"/>
      <x:c r="I516" s="1"/>
      <x:c r="J516" s="1"/>
      <x:c r="K516" s="1"/>
      <x:c r="L516" s="1"/>
      <x:c r="M516" s="1"/>
      <x:c r="N516" s="1"/>
    </x:row>
    <x:row r="517" ht="22" customHeight="1">
      <x:c r="A517" s="1" t="n">
        <x:v>501</x:v>
      </x:c>
      <x:c r="B517" s="16" t="n">
        <x:v>-1.6816731997630614</x:v>
      </x:c>
      <x:c r="C517" s="16" t="n">
        <x:f>$B$12+$D$12*B517</x:f>
        <x:v>-0.02174123236339583</x:v>
      </x:c>
      <x:c r="D517" s="12" t="n">
        <x:f>D516*EXP(C517)</x:f>
        <x:v>96.99195965421919</x:v>
      </x:c>
      <x:c r="E517" s="16" t="n">
        <x:f>ABS(C517)</x:f>
        <x:v>0.02174123236339583</x:v>
      </x:c>
      <x:c r="F517" s="16" t="n">
        <x:f>C517^2</x:f>
        <x:v>0.00047268118467917025</x:v>
      </x:c>
      <x:c r="G517" s="1"/>
      <x:c r="H517" s="1"/>
      <x:c r="I517" s="1"/>
      <x:c r="J517" s="1"/>
      <x:c r="K517" s="1"/>
      <x:c r="L517" s="1"/>
      <x:c r="M517" s="1"/>
      <x:c r="N517" s="1"/>
    </x:row>
    <x:row r="518" ht="22" customHeight="1">
      <x:c r="A518" s="1" t="n">
        <x:v>502</x:v>
      </x:c>
      <x:c r="B518" s="16" t="n">
        <x:v>2.1646403069514535</x:v>
      </x:c>
      <x:c r="C518" s="16" t="n">
        <x:f>$B$12+$D$12*B518</x:f>
        <x:v>0.029112131130124813</x:v>
      </x:c>
      <x:c r="D518" s="12" t="n">
        <x:f>D517*EXP(C518)</x:f>
        <x:v>99.85710519670182</x:v>
      </x:c>
      <x:c r="E518" s="16" t="n">
        <x:f>ABS(C518)</x:f>
        <x:v>0.029112131130124813</x:v>
      </x:c>
      <x:c r="F518" s="16" t="n">
        <x:f>C518^2</x:f>
        <x:v>0.0008475161789375822</x:v>
      </x:c>
      <x:c r="G518" s="1"/>
      <x:c r="H518" s="1"/>
      <x:c r="I518" s="1"/>
      <x:c r="J518" s="1"/>
      <x:c r="K518" s="1"/>
      <x:c r="L518" s="1"/>
      <x:c r="M518" s="1"/>
      <x:c r="N518" s="1"/>
    </x:row>
    <x:row r="519" ht="22" customHeight="1">
      <x:c r="A519" s="1" t="n">
        <x:v>503</x:v>
      </x:c>
      <x:c r="B519" s="16" t="n">
        <x:v>0.43656673713420596</x:v>
      </x:c>
      <x:c r="C519" s="16" t="n">
        <x:f>$B$12+$D$12*B519</x:f>
        <x:v>0.006264707685298244</x:v>
      </x:c>
      <x:c r="D519" s="12" t="n">
        <x:f>D518*EXP(C519)</x:f>
        <x:v>100.48464439347866</x:v>
      </x:c>
      <x:c r="E519" s="16" t="n">
        <x:f>ABS(C519)</x:f>
        <x:v>0.006264707685298244</x:v>
      </x:c>
      <x:c r="F519" s="16" t="n">
        <x:f>C519^2</x:f>
        <x:v>0.00003924656238223488</x:v>
      </x:c>
      <x:c r="G519" s="1"/>
      <x:c r="H519" s="1"/>
      <x:c r="I519" s="1"/>
      <x:c r="J519" s="1"/>
      <x:c r="K519" s="1"/>
      <x:c r="L519" s="1"/>
      <x:c r="M519" s="1"/>
      <x:c r="N519" s="1"/>
    </x:row>
    <x:row r="520" ht="22" customHeight="1">
      <x:c r="A520" s="1" t="n">
        <x:v>504</x:v>
      </x:c>
      <x:c r="B520" s="16" t="n">
        <x:v>-0.6598564235100856</x:v>
      </x:c>
      <x:c r="C520" s="16" t="n">
        <x:f>$B$12+$D$12*B520</x:f>
        <x:v>-0.008231459991523783</x:v>
      </x:c>
      <x:c r="D520" s="12" t="n">
        <x:f>D519*EXP(C520)</x:f>
        <x:v>99.66090400757786</x:v>
      </x:c>
      <x:c r="E520" s="16" t="n">
        <x:f>ABS(C520)</x:f>
        <x:v>0.008231459991523783</x:v>
      </x:c>
      <x:c r="F520" s="16" t="n">
        <x:f>C520^2</x:f>
        <x:v>0.00006775693359205672</x:v>
      </x:c>
      <x:c r="G520" s="1"/>
      <x:c r="H520" s="1"/>
      <x:c r="I520" s="1"/>
      <x:c r="J520" s="1"/>
      <x:c r="K520" s="1"/>
      <x:c r="L520" s="1"/>
      <x:c r="M520" s="1"/>
      <x:c r="N520" s="1"/>
    </x:row>
    <x:row r="521" ht="22" customHeight="1">
      <x:c r="A521" s="1" t="n">
        <x:v>505</x:v>
      </x:c>
      <x:c r="B521" s="16" t="n">
        <x:v>0.1484688833866775</x:v>
      </x:c>
      <x:c r="C521" s="16" t="n">
        <x:f>$B$12+$D$12*B521</x:f>
        <x:v>0.0024556721366487677</x:v>
      </x:c>
      <x:c r="D521" s="12" t="n">
        <x:f>D520*EXP(C521)</x:f>
        <x:v>99.90593925263755</x:v>
      </x:c>
      <x:c r="E521" s="16" t="n">
        <x:f>ABS(C521)</x:f>
        <x:v>0.0024556721366487677</x:v>
      </x:c>
      <x:c r="F521" s="16" t="n">
        <x:f>C521^2</x:f>
        <x:v>0.000006030325642713124</x:v>
      </x:c>
      <x:c r="G521" s="1"/>
      <x:c r="H521" s="1"/>
      <x:c r="I521" s="1"/>
      <x:c r="J521" s="1"/>
      <x:c r="K521" s="1"/>
      <x:c r="L521" s="1"/>
      <x:c r="M521" s="1"/>
      <x:c r="N521" s="1"/>
    </x:row>
    <x:row r="522" ht="22" customHeight="1">
      <x:c r="A522" s="1" t="n">
        <x:v>506</x:v>
      </x:c>
      <x:c r="B522" s="16" t="n">
        <x:v>0.7644116287986129</x:v>
      </x:c>
      <x:c r="C522" s="16" t="n">
        <x:f>$B$12+$D$12*B522</x:f>
        <x:v>0.01059925176658533</x:v>
      </x:c>
      <x:c r="D522" s="12" t="n">
        <x:f>D521*EXP(C522)</x:f>
        <x:v>100.97049925911372</x:v>
      </x:c>
      <x:c r="E522" s="16" t="n">
        <x:f>ABS(C522)</x:f>
        <x:v>0.01059925176658533</x:v>
      </x:c>
      <x:c r="F522" s="16" t="n">
        <x:f>C522^2</x:f>
        <x:v>0.00011234413801146225</x:v>
      </x:c>
      <x:c r="G522" s="1"/>
      <x:c r="H522" s="1"/>
      <x:c r="I522" s="1"/>
      <x:c r="J522" s="1"/>
      <x:c r="K522" s="1"/>
      <x:c r="L522" s="1"/>
      <x:c r="M522" s="1"/>
      <x:c r="N522" s="1"/>
    </x:row>
    <x:row r="523" ht="22" customHeight="1">
      <x:c r="A523" s="1" t="n">
        <x:v>507</x:v>
      </x:c>
      <x:c r="B523" s="16" t="n">
        <x:v>-0.20284826029632236</x:v>
      </x:c>
      <x:c r="C523" s="16" t="n">
        <x:f>$B$12+$D$12*B523</x:f>
        <x:v>-0.0021892062327376347</x:v>
      </x:c>
      <x:c r="D523" s="12" t="n">
        <x:f>D522*EXP(C523)</x:f>
        <x:v>100.74969579316063</x:v>
      </x:c>
      <x:c r="E523" s="16" t="n">
        <x:f>ABS(C523)</x:f>
        <x:v>0.0021892062327376347</x:v>
      </x:c>
      <x:c r="F523" s="16" t="n">
        <x:f>C523^2</x:f>
        <x:v>0.000004792623929457307</x:v>
      </x:c>
      <x:c r="G523" s="1"/>
      <x:c r="H523" s="1"/>
      <x:c r="I523" s="1"/>
      <x:c r="J523" s="1"/>
      <x:c r="K523" s="1"/>
      <x:c r="L523" s="1"/>
      <x:c r="M523" s="1"/>
      <x:c r="N523" s="1"/>
    </x:row>
    <x:row r="524" ht="22" customHeight="1">
      <x:c r="A524" s="1" t="n">
        <x:v>508</x:v>
      </x:c>
      <x:c r="B524" s="16" t="n">
        <x:v>1.9546218831158757</x:v>
      </x:c>
      <x:c r="C524" s="16" t="n">
        <x:f>$B$12+$D$12*B524</x:f>
        <x:v>0.026335409152313444</x:v>
      </x:c>
      <x:c r="D524" s="12" t="n">
        <x:f>D523*EXP(C524)</x:f>
        <x:v>103.4382266489668</x:v>
      </x:c>
      <x:c r="E524" s="16" t="n">
        <x:f>ABS(C524)</x:f>
        <x:v>0.026335409152313444</x:v>
      </x:c>
      <x:c r="F524" s="16" t="n">
        <x:f>C524^2</x:f>
        <x:v>0.0006935537752197547</x:v>
      </x:c>
      <x:c r="G524" s="1"/>
      <x:c r="H524" s="1"/>
      <x:c r="I524" s="1"/>
      <x:c r="J524" s="1"/>
      <x:c r="K524" s="1"/>
      <x:c r="L524" s="1"/>
      <x:c r="M524" s="1"/>
      <x:c r="N524" s="1"/>
    </x:row>
    <x:row r="525" ht="22" customHeight="1">
      <x:c r="A525" s="1" t="n">
        <x:v>509</x:v>
      </x:c>
      <x:c r="B525" s="16" t="n">
        <x:v>-0.14253299873288214</x:v>
      </x:c>
      <x:c r="C525" s="16" t="n">
        <x:f>$B$12+$D$12*B525</x:f>
        <x:v>-0.0013917585168564603</x:v>
      </x:c>
      <x:c r="D525" s="12" t="n">
        <x:f>D524*EXP(C525)</x:f>
        <x:v>103.29436574909734</x:v>
      </x:c>
      <x:c r="E525" s="16" t="n">
        <x:f>ABS(C525)</x:f>
        <x:v>0.0013917585168564603</x:v>
      </x:c>
      <x:c r="F525" s="16" t="n">
        <x:f>C525^2</x:f>
        <x:v>0.000001936991769242494</x:v>
      </x:c>
      <x:c r="G525" s="1"/>
      <x:c r="H525" s="1"/>
      <x:c r="I525" s="1"/>
      <x:c r="J525" s="1"/>
      <x:c r="K525" s="1"/>
      <x:c r="L525" s="1"/>
      <x:c r="M525" s="1"/>
      <x:c r="N525" s="1"/>
    </x:row>
    <x:row r="526" ht="22" customHeight="1">
      <x:c r="A526" s="1" t="n">
        <x:v>510</x:v>
      </x:c>
      <x:c r="B526" s="16" t="n">
        <x:v>1.3606563739993789</x:v>
      </x:c>
      <x:c r="C526" s="16" t="n">
        <x:f>$B$12+$D$12*B526</x:f>
        <x:v>0.018482397720721584</x:v>
      </x:c>
      <x:c r="D526" s="12" t="n">
        <x:f>D525*EXP(C526)</x:f>
        <x:v>105.22124512329464</x:v>
      </x:c>
      <x:c r="E526" s="16" t="n">
        <x:f>ABS(C526)</x:f>
        <x:v>0.018482397720721584</x:v>
      </x:c>
      <x:c r="F526" s="16" t="n">
        <x:f>C526^2</x:f>
        <x:v>0.0003415990255069344</x:v>
      </x:c>
      <x:c r="G526" s="1"/>
      <x:c r="H526" s="1"/>
      <x:c r="I526" s="1"/>
      <x:c r="J526" s="1"/>
      <x:c r="K526" s="1"/>
      <x:c r="L526" s="1"/>
      <x:c r="M526" s="1"/>
      <x:c r="N526" s="1"/>
    </x:row>
    <x:row r="527" ht="22" customHeight="1">
      <x:c r="A527" s="1" t="n">
        <x:v>511</x:v>
      </x:c>
      <x:c r="B527" s="16" t="n">
        <x:v>-0.07337750635989808</x:v>
      </x:c>
      <x:c r="C527" s="16" t="n">
        <x:f>$B$12+$D$12*B527</x:f>
        <x:v>-0.0004774312304619715</x:v>
      </x:c>
      <x:c r="D527" s="12" t="n">
        <x:f>D526*EXP(C527)</x:f>
        <x:v>105.17102120495225</x:v>
      </x:c>
      <x:c r="E527" s="16" t="n">
        <x:f>ABS(C527)</x:f>
        <x:v>0.0004774312304619715</x:v>
      </x:c>
      <x:c r="F527" s="16" t="n">
        <x:f>C527^2</x:f>
        <x:v>2.2794057982043214e-7</x:v>
      </x:c>
      <x:c r="G527" s="1"/>
      <x:c r="H527" s="1"/>
      <x:c r="I527" s="1"/>
      <x:c r="J527" s="1"/>
      <x:c r="K527" s="1"/>
      <x:c r="L527" s="1"/>
      <x:c r="M527" s="1"/>
      <x:c r="N527" s="1"/>
    </x:row>
    <x:row r="528" ht="22" customHeight="1">
      <x:c r="A528" s="1" t="n">
        <x:v>512</x:v>
      </x:c>
      <x:c r="B528" s="16" t="n">
        <x:v>0.5984346500271905</x:v>
      </x:c>
      <x:c r="C528" s="16" t="n">
        <x:f>$B$12+$D$12*B528</x:f>
        <x:v>0.00840481607685673</x:v>
      </x:c>
      <x:c r="D528" s="12" t="n">
        <x:f>D527*EXP(C528)</x:f>
        <x:v>106.05868941333974</x:v>
      </x:c>
      <x:c r="E528" s="16" t="n">
        <x:f>ABS(C528)</x:f>
        <x:v>0.00840481607685673</x:v>
      </x:c>
      <x:c r="F528" s="16" t="n">
        <x:f>C528^2</x:f>
        <x:v>0.00007064093328578935</x:v>
      </x:c>
      <x:c r="G528" s="1"/>
      <x:c r="H528" s="1"/>
      <x:c r="I528" s="1"/>
      <x:c r="J528" s="1"/>
      <x:c r="K528" s="1"/>
      <x:c r="L528" s="1"/>
      <x:c r="M528" s="1"/>
      <x:c r="N528" s="1"/>
    </x:row>
    <x:row r="529" ht="22" customHeight="1">
      <x:c r="A529" s="1" t="n">
        <x:v>513</x:v>
      </x:c>
      <x:c r="B529" s="16" t="n">
        <x:v>-0.1081114564158047</x:v>
      </x:c>
      <x:c r="C529" s="16" t="n">
        <x:f>$B$12+$D$12*B529</x:f>
        <x:v>-0.0009366600958873489</x:v>
      </x:c>
      <x:c r="D529" s="12" t="n">
        <x:f>D528*EXP(C529)</x:f>
        <x:v>105.95939498096993</x:v>
      </x:c>
      <x:c r="E529" s="16" t="n">
        <x:f>ABS(C529)</x:f>
        <x:v>0.0009366600958873489</x:v>
      </x:c>
      <x:c r="F529" s="16" t="n">
        <x:f>C529^2</x:f>
        <x:v>8.773321352276976e-7</x:v>
      </x:c>
      <x:c r="G529" s="1"/>
      <x:c r="H529" s="1"/>
      <x:c r="I529" s="1"/>
      <x:c r="J529" s="1"/>
      <x:c r="K529" s="1"/>
      <x:c r="L529" s="1"/>
      <x:c r="M529" s="1"/>
      <x:c r="N529" s="1"/>
    </x:row>
    <x:row r="530" ht="22" customHeight="1">
      <x:c r="A530" s="1" t="n">
        <x:v>514</x:v>
      </x:c>
      <x:c r="B530" s="16" t="n">
        <x:v>1.7124792809776226</x:v>
      </x:c>
      <x:c r="C530" s="16" t="n">
        <x:f>$B$12+$D$12*B530</x:f>
        <x:v>0.02313396295134533</x:v>
      </x:c>
      <x:c r="D530" s="12" t="n">
        <x:f>D529*EXP(C530)</x:f>
        <x:v>108.43922930090699</x:v>
      </x:c>
      <x:c r="E530" s="16" t="n">
        <x:f>ABS(C530)</x:f>
        <x:v>0.02313396295134533</x:v>
      </x:c>
      <x:c r="F530" s="16" t="n">
        <x:f>C530^2</x:f>
        <x:v>0.0005351802418342183</x:v>
      </x:c>
      <x:c r="G530" s="1"/>
      <x:c r="H530" s="1"/>
      <x:c r="I530" s="1"/>
      <x:c r="J530" s="1"/>
      <x:c r="K530" s="1"/>
      <x:c r="L530" s="1"/>
      <x:c r="M530" s="1"/>
      <x:c r="N530" s="1"/>
    </x:row>
    <x:row r="531" ht="22" customHeight="1">
      <x:c r="A531" s="1" t="n">
        <x:v>515</x:v>
      </x:c>
      <x:c r="B531" s="16" t="n">
        <x:v>0.3908159848582084</x:v>
      </x:c>
      <x:c r="C531" s="16" t="n">
        <x:f>$B$12+$D$12*B531</x:f>
        <x:v>0.005659822089901039</x:v>
      </x:c>
      <x:c r="D531" s="12" t="n">
        <x:f>D530*EXP(C531)</x:f>
        <x:v>109.05471617640299</x:v>
      </x:c>
      <x:c r="E531" s="16" t="n">
        <x:f>ABS(C531)</x:f>
        <x:v>0.005659822089901039</x:v>
      </x:c>
      <x:c r="F531" s="16" t="n">
        <x:f>C531^2</x:f>
        <x:v>0.00003203358608933177</x:v>
      </x:c>
      <x:c r="G531" s="1"/>
      <x:c r="H531" s="1"/>
      <x:c r="I531" s="1"/>
      <x:c r="J531" s="1"/>
      <x:c r="K531" s="1"/>
      <x:c r="L531" s="1"/>
      <x:c r="M531" s="1"/>
      <x:c r="N531" s="1"/>
    </x:row>
    <x:row r="532" ht="22" customHeight="1">
      <x:c r="A532" s="1" t="n">
        <x:v>516</x:v>
      </x:c>
      <x:c r="B532" s="16" t="n">
        <x:v>2.9264737525731945</x:v>
      </x:c>
      <x:c r="C532" s="16" t="n">
        <x:f>$B$12+$D$12*B532</x:f>
        <x:v>0.039184579219468565</x:v>
      </x:c>
      <x:c r="D532" s="12" t="n">
        <x:f>D531*EXP(C532)</x:f>
        <x:v>113.41280669856809</x:v>
      </x:c>
      <x:c r="E532" s="16" t="n">
        <x:f>ABS(C532)</x:f>
        <x:v>0.039184579219468565</x:v>
      </x:c>
      <x:c r="F532" s="16" t="n">
        <x:f>C532^2</x:f>
        <x:v>0.0015354312486068077</x:v>
      </x:c>
      <x:c r="G532" s="1"/>
      <x:c r="H532" s="1"/>
      <x:c r="I532" s="1"/>
      <x:c r="J532" s="1"/>
      <x:c r="K532" s="1"/>
      <x:c r="L532" s="1"/>
      <x:c r="M532" s="1"/>
      <x:c r="N532" s="1"/>
    </x:row>
    <x:row r="533" ht="22" customHeight="1">
      <x:c r="A533" s="1" t="n">
        <x:v>517</x:v>
      </x:c>
      <x:c r="B533" s="16" t="n">
        <x:v>0.23532088588422923</x:v>
      </x:c>
      <x:c r="C533" s="16" t="n">
        <x:f>$B$12+$D$12*B533</x:f>
        <x:v>0.0036039707465873217</x:v>
      </x:c>
      <x:c r="D533" s="12" t="n">
        <x:f>D532*EXP(C533)</x:f>
        <x:v>113.82228055889738</x:v>
      </x:c>
      <x:c r="E533" s="16" t="n">
        <x:f>ABS(C533)</x:f>
        <x:v>0.0036039707465873217</x:v>
      </x:c>
      <x:c r="F533" s="16" t="n">
        <x:f>C533^2</x:f>
        <x:v>0.000012988605142257176</x:v>
      </x:c>
      <x:c r="G533" s="1"/>
      <x:c r="H533" s="1"/>
      <x:c r="I533" s="1"/>
      <x:c r="J533" s="1"/>
      <x:c r="K533" s="1"/>
      <x:c r="L533" s="1"/>
      <x:c r="M533" s="1"/>
      <x:c r="N533" s="1"/>
    </x:row>
    <x:row r="534" ht="22" customHeight="1">
      <x:c r="A534" s="1" t="n">
        <x:v>518</x:v>
      </x:c>
      <x:c r="B534" s="16" t="n">
        <x:v>-2.247552780833658</x:v>
      </x:c>
      <x:c r="C534" s="16" t="n">
        <x:f>$B$12+$D$12*B534</x:f>
        <x:v>-0.029222910593604674</x:v>
      </x:c>
      <x:c r="D534" s="12" t="n">
        <x:f>D533*EXP(C534)</x:f>
        <x:v>110.54419313971111</x:v>
      </x:c>
      <x:c r="E534" s="16" t="n">
        <x:f>ABS(C534)</x:f>
        <x:v>0.029222910593604674</x:v>
      </x:c>
      <x:c r="F534" s="16" t="n">
        <x:f>C534^2</x:f>
        <x:v>0.0008539785035618123</x:v>
      </x:c>
      <x:c r="G534" s="1"/>
      <x:c r="H534" s="1"/>
      <x:c r="I534" s="1"/>
      <x:c r="J534" s="1"/>
      <x:c r="K534" s="1"/>
      <x:c r="L534" s="1"/>
      <x:c r="M534" s="1"/>
      <x:c r="N534" s="1"/>
    </x:row>
    <x:row r="535" ht="22" customHeight="1">
      <x:c r="A535" s="1" t="n">
        <x:v>519</x:v>
      </x:c>
      <x:c r="B535" s="16" t="n">
        <x:v>1.732155418287433</x:v>
      </x:c>
      <x:c r="C535" s="16" t="n">
        <x:f>$B$12+$D$12*B535</x:f>
        <x:v>0.023394107570606726</x:v>
      </x:c>
      <x:c r="D535" s="12" t="n">
        <x:f>D534*EXP(C535)</x:f>
        <x:v>113.16076270743565</x:v>
      </x:c>
      <x:c r="E535" s="16" t="n">
        <x:f>ABS(C535)</x:f>
        <x:v>0.023394107570606726</x:v>
      </x:c>
      <x:c r="F535" s="16" t="n">
        <x:f>C535^2</x:f>
        <x:v>0.0005472842690251189</x:v>
      </x:c>
      <x:c r="G535" s="1"/>
      <x:c r="H535" s="1"/>
      <x:c r="I535" s="1"/>
      <x:c r="J535" s="1"/>
      <x:c r="K535" s="1"/>
      <x:c r="L535" s="1"/>
      <x:c r="M535" s="1"/>
      <x:c r="N535" s="1"/>
    </x:row>
    <x:row r="536" ht="22" customHeight="1">
      <x:c r="A536" s="1" t="n">
        <x:v>520</x:v>
      </x:c>
      <x:c r="B536" s="16" t="n">
        <x:v>1.7568731512144604</x:v>
      </x:c>
      <x:c r="C536" s="16" t="n">
        <x:f>$B$12+$D$12*B536</x:f>
        <x:v>0.023720908767409735</x:v>
      </x:c>
      <x:c r="D536" s="12" t="n">
        <x:f>D535*EXP(C536)</x:f>
        <x:v>115.87712880227232</x:v>
      </x:c>
      <x:c r="E536" s="16" t="n">
        <x:f>ABS(C536)</x:f>
        <x:v>0.023720908767409735</x:v>
      </x:c>
      <x:c r="F536" s="16" t="n">
        <x:f>C536^2</x:f>
        <x:v>0.000562681512751776</x:v>
      </x:c>
      <x:c r="G536" s="1"/>
      <x:c r="H536" s="1"/>
      <x:c r="I536" s="1"/>
      <x:c r="J536" s="1"/>
      <x:c r="K536" s="1"/>
      <x:c r="L536" s="1"/>
      <x:c r="M536" s="1"/>
      <x:c r="N536" s="1"/>
    </x:row>
    <x:row r="537" ht="22" customHeight="1">
      <x:c r="A537" s="1" t="n">
        <x:v>521</x:v>
      </x:c>
      <x:c r="B537" s="16" t="n">
        <x:v>0.4349618006939462</x:v>
      </x:c>
      <x:c r="C537" s="16" t="n">
        <x:f>$B$12+$D$12*B537</x:f>
        <x:v>0.00624348829794512</x:v>
      </x:c>
      <x:c r="D537" s="12" t="n">
        <x:f>D536*EXP(C537)</x:f>
        <x:v>116.6028695192702</x:v>
      </x:c>
      <x:c r="E537" s="16" t="n">
        <x:f>ABS(C537)</x:f>
        <x:v>0.00624348829794512</x:v>
      </x:c>
      <x:c r="F537" s="16" t="n">
        <x:f>C537^2</x:f>
        <x:v>0.000038981146126577654</x:v>
      </x:c>
      <x:c r="G537" s="1"/>
      <x:c r="H537" s="1"/>
      <x:c r="I537" s="1"/>
      <x:c r="J537" s="1"/>
      <x:c r="K537" s="1"/>
      <x:c r="L537" s="1"/>
      <x:c r="M537" s="1"/>
      <x:c r="N537" s="1"/>
    </x:row>
    <x:row r="538" ht="22" customHeight="1">
      <x:c r="A538" s="1" t="n">
        <x:v>522</x:v>
      </x:c>
      <x:c r="B538" s="16" t="n">
        <x:v>-0.8218469337438787</x:v>
      </x:c>
      <x:c r="C538" s="16" t="n">
        <x:f>$B$12+$D$12*B538</x:f>
        <x:v>-0.010373189282451132</x:v>
      </x:c>
      <x:c r="D538" s="12" t="n">
        <x:f>D537*EXP(C538)</x:f>
        <x:v>115.39957765978419</x:v>
      </x:c>
      <x:c r="E538" s="16" t="n">
        <x:f>ABS(C538)</x:f>
        <x:v>0.010373189282451132</x:v>
      </x:c>
      <x:c r="F538" s="16" t="n">
        <x:f>C538^2</x:f>
        <x:v>0.00010760305588955902</x:v>
      </x:c>
      <x:c r="G538" s="1"/>
      <x:c r="H538" s="1"/>
      <x:c r="I538" s="1"/>
      <x:c r="J538" s="1"/>
      <x:c r="K538" s="1"/>
      <x:c r="L538" s="1"/>
      <x:c r="M538" s="1"/>
      <x:c r="N538" s="1"/>
    </x:row>
    <x:row r="539" ht="22" customHeight="1">
      <x:c r="A539" s="1" t="n">
        <x:v>523</x:v>
      </x:c>
      <x:c r="B539" s="16" t="n">
        <x:v>1.9716626184075776</x:v>
      </x:c>
      <x:c r="C539" s="16" t="n">
        <x:f>$B$12+$D$12*B539</x:f>
        <x:v>0.02656071026322731</x:v>
      </x:c>
      <x:c r="D539" s="12" t="n">
        <x:f>D538*EXP(C539)</x:f>
        <x:v>118.50574074848248</x:v>
      </x:c>
      <x:c r="E539" s="16" t="n">
        <x:f>ABS(C539)</x:f>
        <x:v>0.02656071026322731</x:v>
      </x:c>
      <x:c r="F539" s="16" t="n">
        <x:f>C539^2</x:f>
        <x:v>0.0007054713296871085</x:v>
      </x:c>
      <x:c r="G539" s="1"/>
      <x:c r="H539" s="1"/>
      <x:c r="I539" s="1"/>
      <x:c r="J539" s="1"/>
      <x:c r="K539" s="1"/>
      <x:c r="L539" s="1"/>
      <x:c r="M539" s="1"/>
      <x:c r="N539" s="1"/>
    </x:row>
    <x:row r="540" ht="22" customHeight="1">
      <x:c r="A540" s="1" t="n">
        <x:v>524</x:v>
      </x:c>
      <x:c r="B540" s="16" t="n">
        <x:v>0.15734263077986776</x:v>
      </x:c>
      <x:c r="C540" s="16" t="n">
        <x:f>$B$12+$D$12*B540</x:f>
        <x:v>0.0025729948408297508</x:v>
      </x:c>
      <x:c r="D540" s="12" t="n">
        <x:f>D539*EXP(C540)</x:f>
        <x:v>118.81104801661441</x:v>
      </x:c>
      <x:c r="E540" s="16" t="n">
        <x:f>ABS(C540)</x:f>
        <x:v>0.0025729948408297508</x:v>
      </x:c>
      <x:c r="F540" s="16" t="n">
        <x:f>C540^2</x:f>
        <x:v>0.0000066203024509365145</x:v>
      </x:c>
      <x:c r="G540" s="1"/>
      <x:c r="H540" s="1"/>
      <x:c r="I540" s="1"/>
      <x:c r="J540" s="1"/>
      <x:c r="K540" s="1"/>
      <x:c r="L540" s="1"/>
      <x:c r="M540" s="1"/>
      <x:c r="N540" s="1"/>
    </x:row>
    <x:row r="541" ht="22" customHeight="1">
      <x:c r="A541" s="1" t="n">
        <x:v>525</x:v>
      </x:c>
      <x:c r="B541" s="16" t="n">
        <x:v>0.41863636901516516</x:v>
      </x:c>
      <x:c r="C541" s="16" t="n">
        <x:f>$B$12+$D$12*B541</x:f>
        <x:v>0.006027644449049184</x:v>
      </x:c>
      <x:c r="D541" s="12" t="n">
        <x:f>D540*EXP(C541)</x:f>
        <x:v>119.52936146486984</x:v>
      </x:c>
      <x:c r="E541" s="16" t="n">
        <x:f>ABS(C541)</x:f>
        <x:v>0.006027644449049184</x:v>
      </x:c>
      <x:c r="F541" s="16" t="n">
        <x:f>C541^2</x:f>
        <x:v>0.000036332497604153436</x:v>
      </x:c>
      <x:c r="G541" s="1"/>
      <x:c r="H541" s="1"/>
      <x:c r="I541" s="1"/>
      <x:c r="J541" s="1"/>
      <x:c r="K541" s="1"/>
      <x:c r="L541" s="1"/>
      <x:c r="M541" s="1"/>
      <x:c r="N541" s="1"/>
    </x:row>
    <x:row r="542" ht="22" customHeight="1">
      <x:c r="A542" s="1" t="n">
        <x:v>526</x:v>
      </x:c>
      <x:c r="B542" s="16" t="n">
        <x:v>0.5827593137534911</x:v>
      </x:c>
      <x:c r="C542" s="16" t="n">
        <x:f>$B$12+$D$12*B542</x:f>
        <x:v>0.008197567351026652</x:v>
      </x:c>
      <x:c r="D542" s="12" t="n">
        <x:f>D541*EXP(C542)</x:f>
        <x:v>120.5132386459166</x:v>
      </x:c>
      <x:c r="E542" s="16" t="n">
        <x:f>ABS(C542)</x:f>
        <x:v>0.008197567351026652</x:v>
      </x:c>
      <x:c r="F542" s="16" t="n">
        <x:f>C542^2</x:f>
        <x:v>0.00006720011047461811</x:v>
      </x:c>
      <x:c r="G542" s="1"/>
      <x:c r="H542" s="1"/>
      <x:c r="I542" s="1"/>
      <x:c r="J542" s="1"/>
      <x:c r="K542" s="1"/>
      <x:c r="L542" s="1"/>
      <x:c r="M542" s="1"/>
      <x:c r="N542" s="1"/>
    </x:row>
    <x:row r="543" ht="22" customHeight="1">
      <x:c r="A543" s="1" t="n">
        <x:v>527</x:v>
      </x:c>
      <x:c r="B543" s="16" t="n">
        <x:v>-0.0679996882118612</x:v>
      </x:c>
      <x:c r="C543" s="16" t="n">
        <x:f>$B$12+$D$12*B543</x:f>
        <x:v>-0.00040632934534346593</x:v>
      </x:c>
      <x:c r="D543" s="12" t="n">
        <x:f>D542*EXP(C543)</x:f>
        <x:v>120.46428052778602</x:v>
      </x:c>
      <x:c r="E543" s="16" t="n">
        <x:f>ABS(C543)</x:f>
        <x:v>0.00040632934534346593</x:v>
      </x:c>
      <x:c r="F543" s="16" t="n">
        <x:f>C543^2</x:f>
        <x:v>1.651035368872496e-7</x:v>
      </x:c>
      <x:c r="G543" s="1"/>
      <x:c r="H543" s="1"/>
      <x:c r="I543" s="1"/>
      <x:c r="J543" s="1"/>
      <x:c r="K543" s="1"/>
      <x:c r="L543" s="1"/>
      <x:c r="M543" s="1"/>
      <x:c r="N543" s="1"/>
    </x:row>
    <x:row r="544" ht="22" customHeight="1">
      <x:c r="A544" s="1" t="n">
        <x:v>528</x:v>
      </x:c>
      <x:c r="B544" s="16" t="n">
        <x:v>2.8680053022165444</x:v>
      </x:c>
      <x:c r="C544" s="16" t="n">
        <x:f>$B$12+$D$12*B544</x:f>
        <x:v>0.038411548795999687</x:v>
      </x:c>
      <x:c r="D544" s="12" t="n">
        <x:f>D543*EXP(C544)</x:f>
        <x:v>125.18151833390642</x:v>
      </x:c>
      <x:c r="E544" s="16" t="n">
        <x:f>ABS(C544)</x:f>
        <x:v>0.038411548795999687</x:v>
      </x:c>
      <x:c r="F544" s="16" t="n">
        <x:f>C544^2</x:f>
        <x:v>0.001475447080907465</x:v>
      </x:c>
      <x:c r="G544" s="1"/>
      <x:c r="H544" s="1"/>
      <x:c r="I544" s="1"/>
      <x:c r="J544" s="1"/>
      <x:c r="K544" s="1"/>
      <x:c r="L544" s="1"/>
      <x:c r="M544" s="1"/>
      <x:c r="N544" s="1"/>
    </x:row>
    <x:row r="545" ht="22" customHeight="1">
      <x:c r="A545" s="1" t="n">
        <x:v>529</x:v>
      </x:c>
      <x:c r="B545" s="16" t="n">
        <x:v>0.7930415692527818</x:v>
      </x:c>
      <x:c r="C545" s="16" t="n">
        <x:f>$B$12+$D$12*B545</x:f>
        <x:v>0.010977777533185502</x:v>
      </x:c>
      <x:c r="D545" s="12" t="n">
        <x:f>D544*EXP(C545)</x:f>
        <x:v>126.56330378333696</x:v>
      </x:c>
      <x:c r="E545" s="16" t="n">
        <x:f>ABS(C545)</x:f>
        <x:v>0.010977777533185502</x:v>
      </x:c>
      <x:c r="F545" s="16" t="n">
        <x:f>C545^2</x:f>
        <x:v>0.00012051159956811236</x:v>
      </x:c>
      <x:c r="G545" s="1"/>
      <x:c r="H545" s="1"/>
      <x:c r="I545" s="1"/>
      <x:c r="J545" s="1"/>
      <x:c r="K545" s="1"/>
      <x:c r="L545" s="1"/>
      <x:c r="M545" s="1"/>
      <x:c r="N545" s="1"/>
    </x:row>
    <x:row r="546" ht="22" customHeight="1">
      <x:c r="A546" s="1" t="n">
        <x:v>530</x:v>
      </x:c>
      <x:c r="B546" s="16" t="n">
        <x:v>0.19044309875688847</x:v>
      </x:c>
      <x:c r="C546" s="16" t="n">
        <x:f>$B$12+$D$12*B546</x:f>
        <x:v>0.003010626907717327</x:v>
      </x:c>
      <x:c r="D546" s="12" t="n">
        <x:f>D545*EXP(C546)</x:f>
        <x:v>126.94491282422203</x:v>
      </x:c>
      <x:c r="E546" s="16" t="n">
        <x:f>ABS(C546)</x:f>
        <x:v>0.003010626907717327</x:v>
      </x:c>
      <x:c r="F546" s="16" t="n">
        <x:f>C546^2</x:f>
        <x:v>0.000009063874377471593</x:v>
      </x:c>
      <x:c r="G546" s="1"/>
      <x:c r="H546" s="1"/>
      <x:c r="I546" s="1"/>
      <x:c r="J546" s="1"/>
      <x:c r="K546" s="1"/>
      <x:c r="L546" s="1"/>
      <x:c r="M546" s="1"/>
      <x:c r="N546" s="1"/>
    </x:row>
    <x:row r="547" ht="22" customHeight="1">
      <x:c r="A547" s="1" t="n">
        <x:v>531</x:v>
      </x:c>
      <x:c r="B547" s="16" t="n">
        <x:v>0.14648389495066458</x:v>
      </x:c>
      <x:c r="C547" s="16" t="n">
        <x:f>$B$12+$D$12*B547</x:f>
        <x:v>0.002429427958089016</x:v>
      </x:c>
      <x:c r="D547" s="12" t="n">
        <x:f>D546*EXP(C547)</x:f>
        <x:v>127.25369127019852</x:v>
      </x:c>
      <x:c r="E547" s="16" t="n">
        <x:f>ABS(C547)</x:f>
        <x:v>0.002429427958089016</x:v>
      </x:c>
      <x:c r="F547" s="16" t="n">
        <x:f>C547^2</x:f>
        <x:v>0.000005902120203544566</x:v>
      </x:c>
      <x:c r="G547" s="1"/>
      <x:c r="H547" s="1"/>
      <x:c r="I547" s="1"/>
      <x:c r="J547" s="1"/>
      <x:c r="K547" s="1"/>
      <x:c r="L547" s="1"/>
      <x:c r="M547" s="1"/>
      <x:c r="N547" s="1"/>
    </x:row>
    <x:row r="548" ht="22" customHeight="1">
      <x:c r="A548" s="1" t="n">
        <x:v>532</x:v>
      </x:c>
      <x:c r="B548" s="16" t="n">
        <x:v>0.6481200643094693</x:v>
      </x:c>
      <x:c r="C548" s="16" t="n">
        <x:f>$B$12+$D$12*B548</x:f>
        <x:v>0.009061723120032507</x:v>
      </x:c>
      <x:c r="D548" s="12" t="n">
        <x:f>D547*EXP(C548)</x:f>
        <x:v>128.41206951127748</x:v>
      </x:c>
      <x:c r="E548" s="16" t="n">
        <x:f>ABS(C548)</x:f>
        <x:v>0.009061723120032507</x:v>
      </x:c>
      <x:c r="F548" s="16" t="n">
        <x:f>C548^2</x:f>
        <x:v>0.00008211482590413167</x:v>
      </x:c>
      <x:c r="G548" s="1"/>
      <x:c r="H548" s="1"/>
      <x:c r="I548" s="1"/>
      <x:c r="J548" s="1"/>
      <x:c r="K548" s="1"/>
      <x:c r="L548" s="1"/>
      <x:c r="M548" s="1"/>
      <x:c r="N548" s="1"/>
    </x:row>
    <x:row r="549" ht="22" customHeight="1">
      <x:c r="A549" s="1" t="n">
        <x:v>533</x:v>
      </x:c>
      <x:c r="B549" s="16" t="n">
        <x:v>-0.80728204981547</x:v>
      </x:c>
      <x:c r="C549" s="16" t="n">
        <x:f>$B$12+$D$12*B549</x:f>
        <x:v>-0.010180622208716942</x:v>
      </x:c>
      <x:c r="D549" s="12" t="n">
        <x:f>D548*EXP(C549)</x:f>
        <x:v>127.11138685798943</x:v>
      </x:c>
      <x:c r="E549" s="16" t="n">
        <x:f>ABS(C549)</x:f>
        <x:v>0.010180622208716942</x:v>
      </x:c>
      <x:c r="F549" s="16" t="n">
        <x:f>C549^2</x:f>
        <x:v>0.00010364506855662061</x:v>
      </x:c>
      <x:c r="G549" s="1"/>
      <x:c r="H549" s="1"/>
      <x:c r="I549" s="1"/>
      <x:c r="J549" s="1"/>
      <x:c r="K549" s="1"/>
      <x:c r="L549" s="1"/>
      <x:c r="M549" s="1"/>
      <x:c r="N549" s="1"/>
    </x:row>
    <x:row r="550" ht="22" customHeight="1">
      <x:c r="A550" s="1" t="n">
        <x:v>534</x:v>
      </x:c>
      <x:c r="B550" s="16" t="n">
        <x:v>0.23037933653487866</x:v>
      </x:c>
      <x:c r="C550" s="16" t="n">
        <x:f>$B$12+$D$12*B550</x:f>
        <x:v>0.0035386369133350373</x:v>
      </x:c>
      <x:c r="D550" s="12" t="n">
        <x:f>D549*EXP(C550)</x:f>
        <x:v>127.56198468448437</x:v>
      </x:c>
      <x:c r="E550" s="16" t="n">
        <x:f>ABS(C550)</x:f>
        <x:v>0.0035386369133350373</x:v>
      </x:c>
      <x:c r="F550" s="16" t="n">
        <x:f>C550^2</x:f>
        <x:v>0.00001252195120441732</x:v>
      </x:c>
      <x:c r="G550" s="1"/>
      <x:c r="H550" s="1"/>
      <x:c r="I550" s="1"/>
      <x:c r="J550" s="1"/>
      <x:c r="K550" s="1"/>
      <x:c r="L550" s="1"/>
      <x:c r="M550" s="1"/>
      <x:c r="N550" s="1"/>
    </x:row>
    <x:row r="551" ht="22" customHeight="1">
      <x:c r="A551" s="1" t="n">
        <x:v>535</x:v>
      </x:c>
      <x:c r="B551" s="16" t="n">
        <x:v>-0.1524521619371982</x:v>
      </x:c>
      <x:c r="C551" s="16" t="n">
        <x:f>$B$12+$D$12*B551</x:f>
        <x:v>-0.0015229030039348194</x:v>
      </x:c>
      <x:c r="D551" s="12" t="n">
        <x:f>D550*EXP(C551)</x:f>
        <x:v>127.36786800277615</x:v>
      </x:c>
      <x:c r="E551" s="16" t="n">
        <x:f>ABS(C551)</x:f>
        <x:v>0.0015229030039348194</x:v>
      </x:c>
      <x:c r="F551" s="16" t="n">
        <x:f>C551^2</x:f>
        <x:v>0.0000023192335593936967</x:v>
      </x:c>
      <x:c r="G551" s="1"/>
      <x:c r="H551" s="1"/>
      <x:c r="I551" s="1"/>
      <x:c r="J551" s="1"/>
      <x:c r="K551" s="1"/>
      <x:c r="L551" s="1"/>
      <x:c r="M551" s="1"/>
      <x:c r="N551" s="1"/>
    </x:row>
    <x:row r="552" ht="22" customHeight="1">
      <x:c r="A552" s="1" t="n">
        <x:v>536</x:v>
      </x:c>
      <x:c r="B552" s="16" t="n">
        <x:v>-0.1570148251786407</x:v>
      </x:c>
      <x:c r="C552" s="16" t="n">
        <x:f>$B$12+$D$12*B552</x:f>
        <x:v>-0.0015832274605633678</x:v>
      </x:c>
      <x:c r="D552" s="12" t="n">
        <x:f>D551*EXP(C552)</x:f>
        <x:v>127.16637524308449</x:v>
      </x:c>
      <x:c r="E552" s="16" t="n">
        <x:f>ABS(C552)</x:f>
        <x:v>0.0015832274605633678</x:v>
      </x:c>
      <x:c r="F552" s="16" t="n">
        <x:f>C552^2</x:f>
        <x:v>0.0000025066091918819305</x:v>
      </x:c>
      <x:c r="G552" s="1"/>
      <x:c r="H552" s="1"/>
      <x:c r="I552" s="1"/>
      <x:c r="J552" s="1"/>
      <x:c r="K552" s="1"/>
      <x:c r="L552" s="1"/>
      <x:c r="M552" s="1"/>
      <x:c r="N552" s="1"/>
    </x:row>
    <x:row r="553" ht="22" customHeight="1">
      <x:c r="A553" s="1" t="n">
        <x:v>537</x:v>
      </x:c>
      <x:c r="B553" s="16" t="n">
        <x:v>-0.26724376516690124</x:v>
      </x:c>
      <x:c r="C553" s="16" t="n">
        <x:f>$B$12+$D$12*B553</x:f>
        <x:v>-0.0030406001741871886</x:v>
      </x:c>
      <x:c r="D553" s="12" t="n">
        <x:f>D552*EXP(C553)</x:f>
        <x:v>126.78030038745273</x:v>
      </x:c>
      <x:c r="E553" s="16" t="n">
        <x:f>ABS(C553)</x:f>
        <x:v>0.0030406001741871886</x:v>
      </x:c>
      <x:c r="F553" s="16" t="n">
        <x:f>C553^2</x:f>
        <x:v>0.000009245249419267162</x:v>
      </x:c>
      <x:c r="G553" s="1"/>
      <x:c r="H553" s="1"/>
      <x:c r="I553" s="1"/>
      <x:c r="J553" s="1"/>
      <x:c r="K553" s="1"/>
      <x:c r="L553" s="1"/>
      <x:c r="M553" s="1"/>
      <x:c r="N553" s="1"/>
    </x:row>
    <x:row r="554" ht="22" customHeight="1">
      <x:c r="A554" s="1" t="n">
        <x:v>538</x:v>
      </x:c>
      <x:c r="B554" s="16" t="n">
        <x:v>0.25638150541416893</x:v>
      </x:c>
      <x:c r="C554" s="16" t="n">
        <x:f>$B$12+$D$12*B554</x:f>
        <x:v>0.00388242005616261</x:v>
      </x:c>
      <x:c r="D554" s="12" t="n">
        <x:f>D553*EXP(C554)</x:f>
        <x:v>127.27347149763648</x:v>
      </x:c>
      <x:c r="E554" s="16" t="n">
        <x:f>ABS(C554)</x:f>
        <x:v>0.00388242005616261</x:v>
      </x:c>
      <x:c r="F554" s="16" t="n">
        <x:f>C554^2</x:f>
        <x:v>0.000015073185492493682</x:v>
      </x:c>
      <x:c r="G554" s="1"/>
      <x:c r="H554" s="1"/>
      <x:c r="I554" s="1"/>
      <x:c r="J554" s="1"/>
      <x:c r="K554" s="1"/>
      <x:c r="L554" s="1"/>
      <x:c r="M554" s="1"/>
      <x:c r="N554" s="1"/>
    </x:row>
    <x:row r="555" ht="22" customHeight="1">
      <x:c r="A555" s="1" t="n">
        <x:v>539</x:v>
      </x:c>
      <x:c r="B555" s="16" t="n">
        <x:v>-0.5990391283637481</x:v>
      </x:c>
      <x:c r="C555" s="16" t="n">
        <x:f>$B$12+$D$12*B555</x:f>
        <x:v>-0.007427374726146849</x:v>
      </x:c>
      <x:c r="D555" s="12" t="n">
        <x:f>D554*EXP(C555)</x:f>
        <x:v>126.33166563428549</x:v>
      </x:c>
      <x:c r="E555" s="16" t="n">
        <x:f>ABS(C555)</x:f>
        <x:v>0.007427374726146849</x:v>
      </x:c>
      <x:c r="F555" s="16" t="n">
        <x:f>C555^2</x:f>
        <x:v>0.00005516589532260498</x:v>
      </x:c>
      <x:c r="G555" s="1"/>
      <x:c r="H555" s="1"/>
      <x:c r="I555" s="1"/>
      <x:c r="J555" s="1"/>
      <x:c r="K555" s="1"/>
      <x:c r="L555" s="1"/>
      <x:c r="M555" s="1"/>
      <x:c r="N555" s="1"/>
    </x:row>
    <x:row r="556" ht="22" customHeight="1">
      <x:c r="A556" s="1" t="n">
        <x:v>540</x:v>
      </x:c>
      <x:c r="B556" s="16" t="n">
        <x:v>-0.6996109981108017</x:v>
      </x:c>
      <x:c r="C556" s="16" t="n">
        <x:f>$B$12+$D$12*B556</x:f>
        <x:v>-0.00875706816911287</x:v>
      </x:c>
      <x:c r="D556" s="12" t="n">
        <x:f>D555*EXP(C556)</x:f>
        <x:v>125.23020046810797</x:v>
      </x:c>
      <x:c r="E556" s="16" t="n">
        <x:f>ABS(C556)</x:f>
        <x:v>0.00875706816911287</x:v>
      </x:c>
      <x:c r="F556" s="16" t="n">
        <x:f>C556^2</x:f>
        <x:v>0.00007668624291848983</x:v>
      </x:c>
      <x:c r="G556" s="1"/>
      <x:c r="H556" s="1"/>
      <x:c r="I556" s="1"/>
      <x:c r="J556" s="1"/>
      <x:c r="K556" s="1"/>
      <x:c r="L556" s="1"/>
      <x:c r="M556" s="1"/>
      <x:c r="N556" s="1"/>
    </x:row>
    <x:row r="557" ht="22" customHeight="1">
      <x:c r="A557" s="1" t="n">
        <x:v>541</x:v>
      </x:c>
      <x:c r="B557" s="16" t="n">
        <x:v>0.006829207583638028</x:v>
      </x:c>
      <x:c r="C557" s="16" t="n">
        <x:f>$B$12+$D$12*B557</x:f>
        <x:v>0.0005830078553460726</x:v>
      </x:c>
      <x:c r="D557" s="12" t="n">
        <x:f>D556*EXP(C557)</x:f>
        <x:v>125.30323194560137</x:v>
      </x:c>
      <x:c r="E557" s="16" t="n">
        <x:f>ABS(C557)</x:f>
        <x:v>0.0005830078553460726</x:v>
      </x:c>
      <x:c r="F557" s="16" t="n">
        <x:f>C557^2</x:f>
        <x:v>3.398981593952271e-7</x:v>
      </x:c>
      <x:c r="G557" s="1"/>
      <x:c r="H557" s="1"/>
      <x:c r="I557" s="1"/>
      <x:c r="J557" s="1"/>
      <x:c r="K557" s="1"/>
      <x:c r="L557" s="1"/>
      <x:c r="M557" s="1"/>
      <x:c r="N557" s="1"/>
    </x:row>
    <x:row r="558" ht="22" customHeight="1">
      <x:c r="A558" s="1" t="n">
        <x:v>542</x:v>
      </x:c>
      <x:c r="B558" s="16" t="n">
        <x:v>-1.3056490229602702</x:v>
      </x:c>
      <x:c r="C558" s="16" t="n">
        <x:f>$B$12+$D$12*B558</x:f>
        <x:v>-0.016769694262842468</x:v>
      </x:c>
      <x:c r="D558" s="12" t="n">
        <x:f>D557*EXP(C558)</x:f>
        <x:v>123.21945603174053</x:v>
      </x:c>
      <x:c r="E558" s="16" t="n">
        <x:f>ABS(C558)</x:f>
        <x:v>0.016769694262842468</x:v>
      </x:c>
      <x:c r="F558" s="16" t="n">
        <x:f>C558^2</x:f>
        <x:v>0.0002812226456692116</x:v>
      </x:c>
      <x:c r="G558" s="1"/>
      <x:c r="H558" s="1"/>
      <x:c r="I558" s="1"/>
      <x:c r="J558" s="1"/>
      <x:c r="K558" s="1"/>
      <x:c r="L558" s="1"/>
      <x:c r="M558" s="1"/>
      <x:c r="N558" s="1"/>
    </x:row>
    <x:row r="559" ht="22" customHeight="1">
      <x:c r="A559" s="1" t="n">
        <x:v>543</x:v>
      </x:c>
      <x:c r="B559" s="16" t="n">
        <x:v>-0.48646721087380396</x:v>
      </x:c>
      <x:c r="C559" s="16" t="n">
        <x:f>$B$12+$D$12*B559</x:f>
        <x:v>-0.005939024743940459</x:v>
      </x:c>
      <x:c r="D559" s="12" t="n">
        <x:f>D558*EXP(C559)</x:f>
        <x:v>122.48982143702808</x:v>
      </x:c>
      <x:c r="E559" s="16" t="n">
        <x:f>ABS(C559)</x:f>
        <x:v>0.005939024743940459</x:v>
      </x:c>
      <x:c r="F559" s="16" t="n">
        <x:f>C559^2</x:f>
        <x:v>0.00003527201490913703</x:v>
      </x:c>
      <x:c r="G559" s="1"/>
      <x:c r="H559" s="1"/>
      <x:c r="I559" s="1"/>
      <x:c r="J559" s="1"/>
      <x:c r="K559" s="1"/>
      <x:c r="L559" s="1"/>
      <x:c r="M559" s="1"/>
      <x:c r="N559" s="1"/>
    </x:row>
    <x:row r="560" ht="22" customHeight="1">
      <x:c r="A560" s="1" t="n">
        <x:v>544</x:v>
      </x:c>
      <x:c r="B560" s="16" t="n">
        <x:v>-0.6059042356616423</x:v>
      </x:c>
      <x:c r="C560" s="16" t="n">
        <x:f>$B$12+$D$12*B560</x:f>
        <x:v>-0.007518140545478109</x:v>
      </x:c>
      <x:c r="D560" s="12" t="n">
        <x:f>D559*EXP(C560)</x:f>
        <x:v>121.57237879676704</x:v>
      </x:c>
      <x:c r="E560" s="16" t="n">
        <x:f>ABS(C560)</x:f>
        <x:v>0.007518140545478109</x:v>
      </x:c>
      <x:c r="F560" s="16" t="n">
        <x:f>C560^2</x:f>
        <x:v>0.000056522437261561884</x:v>
      </x:c>
      <x:c r="G560" s="1"/>
      <x:c r="H560" s="1"/>
      <x:c r="I560" s="1"/>
      <x:c r="J560" s="1"/>
      <x:c r="K560" s="1"/>
      <x:c r="L560" s="1"/>
      <x:c r="M560" s="1"/>
      <x:c r="N560" s="1"/>
    </x:row>
    <x:row r="561" ht="22" customHeight="1">
      <x:c r="A561" s="1" t="n">
        <x:v>545</x:v>
      </x:c>
      <x:c r="B561" s="16" t="n">
        <x:v>0.7317785331944698</x:v>
      </x:c>
      <x:c r="C561" s="16" t="n">
        <x:f>$B$12+$D$12*B561</x:f>
        <x:v>0.010167798982047798</x:v>
      </x:c>
      <x:c r="D561" s="12" t="n">
        <x:f>D560*EXP(C561)</x:f>
        <x:v>122.81480798733422</x:v>
      </x:c>
      <x:c r="E561" s="16" t="n">
        <x:f>ABS(C561)</x:f>
        <x:v>0.010167798982047798</x:v>
      </x:c>
      <x:c r="F561" s="16" t="n">
        <x:f>C561^2</x:f>
        <x:v>0.00010338413613933223</x:v>
      </x:c>
      <x:c r="G561" s="1"/>
      <x:c r="H561" s="1"/>
      <x:c r="I561" s="1"/>
      <x:c r="J561" s="1"/>
      <x:c r="K561" s="1"/>
      <x:c r="L561" s="1"/>
      <x:c r="M561" s="1"/>
      <x:c r="N561" s="1"/>
    </x:row>
    <x:row r="562" ht="22" customHeight="1">
      <x:c r="A562" s="1" t="n">
        <x:v>546</x:v>
      </x:c>
      <x:c r="B562" s="16" t="n">
        <x:v>-0.16460472370139584</x:v>
      </x:c>
      <x:c r="C562" s="16" t="n">
        <x:f>$B$12+$D$12*B562</x:f>
        <x:v>-0.001683575980719827</x:v>
      </x:c>
      <x:c r="D562" s="12" t="n">
        <x:f>D561*EXP(C562)</x:f>
        <x:v>122.6082138837633</x:v>
      </x:c>
      <x:c r="E562" s="16" t="n">
        <x:f>ABS(C562)</x:f>
        <x:v>0.001683575980719827</x:v>
      </x:c>
      <x:c r="F562" s="16" t="n">
        <x:f>C562^2</x:f>
        <x:v>0.0000028344280828567276</x:v>
      </x:c>
      <x:c r="G562" s="1"/>
      <x:c r="H562" s="1"/>
      <x:c r="I562" s="1"/>
      <x:c r="J562" s="1"/>
      <x:c r="K562" s="1"/>
      <x:c r="L562" s="1"/>
      <x:c r="M562" s="1"/>
      <x:c r="N562" s="1"/>
    </x:row>
    <x:row r="563" ht="22" customHeight="1">
      <x:c r="A563" s="1" t="n">
        <x:v>547</x:v>
      </x:c>
      <x:c r="B563" s="16" t="n">
        <x:v>0.2094347849871385</x:v>
      </x:c>
      <x:c r="C563" s="16" t="n">
        <x:f>$B$12+$D$12*B563</x:f>
        <x:v>0.003261722176352037</x:v>
      </x:c>
      <x:c r="D563" s="12" t="n">
        <x:f>D562*EXP(C563)</x:f>
        <x:v>123.00878072773973</x:v>
      </x:c>
      <x:c r="E563" s="16" t="n">
        <x:f>ABS(C563)</x:f>
        <x:v>0.003261722176352037</x:v>
      </x:c>
      <x:c r="F563" s="16" t="n">
        <x:f>C563^2</x:f>
        <x:v>0.000010638831555706668</x:v>
      </x:c>
      <x:c r="G563" s="1"/>
      <x:c r="H563" s="1"/>
      <x:c r="I563" s="1"/>
      <x:c r="J563" s="1"/>
      <x:c r="K563" s="1"/>
      <x:c r="L563" s="1"/>
      <x:c r="M563" s="1"/>
      <x:c r="N563" s="1"/>
    </x:row>
    <x:row r="564" ht="22" customHeight="1">
      <x:c r="A564" s="1" t="n">
        <x:v>548</x:v>
      </x:c>
      <x:c r="B564" s="16" t="n">
        <x:v>0.20841527525586004</x:v>
      </x:c>
      <x:c r="C564" s="16" t="n">
        <x:f>$B$12+$D$12*B564</x:f>
        <x:v>0.0032482429061731037</x:v>
      </x:c>
      <x:c r="D564" s="12" t="n">
        <x:f>D563*EXP(C564)</x:f>
        <x:v>123.40899276820721</x:v>
      </x:c>
      <x:c r="E564" s="16" t="n">
        <x:f>ABS(C564)</x:f>
        <x:v>0.0032482429061731037</x:v>
      </x:c>
      <x:c r="F564" s="16" t="n">
        <x:f>C564^2</x:f>
        <x:v>0.000010551081977503891</x:v>
      </x:c>
      <x:c r="G564" s="1"/>
      <x:c r="H564" s="1"/>
      <x:c r="I564" s="1"/>
      <x:c r="J564" s="1"/>
      <x:c r="K564" s="1"/>
      <x:c r="L564" s="1"/>
      <x:c r="M564" s="1"/>
      <x:c r="N564" s="1"/>
    </x:row>
    <x:row r="565" ht="22" customHeight="1">
      <x:c r="A565" s="1" t="n">
        <x:v>549</x:v>
      </x:c>
      <x:c r="B565" s="16" t="n">
        <x:v>-1.799033631548989</x:v>
      </x:c>
      <x:c r="C565" s="16" t="n">
        <x:f>$B$12+$D$12*B565</x:f>
        <x:v>-0.023292892852575315</x:v>
      </x:c>
      <x:c r="D565" s="12" t="n">
        <x:f>D564*EXP(C565)</x:f>
        <x:v>120.56766021466092</x:v>
      </x:c>
      <x:c r="E565" s="16" t="n">
        <x:f>ABS(C565)</x:f>
        <x:v>0.023292892852575315</x:v>
      </x:c>
      <x:c r="F565" s="16" t="n">
        <x:f>C565^2</x:f>
        <x:v>0.0005425588574415542</x:v>
      </x:c>
      <x:c r="G565" s="1"/>
      <x:c r="H565" s="1"/>
      <x:c r="I565" s="1"/>
      <x:c r="J565" s="1"/>
      <x:c r="K565" s="1"/>
      <x:c r="L565" s="1"/>
      <x:c r="M565" s="1"/>
      <x:c r="N565" s="1"/>
    </x:row>
    <x:row r="566" ht="22" customHeight="1">
      <x:c r="A566" s="1" t="n">
        <x:v>550</x:v>
      </x:c>
      <x:c r="B566" s="16" t="n">
        <x:v>1.3287413983536038</x:v>
      </x:c>
      <x:c r="C566" s="16" t="n">
        <x:f>$B$12+$D$12*B566</x:f>
        <x:v>0.01806043943402233</x:v>
      </x:c>
      <x:c r="D566" s="12" t="n">
        <x:f>D565*EXP(C566)</x:f>
        <x:v>122.76494740023006</x:v>
      </x:c>
      <x:c r="E566" s="16" t="n">
        <x:f>ABS(C566)</x:f>
        <x:v>0.01806043943402233</x:v>
      </x:c>
      <x:c r="F566" s="16" t="n">
        <x:f>C566^2</x:f>
        <x:v>0.0003261794725499888</x:v>
      </x:c>
      <x:c r="G566" s="1"/>
      <x:c r="H566" s="1"/>
      <x:c r="I566" s="1"/>
      <x:c r="J566" s="1"/>
      <x:c r="K566" s="1"/>
      <x:c r="L566" s="1"/>
      <x:c r="M566" s="1"/>
      <x:c r="N566" s="1"/>
    </x:row>
    <x:row r="567" ht="22" customHeight="1">
      <x:c r="A567" s="1" t="n">
        <x:v>551</x:v>
      </x:c>
      <x:c r="B567" s="16" t="n">
        <x:v>1.7924239478046615</x:v>
      </x:c>
      <x:c r="C567" s="16" t="n">
        <x:f>$B$12+$D$12*B567</x:f>
        <x:v>0.0241909374268858</x:v>
      </x:c>
      <x:c r="D567" s="12" t="n">
        <x:f>D566*EXP(C567)</x:f>
        <x:v>125.77095908923617</x:v>
      </x:c>
      <x:c r="E567" s="16" t="n">
        <x:f>ABS(C567)</x:f>
        <x:v>0.0241909374268858</x:v>
      </x:c>
      <x:c r="F567" s="16" t="n">
        <x:f>C567^2</x:f>
        <x:v>0.0005852014535915041</x:v>
      </x:c>
      <x:c r="G567" s="1"/>
      <x:c r="H567" s="1"/>
      <x:c r="I567" s="1"/>
      <x:c r="J567" s="1"/>
      <x:c r="K567" s="1"/>
      <x:c r="L567" s="1"/>
      <x:c r="M567" s="1"/>
      <x:c r="N567" s="1"/>
    </x:row>
    <x:row r="568" ht="22" customHeight="1">
      <x:c r="A568" s="1" t="n">
        <x:v>552</x:v>
      </x:c>
      <x:c r="B568" s="16" t="n">
        <x:v>-0.609660827269639</x:v>
      </x:c>
      <x:c r="C568" s="16" t="n">
        <x:f>$B$12+$D$12*B568</x:f>
        <x:v>-0.007567807666529129</x:v>
      </x:c>
      <x:c r="D568" s="12" t="n">
        <x:f>D567*EXP(C568)</x:f>
        <x:v>124.82274115180329</x:v>
      </x:c>
      <x:c r="E568" s="16" t="n">
        <x:f>ABS(C568)</x:f>
        <x:v>0.007567807666529129</x:v>
      </x:c>
      <x:c r="F568" s="16" t="n">
        <x:f>C568^2</x:f>
        <x:v>0.00005727171287757706</x:v>
      </x:c>
      <x:c r="G568" s="1"/>
      <x:c r="H568" s="1"/>
      <x:c r="I568" s="1"/>
      <x:c r="J568" s="1"/>
      <x:c r="K568" s="1"/>
      <x:c r="L568" s="1"/>
      <x:c r="M568" s="1"/>
      <x:c r="N568" s="1"/>
    </x:row>
    <x:row r="569" ht="22" customHeight="1">
      <x:c r="A569" s="1" t="n">
        <x:v>553</x:v>
      </x:c>
      <x:c r="B569" s="16" t="n">
        <x:v>-1.2108418403421783</x:v>
      </x:c>
      <x:c r="C569" s="16" t="n">
        <x:f>$B$12+$D$12*B569</x:f>
        <x:v>-0.015516217625782612</x:v>
      </x:c>
      <x:c r="D569" s="12" t="n">
        <x:f>D568*EXP(C569)</x:f>
        <x:v>122.90091264711589</x:v>
      </x:c>
      <x:c r="E569" s="16" t="n">
        <x:f>ABS(C569)</x:f>
        <x:v>0.015516217625782612</x:v>
      </x:c>
      <x:c r="F569" s="16" t="n">
        <x:f>C569^2</x:f>
        <x:v>0.000240753009410647</x:v>
      </x:c>
      <x:c r="G569" s="1"/>
      <x:c r="H569" s="1"/>
      <x:c r="I569" s="1"/>
      <x:c r="J569" s="1"/>
      <x:c r="K569" s="1"/>
      <x:c r="L569" s="1"/>
      <x:c r="M569" s="1"/>
      <x:c r="N569" s="1"/>
    </x:row>
    <x:row r="570" ht="22" customHeight="1">
      <x:c r="A570" s="1" t="n">
        <x:v>554</x:v>
      </x:c>
      <x:c r="B570" s="16" t="n">
        <x:v>-1.5326067554534861</x:v>
      </x:c>
      <x:c r="C570" s="16" t="n">
        <x:f>$B$12+$D$12*B570</x:f>
        <x:v>-0.019770376357007336</x:v>
      </x:c>
      <x:c r="D570" s="12" t="n">
        <x:f>D569*EXP(C570)</x:f>
        <x:v>120.49497684401041</x:v>
      </x:c>
      <x:c r="E570" s="16" t="n">
        <x:f>ABS(C570)</x:f>
        <x:v>0.019770376357007336</x:v>
      </x:c>
      <x:c r="F570" s="16" t="n">
        <x:f>C570^2</x:f>
        <x:v>0.00039086778129771466</x:v>
      </x:c>
      <x:c r="G570" s="1"/>
      <x:c r="H570" s="1"/>
      <x:c r="I570" s="1"/>
      <x:c r="J570" s="1"/>
      <x:c r="K570" s="1"/>
      <x:c r="L570" s="1"/>
      <x:c r="M570" s="1"/>
      <x:c r="N570" s="1"/>
    </x:row>
    <x:row r="571" ht="22" customHeight="1">
      <x:c r="A571" s="1" t="n">
        <x:v>555</x:v>
      </x:c>
      <x:c r="B571" s="16" t="n">
        <x:v>-0.8497079905489069</x:v>
      </x:c>
      <x:c r="C571" s="16" t="n">
        <x:f>$B$12+$D$12*B571</x:f>
        <x:v>-0.010741549387925209</x:v>
      </x:c>
      <x:c r="D571" s="12" t="n">
        <x:f>D570*EXP(C571)</x:f>
        <x:v>119.20760068473415</x:v>
      </x:c>
      <x:c r="E571" s="16" t="n">
        <x:f>ABS(C571)</x:f>
        <x:v>0.010741549387925209</x:v>
      </x:c>
      <x:c r="F571" s="16" t="n">
        <x:f>C571^2</x:f>
        <x:v>0.00011538088325323643</x:v>
      </x:c>
      <x:c r="G571" s="1"/>
      <x:c r="H571" s="1"/>
      <x:c r="I571" s="1"/>
      <x:c r="J571" s="1"/>
      <x:c r="K571" s="1"/>
      <x:c r="L571" s="1"/>
      <x:c r="M571" s="1"/>
      <x:c r="N571" s="1"/>
    </x:row>
    <x:row r="572" ht="22" customHeight="1">
      <x:c r="A572" s="1" t="n">
        <x:v>556</x:v>
      </x:c>
      <x:c r="B572" s="16" t="n">
        <x:v>-0.1512373786553392</x:v>
      </x:c>
      <x:c r="C572" s="16" t="n">
        <x:f>$B$12+$D$12*B572</x:f>
        <x:v>-0.001506841958549313</x:v>
      </x:c>
      <x:c r="D572" s="12" t="n">
        <x:f>D571*EXP(C572)</x:f>
        <x:v>119.02810893705512</x:v>
      </x:c>
      <x:c r="E572" s="16" t="n">
        <x:f>ABS(C572)</x:f>
        <x:v>0.001506841958549313</x:v>
      </x:c>
      <x:c r="F572" s="16" t="n">
        <x:f>C572^2</x:f>
        <x:v>0.000002270572688044729</x:v>
      </x:c>
      <x:c r="G572" s="1"/>
      <x:c r="H572" s="1"/>
      <x:c r="I572" s="1"/>
      <x:c r="J572" s="1"/>
      <x:c r="K572" s="1"/>
      <x:c r="L572" s="1"/>
      <x:c r="M572" s="1"/>
      <x:c r="N572" s="1"/>
    </x:row>
    <x:row r="573" ht="22" customHeight="1">
      <x:c r="A573" s="1" t="n">
        <x:v>557</x:v>
      </x:c>
      <x:c r="B573" s="16" t="n">
        <x:v>2.2277098893656686</x:v>
      </x:c>
      <x:c r="C573" s="16" t="n">
        <x:f>$B$12+$D$12*B573</x:f>
        <x:v>0.029945994618968262</x:v>
      </x:c>
      <x:c r="D573" s="12" t="n">
        <x:f>D572*EXP(C573)</x:f>
        <x:v>122.64643077601797</x:v>
      </x:c>
      <x:c r="E573" s="16" t="n">
        <x:f>ABS(C573)</x:f>
        <x:v>0.029945994618968262</x:v>
      </x:c>
      <x:c r="F573" s="16" t="n">
        <x:f>C573^2</x:f>
        <x:v>0.0008967625937192761</x:v>
      </x:c>
      <x:c r="G573" s="1"/>
      <x:c r="H573" s="1"/>
      <x:c r="I573" s="1"/>
      <x:c r="J573" s="1"/>
      <x:c r="K573" s="1"/>
      <x:c r="L573" s="1"/>
      <x:c r="M573" s="1"/>
      <x:c r="N573" s="1"/>
    </x:row>
    <x:row r="574" ht="22" customHeight="1">
      <x:c r="A574" s="1" t="n">
        <x:v>558</x:v>
      </x:c>
      <x:c r="B574" s="16" t="n">
        <x:v>0.029200945915693343</x:v>
      </x:c>
      <x:c r="C574" s="16" t="n">
        <x:f>$B$12+$D$12*B574</x:f>
        <x:v>0.0008787918935935768</x:v>
      </x:c>
      <x:c r="D574" s="12" t="n">
        <x:f>D573*EXP(C574)</x:f>
        <x:v>122.75425883743584</x:v>
      </x:c>
      <x:c r="E574" s="16" t="n">
        <x:f>ABS(C574)</x:f>
        <x:v>0.0008787918935935768</x:v>
      </x:c>
      <x:c r="F574" s="16" t="n">
        <x:f>C574^2</x:f>
        <x:v>7.722751922457844e-7</x:v>
      </x:c>
      <x:c r="G574" s="1"/>
      <x:c r="H574" s="1"/>
      <x:c r="I574" s="1"/>
      <x:c r="J574" s="1"/>
      <x:c r="K574" s="1"/>
      <x:c r="L574" s="1"/>
      <x:c r="M574" s="1"/>
      <x:c r="N574" s="1"/>
    </x:row>
    <x:row r="575" ht="22" customHeight="1">
      <x:c r="A575" s="1" t="n">
        <x:v>559</x:v>
      </x:c>
      <x:c r="B575" s="16" t="n">
        <x:v>-1.2457856841261465</x:v>
      </x:c>
      <x:c r="C575" s="16" t="n">
        <x:f>$B$12+$D$12*B575</x:f>
        <x:v>-0.01597822156454236</x:v>
      </x:c>
      <x:c r="D575" s="12" t="n">
        <x:f>D574*EXP(C575)</x:f>
        <x:v>120.80845076545674</x:v>
      </x:c>
      <x:c r="E575" s="16" t="n">
        <x:f>ABS(C575)</x:f>
        <x:v>0.01597822156454236</x:v>
      </x:c>
      <x:c r="F575" s="16" t="n">
        <x:f>C575^2</x:f>
        <x:v>0.00025530356436560657</x:v>
      </x:c>
      <x:c r="G575" s="1"/>
      <x:c r="H575" s="1"/>
      <x:c r="I575" s="1"/>
      <x:c r="J575" s="1"/>
      <x:c r="K575" s="1"/>
      <x:c r="L575" s="1"/>
      <x:c r="M575" s="1"/>
      <x:c r="N575" s="1"/>
    </x:row>
    <x:row r="576" ht="22" customHeight="1">
      <x:c r="A576" s="1" t="n">
        <x:v>560</x:v>
      </x:c>
      <x:c r="B576" s="16" t="n">
        <x:v>0.8919227932686401</x:v>
      </x:c>
      <x:c r="C576" s="16" t="n">
        <x:f>$B$12+$D$12*B576</x:f>
        <x:v>0.012285118398350165</x:v>
      </x:c>
      <x:c r="D576" s="12" t="n">
        <x:f>D575*EXP(C576)</x:f>
        <x:v>122.30175078922593</x:v>
      </x:c>
      <x:c r="E576" s="16" t="n">
        <x:f>ABS(C576)</x:f>
        <x:v>0.012285118398350165</x:v>
      </x:c>
      <x:c r="F576" s="16" t="n">
        <x:f>C576^2</x:f>
        <x:v>0.0001509241340614817</x:v>
      </x:c>
      <x:c r="G576" s="1"/>
      <x:c r="H576" s="1"/>
      <x:c r="I576" s="1"/>
      <x:c r="J576" s="1"/>
      <x:c r="K576" s="1"/>
      <x:c r="L576" s="1"/>
      <x:c r="M576" s="1"/>
      <x:c r="N576" s="1"/>
    </x:row>
    <x:row r="577" ht="22" customHeight="1">
      <x:c r="A577" s="1" t="n">
        <x:v>561</x:v>
      </x:c>
      <x:c r="B577" s="16" t="n">
        <x:v>0.8634946454967692</x:v>
      </x:c>
      <x:c r="C577" s="16" t="n">
        <x:f>$B$12+$D$12*B577</x:f>
        <x:v>0.011909260598520077</x:v>
      </x:c>
      <x:c r="D577" s="12" t="n">
        <x:f>D576*EXP(C577)</x:f>
        <x:v>123.76698180218709</x:v>
      </x:c>
      <x:c r="E577" s="16" t="n">
        <x:f>ABS(C577)</x:f>
        <x:v>0.011909260598520077</x:v>
      </x:c>
      <x:c r="F577" s="16" t="n">
        <x:f>C577^2</x:f>
        <x:v>0.00014183048800346277</x:v>
      </x:c>
      <x:c r="G577" s="1"/>
      <x:c r="H577" s="1"/>
      <x:c r="I577" s="1"/>
      <x:c r="J577" s="1"/>
      <x:c r="K577" s="1"/>
      <x:c r="L577" s="1"/>
      <x:c r="M577" s="1"/>
      <x:c r="N577" s="1"/>
    </x:row>
    <x:row r="578" ht="22" customHeight="1">
      <x:c r="A578" s="1" t="n">
        <x:v>562</x:v>
      </x:c>
      <x:c r="B578" s="16" t="n">
        <x:v>-1.0715616930474803</x:v>
      </x:c>
      <x:c r="C578" s="16" t="n">
        <x:f>$B$12+$D$12*B578</x:f>
        <x:v>-0.01367474943931164</x:v>
      </x:c>
      <x:c r="D578" s="12" t="n">
        <x:f>D577*EXP(C578)</x:f>
        <x:v>122.08601890515074</x:v>
      </x:c>
      <x:c r="E578" s="16" t="n">
        <x:f>ABS(C578)</x:f>
        <x:v>0.01367474943931164</x:v>
      </x:c>
      <x:c r="F578" s="16" t="n">
        <x:f>C578^2</x:f>
        <x:v>0.00018699877222795404</x:v>
      </x:c>
      <x:c r="G578" s="1"/>
      <x:c r="H578" s="1"/>
      <x:c r="I578" s="1"/>
      <x:c r="J578" s="1"/>
      <x:c r="K578" s="1"/>
      <x:c r="L578" s="1"/>
      <x:c r="M578" s="1"/>
      <x:c r="N578" s="1"/>
    </x:row>
    <x:row r="579" ht="22" customHeight="1">
      <x:c r="A579" s="1" t="n">
        <x:v>563</x:v>
      </x:c>
      <x:c r="B579" s="16" t="n">
        <x:v>1.5394712926018534</x:v>
      </x:c>
      <x:c r="C579" s="16" t="n">
        <x:f>$B$12+$D$12*B579</x:f>
        <x:v>0.020846567993862784</x:v>
      </x:c>
      <x:c r="D579" s="12" t="n">
        <x:f>D578*EXP(C579)</x:f>
        <x:v>124.65780673782422</x:v>
      </x:c>
      <x:c r="E579" s="16" t="n">
        <x:f>ABS(C579)</x:f>
        <x:v>0.020846567993862784</x:v>
      </x:c>
      <x:c r="F579" s="16" t="n">
        <x:f>C579^2</x:f>
        <x:v>0.0004345793971227442</x:v>
      </x:c>
      <x:c r="G579" s="1"/>
      <x:c r="H579" s="1"/>
      <x:c r="I579" s="1"/>
      <x:c r="J579" s="1"/>
      <x:c r="K579" s="1"/>
      <x:c r="L579" s="1"/>
      <x:c r="M579" s="1"/>
      <x:c r="N579" s="1"/>
    </x:row>
    <x:row r="580" ht="22" customHeight="1">
      <x:c r="A580" s="1" t="n">
        <x:v>564</x:v>
      </x:c>
      <x:c r="B580" s="16" t="n">
        <x:v>0.9933747458622638</x:v>
      </x:c>
      <x:c r="C580" s="16" t="n">
        <x:f>$B$12+$D$12*B580</x:f>
        <x:v>0.013626447703245514</x:v>
      </x:c>
      <x:c r="D580" s="12" t="n">
        <x:f>D579*EXP(C580)</x:f>
        <x:v>126.36807580464477</x:v>
      </x:c>
      <x:c r="E580" s="16" t="n">
        <x:f>ABS(C580)</x:f>
        <x:v>0.013626447703245514</x:v>
      </x:c>
      <x:c r="F580" s="16" t="n">
        <x:f>C580^2</x:f>
        <x:v>0.00018568007700928493</x:v>
      </x:c>
      <x:c r="G580" s="1"/>
      <x:c r="H580" s="1"/>
      <x:c r="I580" s="1"/>
      <x:c r="J580" s="1"/>
      <x:c r="K580" s="1"/>
      <x:c r="L580" s="1"/>
      <x:c r="M580" s="1"/>
      <x:c r="N580" s="1"/>
    </x:row>
    <x:row r="581" ht="22" customHeight="1">
      <x:c r="A581" s="1" t="n">
        <x:v>565</x:v>
      </x:c>
      <x:c r="B581" s="16" t="n">
        <x:v>-0.44133177573990673</x:v>
      </x:c>
      <x:c r="C581" s="16" t="n">
        <x:f>$B$12+$D$12*B581</x:f>
        <x:v>-0.005342274456868069</x:v>
      </x:c>
      <x:c r="D581" s="12" t="n">
        <x:f>D580*EXP(C581)</x:f>
        <x:v>125.69478292010791</x:v>
      </x:c>
      <x:c r="E581" s="16" t="n">
        <x:f>ABS(C581)</x:f>
        <x:v>0.005342274456868069</x:v>
      </x:c>
      <x:c r="F581" s="16" t="n">
        <x:f>C581^2</x:f>
        <x:v>0.00002853989637250502</x:v>
      </x:c>
      <x:c r="G581" s="1"/>
      <x:c r="H581" s="1"/>
      <x:c r="I581" s="1"/>
      <x:c r="J581" s="1"/>
      <x:c r="K581" s="1"/>
      <x:c r="L581" s="1"/>
      <x:c r="M581" s="1"/>
      <x:c r="N581" s="1"/>
    </x:row>
    <x:row r="582" ht="22" customHeight="1">
      <x:c r="A582" s="1" t="n">
        <x:v>566</x:v>
      </x:c>
      <x:c r="B582" s="16" t="n">
        <x:v>0.40421885343336333</x:v>
      </x:c>
      <x:c r="C582" s="16" t="n">
        <x:f>$B$12+$D$12*B582</x:f>
        <x:v>0.005837025780218639</x:v>
      </x:c>
      <x:c r="D582" s="12" t="n">
        <x:f>D581*EXP(C582)</x:f>
        <x:v>126.43061204604685</x:v>
      </x:c>
      <x:c r="E582" s="16" t="n">
        <x:f>ABS(C582)</x:f>
        <x:v>0.005837025780218639</x:v>
      </x:c>
      <x:c r="F582" s="16" t="n">
        <x:f>C582^2</x:f>
        <x:v>0.00003407086995893701</x:v>
      </x:c>
      <x:c r="G582" s="1"/>
      <x:c r="H582" s="1"/>
      <x:c r="I582" s="1"/>
      <x:c r="J582" s="1"/>
      <x:c r="K582" s="1"/>
      <x:c r="L582" s="1"/>
      <x:c r="M582" s="1"/>
      <x:c r="N582" s="1"/>
    </x:row>
    <x:row r="583" ht="22" customHeight="1">
      <x:c r="A583" s="1" t="n">
        <x:v>567</x:v>
      </x:c>
      <x:c r="B583" s="16" t="n">
        <x:v>0.0077456285870340915</x:v>
      </x:c>
      <x:c r="C583" s="16" t="n">
        <x:f>$B$12+$D$12*B583</x:f>
        <x:v>0.0005951241558809722</x:v>
      </x:c>
      <x:c r="D583" s="12" t="n">
        <x:f>D582*EXP(C583)</x:f>
        <x:v>126.50587635089983</x:v>
      </x:c>
      <x:c r="E583" s="16" t="n">
        <x:f>ABS(C583)</x:f>
        <x:v>0.0005951241558809722</x:v>
      </x:c>
      <x:c r="F583" s="16" t="n">
        <x:f>C583^2</x:f>
        <x:v>3.5417276091303974e-7</x:v>
      </x:c>
      <x:c r="G583" s="1"/>
      <x:c r="H583" s="1"/>
      <x:c r="I583" s="1"/>
      <x:c r="J583" s="1"/>
      <x:c r="K583" s="1"/>
      <x:c r="L583" s="1"/>
      <x:c r="M583" s="1"/>
      <x:c r="N583" s="1"/>
    </x:row>
    <x:row r="584" ht="22" customHeight="1">
      <x:c r="A584" s="1" t="n">
        <x:v>568</x:v>
      </x:c>
      <x:c r="B584" s="16" t="n">
        <x:v>0.03700765878794466</x:v>
      </x:c>
      <x:c r="C584" s="16" t="n">
        <x:f>$B$12+$D$12*B584</x:f>
        <x:v>0.0009820069868742218</x:v>
      </x:c>
      <x:c r="D584" s="12" t="n">
        <x:f>D583*EXP(C584)</x:f>
        <x:v>126.63016702252285</x:v>
      </x:c>
      <x:c r="E584" s="16" t="n">
        <x:f>ABS(C584)</x:f>
        <x:v>0.0009820069868742218</x:v>
      </x:c>
      <x:c r="F584" s="16" t="n">
        <x:f>C584^2</x:f>
        <x:v>9.64337722269788e-7</x:v>
      </x:c>
      <x:c r="G584" s="1"/>
      <x:c r="H584" s="1"/>
      <x:c r="I584" s="1"/>
      <x:c r="J584" s="1"/>
      <x:c r="K584" s="1"/>
      <x:c r="L584" s="1"/>
      <x:c r="M584" s="1"/>
      <x:c r="N584" s="1"/>
    </x:row>
    <x:row r="585" ht="22" customHeight="1">
      <x:c r="A585" s="1" t="n">
        <x:v>569</x:v>
      </x:c>
      <x:c r="B585" s="16" t="n">
        <x:v>-0.06883043999708399</x:v>
      </x:c>
      <x:c r="C585" s="16" t="n">
        <x:f>$B$12+$D$12*B585</x:f>
        <x:v>-0.0004173129852451734</x:v>
      </x:c>
      <x:c r="D585" s="12" t="n">
        <x:f>D584*EXP(C585)</x:f>
        <x:v>126.5773336342968</x:v>
      </x:c>
      <x:c r="E585" s="16" t="n">
        <x:f>ABS(C585)</x:f>
        <x:v>0.0004173129852451734</x:v>
      </x:c>
      <x:c r="F585" s="16" t="n">
        <x:f>C585^2</x:f>
        <x:v>1.7415012765423831e-7</x:v>
      </x:c>
      <x:c r="G585" s="1"/>
      <x:c r="H585" s="1"/>
      <x:c r="I585" s="1"/>
      <x:c r="J585" s="1"/>
      <x:c r="K585" s="1"/>
      <x:c r="L585" s="1"/>
      <x:c r="M585" s="1"/>
      <x:c r="N585" s="1"/>
    </x:row>
    <x:row r="586" ht="22" customHeight="1">
      <x:c r="A586" s="1" t="n">
        <x:v>570</x:v>
      </x:c>
      <x:c r="B586" s="16" t="n">
        <x:v>1.8554680781124269</x:v>
      </x:c>
      <x:c r="C586" s="16" t="n">
        <x:f>$B$12+$D$12*B586</x:f>
        <x:v>0.025024464405140938</x:v>
      </x:c>
      <x:c r="D586" s="12" t="n">
        <x:f>D585*EXP(C586)</x:f>
        <x:v>129.78482916071337</x:v>
      </x:c>
      <x:c r="E586" s="16" t="n">
        <x:f>ABS(C586)</x:f>
        <x:v>0.025024464405140938</x:v>
      </x:c>
      <x:c r="F586" s="16" t="n">
        <x:f>C586^2</x:f>
        <x:v>0.0006262238187641658</x:v>
      </x:c>
      <x:c r="G586" s="1"/>
      <x:c r="H586" s="1"/>
      <x:c r="I586" s="1"/>
      <x:c r="J586" s="1"/>
      <x:c r="K586" s="1"/>
      <x:c r="L586" s="1"/>
      <x:c r="M586" s="1"/>
      <x:c r="N586" s="1"/>
    </x:row>
    <x:row r="587" ht="22" customHeight="1">
      <x:c r="A587" s="1" t="n">
        <x:v>571</x:v>
      </x:c>
      <x:c r="B587" s="16" t="n">
        <x:v>-0.058046617082244</x:v>
      </x:c>
      <x:c r="C587" s="16" t="n">
        <x:f>$B$12+$D$12*B587</x:f>
        <x:v>-0.00027473655054197413</x:v>
      </x:c>
      <x:c r="D587" s="12" t="n">
        <x:f>D586*EXP(C587)</x:f>
        <x:v>129.74917742207919</x:v>
      </x:c>
      <x:c r="E587" s="16" t="n">
        <x:f>ABS(C587)</x:f>
        <x:v>0.00027473655054197413</x:v>
      </x:c>
      <x:c r="F587" s="16" t="n">
        <x:f>C587^2</x:f>
        <x:v>7.54801722037027e-8</x:v>
      </x:c>
      <x:c r="G587" s="1"/>
      <x:c r="H587" s="1"/>
      <x:c r="I587" s="1"/>
      <x:c r="J587" s="1"/>
      <x:c r="K587" s="1"/>
      <x:c r="L587" s="1"/>
      <x:c r="M587" s="1"/>
      <x:c r="N587" s="1"/>
    </x:row>
    <x:row r="588" ht="22" customHeight="1">
      <x:c r="A588" s="1" t="n">
        <x:v>572</x:v>
      </x:c>
      <x:c r="B588" s="16" t="n">
        <x:v>-0.38387581988694486</x:v>
      </x:c>
      <x:c r="C588" s="16" t="n">
        <x:f>$B$12+$D$12*B588</x:f>
        <x:v>-0.004582630552969516</x:v>
      </x:c>
      <x:c r="D588" s="12" t="n">
        <x:f>D587*EXP(C588)</x:f>
        <x:v>129.15594519764136</x:v>
      </x:c>
      <x:c r="E588" s="16" t="n">
        <x:f>ABS(C588)</x:f>
        <x:v>0.004582630552969516</x:v>
      </x:c>
      <x:c r="F588" s="16" t="n">
        <x:f>C588^2</x:f>
        <x:v>0.000021000502785009697</x:v>
      </x:c>
      <x:c r="G588" s="1"/>
      <x:c r="H588" s="1"/>
      <x:c r="I588" s="1"/>
      <x:c r="J588" s="1"/>
      <x:c r="K588" s="1"/>
      <x:c r="L588" s="1"/>
      <x:c r="M588" s="1"/>
      <x:c r="N588" s="1"/>
    </x:row>
    <x:row r="589" ht="22" customHeight="1">
      <x:c r="A589" s="1" t="n">
        <x:v>573</x:v>
      </x:c>
      <x:c r="B589" s="16" t="n">
        <x:v>1.155241816476231</x:v>
      </x:c>
      <x:c r="C589" s="16" t="n">
        <x:f>$B$12+$D$12*B589</x:f>
        <x:v>0.01576654495875881</x:v>
      </x:c>
      <x:c r="D589" s="12" t="n">
        <x:f>D588*EXP(C589)</x:f>
        <x:v>131.20842596177656</x:v>
      </x:c>
      <x:c r="E589" s="16" t="n">
        <x:f>ABS(C589)</x:f>
        <x:v>0.01576654495875881</x:v>
      </x:c>
      <x:c r="F589" s="16" t="n">
        <x:f>C589^2</x:f>
        <x:v>0.0002485839399365628</x:v>
      </x:c>
      <x:c r="G589" s="1"/>
      <x:c r="H589" s="1"/>
      <x:c r="I589" s="1"/>
      <x:c r="J589" s="1"/>
      <x:c r="K589" s="1"/>
      <x:c r="L589" s="1"/>
      <x:c r="M589" s="1"/>
      <x:c r="N589" s="1"/>
    </x:row>
    <x:row r="590" ht="22" customHeight="1">
      <x:c r="A590" s="1" t="n">
        <x:v>574</x:v>
      </x:c>
      <x:c r="B590" s="16" t="n">
        <x:v>-1.4770527929423585</x:v>
      </x:c>
      <x:c r="C590" s="16" t="n">
        <x:f>$B$12+$D$12*B590</x:f>
        <x:v>-0.01903587932649955</x:v>
      </x:c>
      <x:c r="D590" s="12" t="n">
        <x:f>D589*EXP(C590)</x:f>
        <x:v>128.7343807203182</x:v>
      </x:c>
      <x:c r="E590" s="16" t="n">
        <x:f>ABS(C590)</x:f>
        <x:v>0.01903587932649955</x:v>
      </x:c>
      <x:c r="F590" s="16" t="n">
        <x:f>C590^2</x:f>
        <x:v>0.000362364701733053</x:v>
      </x:c>
      <x:c r="G590" s="1"/>
      <x:c r="H590" s="1"/>
      <x:c r="I590" s="1"/>
      <x:c r="J590" s="1"/>
      <x:c r="K590" s="1"/>
      <x:c r="L590" s="1"/>
      <x:c r="M590" s="1"/>
      <x:c r="N590" s="1"/>
    </x:row>
    <x:row r="591" ht="22" customHeight="1">
      <x:c r="A591" s="1" t="n">
        <x:v>575</x:v>
      </x:c>
      <x:c r="B591" s="16" t="n">
        <x:v>-0.11437398696128674</x:v>
      </x:c>
      <x:c r="C591" s="16" t="n">
        <x:f>$B$12+$D$12*B591</x:f>
        <x:v>-0.0010194590517349986</x:v>
      </x:c>
      <x:c r="D591" s="12" t="n">
        <x:f>D590*EXP(C591)</x:f>
        <x:v>128.60320816450866</x:v>
      </x:c>
      <x:c r="E591" s="16" t="n">
        <x:f>ABS(C591)</x:f>
        <x:v>0.0010194590517349986</x:v>
      </x:c>
      <x:c r="F591" s="16" t="n">
        <x:f>C591^2</x:f>
        <x:v>0.0000010392967581644225</x:v>
      </x:c>
      <x:c r="G591" s="1"/>
      <x:c r="H591" s="1"/>
      <x:c r="I591" s="1"/>
      <x:c r="J591" s="1"/>
      <x:c r="K591" s="1"/>
      <x:c r="L591" s="1"/>
      <x:c r="M591" s="1"/>
      <x:c r="N591" s="1"/>
    </x:row>
    <x:row r="592" ht="22" customHeight="1">
      <x:c r="A592" s="1" t="n">
        <x:v>576</x:v>
      </x:c>
      <x:c r="B592" s="16" t="n">
        <x:v>0.017895093832158485</x:v>
      </x:c>
      <x:c r="C592" s="16" t="n">
        <x:f>$B$12+$D$12*B592</x:f>
        <x:v>0.0007293135412428645</x:v>
      </x:c>
      <x:c r="D592" s="12" t="n">
        <x:f>D591*EXP(C592)</x:f>
        <x:v>128.6970344358966</x:v>
      </x:c>
      <x:c r="E592" s="16" t="n">
        <x:f>ABS(C592)</x:f>
        <x:v>0.0007293135412428645</x:v>
      </x:c>
      <x:c r="F592" s="16" t="n">
        <x:f>C592^2</x:f>
        <x:v>5.318982414402075e-7</x:v>
      </x:c>
      <x:c r="G592" s="1"/>
      <x:c r="H592" s="1"/>
      <x:c r="I592" s="1"/>
      <x:c r="J592" s="1"/>
      <x:c r="K592" s="1"/>
      <x:c r="L592" s="1"/>
      <x:c r="M592" s="1"/>
      <x:c r="N592" s="1"/>
    </x:row>
    <x:row r="593" ht="22" customHeight="1">
      <x:c r="A593" s="1" t="n">
        <x:v>577</x:v>
      </x:c>
      <x:c r="B593" s="16" t="n">
        <x:v>-0.6638076724917001</x:v>
      </x:c>
      <x:c r="C593" s="16" t="n">
        <x:f>$B$12+$D$12*B593</x:f>
        <x:v>-0.008283700741105085</x:v>
      </x:c>
      <x:c r="D593" s="12" t="n">
        <x:f>D592*EXP(C593)</x:f>
        <x:v>127.63535012494975</x:v>
      </x:c>
      <x:c r="E593" s="16" t="n">
        <x:f>ABS(C593)</x:f>
        <x:v>0.008283700741105085</x:v>
      </x:c>
      <x:c r="F593" s="16" t="n">
        <x:f>C593^2</x:f>
        <x:v>0.00006861969796818493</x:v>
      </x:c>
      <x:c r="G593" s="1"/>
      <x:c r="H593" s="1"/>
      <x:c r="I593" s="1"/>
      <x:c r="J593" s="1"/>
      <x:c r="K593" s="1"/>
      <x:c r="L593" s="1"/>
      <x:c r="M593" s="1"/>
      <x:c r="N593" s="1"/>
    </x:row>
    <x:row r="594" ht="22" customHeight="1">
      <x:c r="A594" s="1" t="n">
        <x:v>578</x:v>
      </x:c>
      <x:c r="B594" s="16" t="n">
        <x:v>-1.5198957730243787</x:v>
      </x:c>
      <x:c r="C594" s="16" t="n">
        <x:f>$B$12+$D$12*B594</x:f>
        <x:v>-0.019602320318751813</x:v>
      </x:c>
      <x:c r="D594" s="12" t="n">
        <x:f>D593*EXP(C594)</x:f>
        <x:v>125.15776366359457</x:v>
      </x:c>
      <x:c r="E594" s="16" t="n">
        <x:f>ABS(C594)</x:f>
        <x:v>0.019602320318751813</x:v>
      </x:c>
      <x:c r="F594" s="16" t="n">
        <x:f>C594^2</x:f>
        <x:v>0.0003842509618789502</x:v>
      </x:c>
      <x:c r="G594" s="1"/>
      <x:c r="H594" s="1"/>
      <x:c r="I594" s="1"/>
      <x:c r="J594" s="1"/>
      <x:c r="K594" s="1"/>
      <x:c r="L594" s="1"/>
      <x:c r="M594" s="1"/>
      <x:c r="N594" s="1"/>
    </x:row>
    <x:row r="595" ht="22" customHeight="1">
      <x:c r="A595" s="1" t="n">
        <x:v>579</x:v>
      </x:c>
      <x:c r="B595" s="16" t="n">
        <x:v>2.4837655620670613</x:v>
      </x:c>
      <x:c r="C595" s="16" t="n">
        <x:f>$B$12+$D$12*B595</x:f>
        <x:v>0.03333139005689359</x:v>
      </x:c>
      <x:c r="D595" s="12" t="n">
        <x:f>D594*EXP(C595)</x:f>
        <x:v>129.39974881034968</x:v>
      </x:c>
      <x:c r="E595" s="16" t="n">
        <x:f>ABS(C595)</x:f>
        <x:v>0.03333139005689359</x:v>
      </x:c>
      <x:c r="F595" s="16" t="n">
        <x:f>C595^2</x:f>
        <x:v>0.001110981563124785</x:v>
      </x:c>
      <x:c r="G595" s="1"/>
      <x:c r="H595" s="1"/>
      <x:c r="I595" s="1"/>
      <x:c r="J595" s="1"/>
      <x:c r="K595" s="1"/>
      <x:c r="L595" s="1"/>
      <x:c r="M595" s="1"/>
      <x:c r="N595" s="1"/>
    </x:row>
    <x:row r="596" ht="22" customHeight="1">
      <x:c r="A596" s="1" t="n">
        <x:v>580</x:v>
      </x:c>
      <x:c r="B596" s="16" t="n">
        <x:v>1.1518453857895963</x:v>
      </x:c>
      <x:c r="C596" s="16" t="n">
        <x:f>$B$12+$D$12*B596</x:f>
        <x:v>0.015721639642542005</x:v>
      </x:c>
      <x:c r="D596" s="12" t="n">
        <x:f>D595*EXP(C596)</x:f>
        <x:v>131.4502010324438</x:v>
      </x:c>
      <x:c r="E596" s="16" t="n">
        <x:f>ABS(C596)</x:f>
        <x:v>0.015721639642542005</x:v>
      </x:c>
      <x:c r="F596" s="16" t="n">
        <x:f>C596^2</x:f>
        <x:v>0.0002471699530499483</x:v>
      </x:c>
      <x:c r="G596" s="1"/>
      <x:c r="H596" s="1"/>
      <x:c r="I596" s="1"/>
      <x:c r="J596" s="1"/>
      <x:c r="K596" s="1"/>
      <x:c r="L596" s="1"/>
      <x:c r="M596" s="1"/>
      <x:c r="N596" s="1"/>
    </x:row>
    <x:row r="597" ht="22" customHeight="1">
      <x:c r="A597" s="1" t="n">
        <x:v>581</x:v>
      </x:c>
      <x:c r="B597" s="16" t="n">
        <x:v>1.0233009948594505</x:v>
      </x:c>
      <x:c r="C597" s="16" t="n">
        <x:f>$B$12+$D$12*B597</x:f>
        <x:v>0.01402211238725914</x:v>
      </x:c>
      <x:c r="D597" s="12" t="n">
        <x:f>D596*EXP(C597)</x:f>
        <x:v>133.3063939841738</x:v>
      </x:c>
      <x:c r="E597" s="16" t="n">
        <x:f>ABS(C597)</x:f>
        <x:v>0.01402211238725914</x:v>
      </x:c>
      <x:c r="F597" s="16" t="n">
        <x:f>C597^2</x:f>
        <x:v>0.0001966196358009262</x:v>
      </x:c>
      <x:c r="G597" s="1"/>
      <x:c r="H597" s="1"/>
      <x:c r="I597" s="1"/>
      <x:c r="J597" s="1"/>
      <x:c r="K597" s="1"/>
      <x:c r="L597" s="1"/>
      <x:c r="M597" s="1"/>
      <x:c r="N597" s="1"/>
    </x:row>
    <x:row r="598" ht="22" customHeight="1">
      <x:c r="A598" s="1" t="n">
        <x:v>582</x:v>
      </x:c>
      <x:c r="B598" s="16" t="n">
        <x:v>1.1343976940674392</x:v>
      </x:c>
      <x:c r="C598" s="16" t="n">
        <x:f>$B$12+$D$12*B598</x:f>
        <x:v>0.015490958028128402</x:v>
      </x:c>
      <x:c r="D598" s="12" t="n">
        <x:f>D597*EXP(C598)</x:f>
        <x:v>135.38751540352197</x:v>
      </x:c>
      <x:c r="E598" s="16" t="n">
        <x:f>ABS(C598)</x:f>
        <x:v>0.015490958028128402</x:v>
      </x:c>
      <x:c r="F598" s="16" t="n">
        <x:f>C598^2</x:f>
        <x:v>0.00023996978062923576</x:v>
      </x:c>
      <x:c r="G598" s="1"/>
      <x:c r="H598" s="1"/>
      <x:c r="I598" s="1"/>
      <x:c r="J598" s="1"/>
      <x:c r="K598" s="1"/>
      <x:c r="L598" s="1"/>
      <x:c r="M598" s="1"/>
      <x:c r="N598" s="1"/>
    </x:row>
    <x:row r="599" ht="22" customHeight="1">
      <x:c r="A599" s="1" t="n">
        <x:v>583</x:v>
      </x:c>
      <x:c r="B599" s="16" t="n">
        <x:v>-0.41645598302412284</x:v>
      </x:c>
      <x:c r="C599" s="16" t="n">
        <x:f>$B$12+$D$12*B599</x:f>
        <x:v>-0.0050133835001228925</x:v>
      </x:c>
      <x:c r="D599" s="12" t="n">
        <x:f>D598*EXP(C599)</x:f>
        <x:v>134.71046444381383</x:v>
      </x:c>
      <x:c r="E599" s="16" t="n">
        <x:f>ABS(C599)</x:f>
        <x:v>0.0050133835001228925</x:v>
      </x:c>
      <x:c r="F599" s="16" t="n">
        <x:f>C599^2</x:f>
        <x:v>0.000025134014119304464</x:v>
      </x:c>
      <x:c r="G599" s="1"/>
      <x:c r="H599" s="1"/>
      <x:c r="I599" s="1"/>
      <x:c r="J599" s="1"/>
      <x:c r="K599" s="1"/>
      <x:c r="L599" s="1"/>
      <x:c r="M599" s="1"/>
      <x:c r="N599" s="1"/>
    </x:row>
    <x:row r="600" ht="22" customHeight="1">
      <x:c r="A600" s="1" t="n">
        <x:v>584</x:v>
      </x:c>
      <x:c r="B600" s="16" t="n">
        <x:v>-0.3921964700572913</x:v>
      </x:c>
      <x:c r="C600" s="16" t="n">
        <x:f>$B$12+$D$12*B600</x:f>
        <x:v>-0.004692640578641212</x:v>
      </x:c>
      <x:c r="D600" s="12" t="n">
        <x:f>D599*EXP(C600)</x:f>
        <x:v>134.0797975558316</x:v>
      </x:c>
      <x:c r="E600" s="16" t="n">
        <x:f>ABS(C600)</x:f>
        <x:v>0.004692640578641212</x:v>
      </x:c>
      <x:c r="F600" s="16" t="n">
        <x:f>C600^2</x:f>
        <x:v>0.00002202087560031013</x:v>
      </x:c>
      <x:c r="G600" s="1"/>
      <x:c r="H600" s="1"/>
      <x:c r="I600" s="1"/>
      <x:c r="J600" s="1"/>
      <x:c r="K600" s="1"/>
      <x:c r="L600" s="1"/>
      <x:c r="M600" s="1"/>
      <x:c r="N600" s="1"/>
    </x:row>
    <x:row r="601" ht="22" customHeight="1">
      <x:c r="A601" s="1" t="n">
        <x:v>585</x:v>
      </x:c>
      <x:c r="B601" s="16" t="n">
        <x:v>-0.400938111632545</x:v>
      </x:c>
      <x:c r="C601" s="16" t="n">
        <x:f>$B$12+$D$12*B601</x:f>
        <x:v>-0.004808216668780617</x:v>
      </x:c>
      <x:c r="D601" s="12" t="n">
        <x:f>D600*EXP(C601)</x:f>
        <x:v>133.43666024909052</x:v>
      </x:c>
      <x:c r="E601" s="16" t="n">
        <x:f>ABS(C601)</x:f>
        <x:v>0.004808216668780617</x:v>
      </x:c>
      <x:c r="F601" s="16" t="n">
        <x:f>C601^2</x:f>
        <x:v>0.000023118947533939776</x:v>
      </x:c>
      <x:c r="G601" s="1"/>
      <x:c r="H601" s="1"/>
      <x:c r="I601" s="1"/>
      <x:c r="J601" s="1"/>
      <x:c r="K601" s="1"/>
      <x:c r="L601" s="1"/>
      <x:c r="M601" s="1"/>
      <x:c r="N601" s="1"/>
    </x:row>
    <x:row r="602" ht="22" customHeight="1">
      <x:c r="A602" s="1" t="n">
        <x:v>586</x:v>
      </x:c>
      <x:c r="B602" s="16" t="n">
        <x:v>-1.101914759322938</x:v>
      </x:c>
      <x:c r="C602" s="16" t="n">
        <x:f>$B$12+$D$12*B602</x:f>
        <x:v>-0.014076057213562018</x:v>
      </x:c>
      <x:c r="D602" s="12" t="n">
        <x:f>D601*EXP(C602)</x:f>
        <x:v>131.5715556397994</x:v>
      </x:c>
      <x:c r="E602" s="16" t="n">
        <x:f>ABS(C602)</x:f>
        <x:v>0.014076057213562018</x:v>
      </x:c>
      <x:c r="F602" s="16" t="n">
        <x:f>C602^2</x:f>
        <x:v>0.00019813538667947132</x:v>
      </x:c>
      <x:c r="G602" s="1"/>
      <x:c r="H602" s="1"/>
      <x:c r="I602" s="1"/>
      <x:c r="J602" s="1"/>
      <x:c r="K602" s="1"/>
      <x:c r="L602" s="1"/>
      <x:c r="M602" s="1"/>
      <x:c r="N602" s="1"/>
    </x:row>
    <x:row r="603" ht="22" customHeight="1">
      <x:c r="A603" s="1" t="n">
        <x:v>587</x:v>
      </x:c>
      <x:c r="B603" s="16" t="n">
        <x:v>-0.4765837219760305</x:v>
      </x:c>
      <x:c r="C603" s="16" t="n">
        <x:f>$B$12+$D$12*B603</x:f>
        <x:v>-0.00580835191848688</x:v>
      </x:c>
      <x:c r="D603" s="12" t="n">
        <x:f>D602*EXP(C603)</x:f>
        <x:v>130.80955686300103</x:v>
      </x:c>
      <x:c r="E603" s="16" t="n">
        <x:f>ABS(C603)</x:f>
        <x:v>0.00580835191848688</x:v>
      </x:c>
      <x:c r="F603" s="16" t="n">
        <x:f>C603^2</x:f>
        <x:v>0.00003373695200899022</x:v>
      </x:c>
      <x:c r="G603" s="1"/>
      <x:c r="H603" s="1"/>
      <x:c r="I603" s="1"/>
      <x:c r="J603" s="1"/>
      <x:c r="K603" s="1"/>
      <x:c r="L603" s="1"/>
      <x:c r="M603" s="1"/>
      <x:c r="N603" s="1"/>
    </x:row>
    <x:row r="604" ht="22" customHeight="1">
      <x:c r="A604" s="1" t="n">
        <x:v>588</x:v>
      </x:c>
      <x:c r="B604" s="16" t="n">
        <x:v>0.03691166253741223</x:v>
      </x:c>
      <x:c r="C604" s="16" t="n">
        <x:f>$B$12+$D$12*B604</x:f>
        <x:v>0.0009807377891830249</x:v>
      </x:c>
      <x:c r="D604" s="12" t="n">
        <x:f>D603*EXP(C604)</x:f>
        <x:v>130.93790966853828</x:v>
      </x:c>
      <x:c r="E604" s="16" t="n">
        <x:f>ABS(C604)</x:f>
        <x:v>0.0009807377891830249</x:v>
      </x:c>
      <x:c r="F604" s="16" t="n">
        <x:f>C604^2</x:f>
        <x:v>9.618466111316074e-7</x:v>
      </x:c>
      <x:c r="G604" s="1"/>
      <x:c r="H604" s="1"/>
      <x:c r="I604" s="1"/>
      <x:c r="J604" s="1"/>
      <x:c r="K604" s="1"/>
      <x:c r="L604" s="1"/>
      <x:c r="M604" s="1"/>
      <x:c r="N604" s="1"/>
    </x:row>
    <x:row r="605" ht="22" customHeight="1">
      <x:c r="A605" s="1" t="n">
        <x:v>589</x:v>
      </x:c>
      <x:c r="B605" s="16" t="n">
        <x:v>0.9752393115551755</x:v>
      </x:c>
      <x:c r="C605" s="16" t="n">
        <x:f>$B$12+$D$12*B605</x:f>
        <x:v>0.01338667322014078</x:v>
      </x:c>
      <x:c r="D605" s="12" t="n">
        <x:f>D604*EXP(C605)</x:f>
        <x:v>132.7025174393527</x:v>
      </x:c>
      <x:c r="E605" s="16" t="n">
        <x:f>ABS(C605)</x:f>
        <x:v>0.01338667322014078</x:v>
      </x:c>
      <x:c r="F605" s="16" t="n">
        <x:f>C605^2</x:f>
        <x:v>0.00017920301990283433</x:v>
      </x:c>
      <x:c r="G605" s="1"/>
      <x:c r="H605" s="1"/>
      <x:c r="I605" s="1"/>
      <x:c r="J605" s="1"/>
      <x:c r="K605" s="1"/>
      <x:c r="L605" s="1"/>
      <x:c r="M605" s="1"/>
      <x:c r="N605" s="1"/>
    </x:row>
    <x:row r="606" ht="22" customHeight="1">
      <x:c r="A606" s="1" t="n">
        <x:v>590</x:v>
      </x:c>
      <x:c r="B606" s="16" t="n">
        <x:v>-0.7022874666752086</x:v>
      </x:c>
      <x:c r="C606" s="16" t="n">
        <x:f>$B$12+$D$12*B606</x:f>
        <x:v>-0.008792454631643071</x:v>
      </x:c>
      <x:c r="D606" s="12" t="n">
        <x:f>D605*EXP(C606)</x:f>
        <x:v>131.54085100871754</x:v>
      </x:c>
      <x:c r="E606" s="16" t="n">
        <x:f>ABS(C606)</x:f>
        <x:v>0.008792454631643071</x:v>
      </x:c>
      <x:c r="F606" s="16" t="n">
        <x:f>C606^2</x:f>
        <x:v>0.00007730725844950169</x:v>
      </x:c>
      <x:c r="G606" s="1"/>
      <x:c r="H606" s="1"/>
      <x:c r="I606" s="1"/>
      <x:c r="J606" s="1"/>
      <x:c r="K606" s="1"/>
      <x:c r="L606" s="1"/>
      <x:c r="M606" s="1"/>
      <x:c r="N606" s="1"/>
    </x:row>
    <x:row r="607" ht="22" customHeight="1">
      <x:c r="A607" s="1" t="n">
        <x:v>591</x:v>
      </x:c>
      <x:c r="B607" s="16" t="n">
        <x:v>1.4284846901241055</x:v>
      </x:c>
      <x:c r="C607" s="16" t="n">
        <x:f>$B$12+$D$12*B607</x:f>
        <x:v>0.019379177977719018</x:v>
      </x:c>
      <x:c r="D607" s="12" t="n">
        <x:f>D606*EXP(C607)</x:f>
        <x:v>134.1148651549262</x:v>
      </x:c>
      <x:c r="E607" s="16" t="n">
        <x:f>ABS(C607)</x:f>
        <x:v>0.019379177977719018</x:v>
      </x:c>
      <x:c r="F607" s="16" t="n">
        <x:f>C607^2</x:f>
        <x:v>0.00037555253909210974</x:v>
      </x:c>
      <x:c r="G607" s="1"/>
      <x:c r="H607" s="1"/>
      <x:c r="I607" s="1"/>
      <x:c r="J607" s="1"/>
      <x:c r="K607" s="1"/>
      <x:c r="L607" s="1"/>
      <x:c r="M607" s="1"/>
      <x:c r="N607" s="1"/>
    </x:row>
    <x:row r="608" ht="22" customHeight="1">
      <x:c r="A608" s="1" t="n">
        <x:v>592</x:v>
      </x:c>
      <x:c r="B608" s="16" t="n">
        <x:v>1.5420794536295708</x:v>
      </x:c>
      <x:c r="C608" s="16" t="n">
        <x:f>$B$12+$D$12*B608</x:f>
        <x:v>0.020881051340204834</x:v>
      </x:c>
      <x:c r="D608" s="12" t="n">
        <x:f>D607*EXP(C608)</x:f>
        <x:v>136.9447673832187</x:v>
      </x:c>
      <x:c r="E608" s="16" t="n">
        <x:f>ABS(C608)</x:f>
        <x:v>0.020881051340204834</x:v>
      </x:c>
      <x:c r="F608" s="16" t="n">
        <x:f>C608^2</x:f>
        <x:v>0.0004360183050722701</x:v>
      </x:c>
      <x:c r="G608" s="1"/>
      <x:c r="H608" s="1"/>
      <x:c r="I608" s="1"/>
      <x:c r="J608" s="1"/>
      <x:c r="K608" s="1"/>
      <x:c r="L608" s="1"/>
      <x:c r="M608" s="1"/>
      <x:c r="N608" s="1"/>
    </x:row>
    <x:row r="609" ht="22" customHeight="1">
      <x:c r="A609" s="1" t="n">
        <x:v>593</x:v>
      </x:c>
      <x:c r="B609" s="16" t="n">
        <x:v>-1.6044057840190897</x:v>
      </x:c>
      <x:c r="C609" s="16" t="n">
        <x:f>$B$12+$D$12*B609</x:f>
        <x:v>-0.020719654696319607</x:v>
      </x:c>
      <x:c r="D609" s="12" t="n">
        <x:f>D608*EXP(C609)</x:f>
        <x:v>134.1365125909221</x:v>
      </x:c>
      <x:c r="E609" s="16" t="n">
        <x:f>ABS(C609)</x:f>
        <x:v>0.020719654696319607</x:v>
      </x:c>
      <x:c r="F609" s="16" t="n">
        <x:f>C609^2</x:f>
        <x:v>0.00042930409073471914</x:v>
      </x:c>
      <x:c r="G609" s="1"/>
      <x:c r="H609" s="1"/>
      <x:c r="I609" s="1"/>
      <x:c r="J609" s="1"/>
      <x:c r="K609" s="1"/>
      <x:c r="L609" s="1"/>
      <x:c r="M609" s="1"/>
      <x:c r="N609" s="1"/>
    </x:row>
    <x:row r="610" ht="22" customHeight="1">
      <x:c r="A610" s="1" t="n">
        <x:v>594</x:v>
      </x:c>
      <x:c r="B610" s="16" t="n">
        <x:v>-0.3334053662282859</x:v>
      </x:c>
      <x:c r="C610" s="16" t="n">
        <x:f>$B$12+$D$12*B610</x:f>
        <x:v>-0.0039153442485364105</x:v>
      </x:c>
      <x:c r="D610" s="12" t="n">
        <x:f>D609*EXP(C610)</x:f>
        <x:v>133.6123487783306</x:v>
      </x:c>
      <x:c r="E610" s="16" t="n">
        <x:f>ABS(C610)</x:f>
        <x:v>0.0039153442485364105</x:v>
      </x:c>
      <x:c r="F610" s="16" t="n">
        <x:f>C610^2</x:f>
        <x:v>0.00001532992058454715</x:v>
      </x:c>
      <x:c r="G610" s="1"/>
      <x:c r="H610" s="1"/>
      <x:c r="I610" s="1"/>
      <x:c r="J610" s="1"/>
      <x:c r="K610" s="1"/>
      <x:c r="L610" s="1"/>
      <x:c r="M610" s="1"/>
      <x:c r="N610" s="1"/>
    </x:row>
    <x:row r="611" ht="22" customHeight="1">
      <x:c r="A611" s="1" t="n">
        <x:v>595</x:v>
      </x:c>
      <x:c r="B611" s="16" t="n">
        <x:v>-0.953184974258439</x:v>
      </x:c>
      <x:c r="C611" s="16" t="n">
        <x:f>$B$12+$D$12*B611</x:f>
        <x:v>-0.012109652288691826</x:v>
      </x:c>
      <x:c r="D611" s="12" t="n">
        <x:f>D610*EXP(C611)</x:f>
        <x:v>132.0041069708518</x:v>
      </x:c>
      <x:c r="E611" s="16" t="n">
        <x:f>ABS(C611)</x:f>
        <x:v>0.012109652288691826</x:v>
      </x:c>
      <x:c r="F611" s="16" t="n">
        <x:f>C611^2</x:f>
        <x:v>0.00014664367855301918</x:v>
      </x:c>
      <x:c r="G611" s="1"/>
      <x:c r="H611" s="1"/>
      <x:c r="I611" s="1"/>
      <x:c r="J611" s="1"/>
      <x:c r="K611" s="1"/>
      <x:c r="L611" s="1"/>
      <x:c r="M611" s="1"/>
      <x:c r="N611" s="1"/>
    </x:row>
    <x:row r="612" ht="22" customHeight="1">
      <x:c r="A612" s="1" t="n">
        <x:v>596</x:v>
      </x:c>
      <x:c r="B612" s="16" t="n">
        <x:v>-0.3309020012945237</x:v>
      </x:c>
      <x:c r="C612" s="16" t="n">
        <x:f>$B$12+$D$12*B612</x:f>
        <x:v>-0.003882246445481275</x:v>
      </x:c>
      <x:c r="D612" s="12" t="n">
        <x:f>D611*EXP(C612)</x:f>
        <x:v>131.49262798192916</x:v>
      </x:c>
      <x:c r="E612" s="16" t="n">
        <x:f>ABS(C612)</x:f>
        <x:v>0.003882246445481275</x:v>
      </x:c>
      <x:c r="F612" s="16" t="n">
        <x:f>C612^2</x:f>
        <x:v>0.000015071837463451993</x:v>
      </x:c>
      <x:c r="G612" s="1"/>
      <x:c r="H612" s="1"/>
      <x:c r="I612" s="1"/>
      <x:c r="J612" s="1"/>
      <x:c r="K612" s="1"/>
      <x:c r="L612" s="1"/>
      <x:c r="M612" s="1"/>
      <x:c r="N612" s="1"/>
    </x:row>
    <x:row r="613" ht="22" customHeight="1">
      <x:c r="A613" s="1" t="n">
        <x:v>597</x:v>
      </x:c>
      <x:c r="B613" s="16" t="n">
        <x:v>-1.393156121053476</x:v>
      </x:c>
      <x:c r="C613" s="16" t="n">
        <x:f>$B$12+$D$12*B613</x:f>
        <x:v>-0.01792665410499484</x:v>
      </x:c>
      <x:c r="D613" s="12" t="n">
        <x:f>D612*EXP(C613)</x:f>
        <x:v>129.15640799117958</x:v>
      </x:c>
      <x:c r="E613" s="16" t="n">
        <x:f>ABS(C613)</x:f>
        <x:v>0.01792665410499484</x:v>
      </x:c>
      <x:c r="F613" s="16" t="n">
        <x:f>C613^2</x:f>
        <x:v>0.00032136492740012835</x:v>
      </x:c>
      <x:c r="G613" s="1"/>
      <x:c r="H613" s="1"/>
      <x:c r="I613" s="1"/>
      <x:c r="J613" s="1"/>
      <x:c r="K613" s="1"/>
      <x:c r="L613" s="1"/>
      <x:c r="M613" s="1"/>
      <x:c r="N613" s="1"/>
    </x:row>
    <x:row r="614" ht="22" customHeight="1">
      <x:c r="A614" s="1" t="n">
        <x:v>598</x:v>
      </x:c>
      <x:c r="B614" s="16" t="n">
        <x:v>-0.30702204180932235</x:v>
      </x:c>
      <x:c r="C614" s="16" t="n">
        <x:f>$B$12+$D$12*B614</x:f>
        <x:v>-0.003566521724188652</x:v>
      </x:c>
      <x:c r="D614" s="12" t="n">
        <x:f>D613*EXP(C614)</x:f>
        <x:v>128.69658932031092</x:v>
      </x:c>
      <x:c r="E614" s="16" t="n">
        <x:f>ABS(C614)</x:f>
        <x:v>0.003566521724188652</x:v>
      </x:c>
      <x:c r="F614" s="16" t="n">
        <x:f>C614^2</x:f>
        <x:v>0.000012720077209109596</x:v>
      </x:c>
      <x:c r="G614" s="1"/>
      <x:c r="H614" s="1"/>
      <x:c r="I614" s="1"/>
      <x:c r="J614" s="1"/>
      <x:c r="K614" s="1"/>
      <x:c r="L614" s="1"/>
      <x:c r="M614" s="1"/>
      <x:c r="N614" s="1"/>
    </x:row>
    <x:row r="615" ht="22" customHeight="1">
      <x:c r="A615" s="1" t="n">
        <x:v>599</x:v>
      </x:c>
      <x:c r="B615" s="16" t="n">
        <x:v>-0.9351258346765333</x:v>
      </x:c>
      <x:c r="C615" s="16" t="n">
        <x:f>$B$12+$D$12*B615</x:f>
        <x:v>-0.011870886522995484</x:v>
      </x:c>
      <x:c r="D615" s="12" t="n">
        <x:f>D614*EXP(C615)</x:f>
        <x:v>127.17787876733333</x:v>
      </x:c>
      <x:c r="E615" s="16" t="n">
        <x:f>ABS(C615)</x:f>
        <x:v>0.011870886522995484</x:v>
      </x:c>
      <x:c r="F615" s="16" t="n">
        <x:f>C615^2</x:f>
        <x:v>0.00014091794684183582</x:v>
      </x:c>
      <x:c r="G615" s="1"/>
      <x:c r="H615" s="1"/>
      <x:c r="I615" s="1"/>
      <x:c r="J615" s="1"/>
      <x:c r="K615" s="1"/>
      <x:c r="L615" s="1"/>
      <x:c r="M615" s="1"/>
      <x:c r="N615" s="1"/>
    </x:row>
    <x:row r="616" ht="22" customHeight="1">
      <x:c r="A616" s="1" t="n">
        <x:v>600</x:v>
      </x:c>
      <x:c r="B616" s="16" t="n">
        <x:v>-0.2888103357004668</x:v>
      </x:c>
      <x:c r="C616" s="16" t="n">
        <x:f>$B$12+$D$12*B616</x:f>
        <x:v>-0.003325738826753469</x:v>
      </x:c>
      <x:c r="D616" s="12" t="n">
        <x:f>D615*EXP(C616)</x:f>
        <x:v>126.75562090689321</x:v>
      </x:c>
      <x:c r="E616" s="16" t="n">
        <x:f>ABS(C616)</x:f>
        <x:v>0.003325738826753469</x:v>
      </x:c>
      <x:c r="F616" s="16" t="n">
        <x:f>C616^2</x:f>
        <x:v>0.00001106053874377554</x:v>
      </x:c>
      <x:c r="G616" s="1"/>
      <x:c r="H616" s="1"/>
      <x:c r="I616" s="1"/>
      <x:c r="J616" s="1"/>
      <x:c r="K616" s="1"/>
      <x:c r="L616" s="1"/>
      <x:c r="M616" s="1"/>
      <x:c r="N616" s="1"/>
    </x:row>
    <x:row r="617" ht="22" customHeight="1">
      <x:c r="A617" s="1" t="n">
        <x:v>601</x:v>
      </x:c>
      <x:c r="B617" s="16" t="n">
        <x:v>-0.6861435126415713</x:v>
      </x:c>
      <x:c r="C617" s="16" t="n">
        <x:f>$B$12+$D$12*B617</x:f>
        <x:v>-0.008579010157795042</x:v>
      </x:c>
      <x:c r="D617" s="12" t="n">
        <x:f>D616*EXP(C617)</x:f>
        <x:v>125.67283440679651</x:v>
      </x:c>
      <x:c r="E617" s="16" t="n">
        <x:f>ABS(C617)</x:f>
        <x:v>0.008579010157795042</x:v>
      </x:c>
      <x:c r="F617" s="16" t="n">
        <x:f>C617^2</x:f>
        <x:v>0.00007359941528755052</x:v>
      </x:c>
      <x:c r="G617" s="1"/>
      <x:c r="H617" s="1"/>
      <x:c r="I617" s="1"/>
      <x:c r="J617" s="1"/>
      <x:c r="K617" s="1"/>
      <x:c r="L617" s="1"/>
      <x:c r="M617" s="1"/>
      <x:c r="N617" s="1"/>
    </x:row>
    <x:row r="618" ht="22" customHeight="1">
      <x:c r="A618" s="1" t="n">
        <x:v>602</x:v>
      </x:c>
      <x:c r="B618" s="16" t="n">
        <x:v>-0.4858666767310547</x:v>
      </x:c>
      <x:c r="C618" s="16" t="n">
        <x:f>$B$12+$D$12*B618</x:f>
        <x:v>-0.005931084886464415</x:v>
      </x:c>
      <x:c r="D618" s="12" t="n">
        <x:f>D617*EXP(C618)</x:f>
        <x:v>124.92966423926926</x:v>
      </x:c>
      <x:c r="E618" s="16" t="n">
        <x:f>ABS(C618)</x:f>
        <x:v>0.005931084886464415</x:v>
      </x:c>
      <x:c r="F618" s="16" t="n">
        <x:f>C618^2</x:f>
        <x:v>0.00003517776793044661</x:v>
      </x:c>
      <x:c r="G618" s="1"/>
      <x:c r="H618" s="1"/>
      <x:c r="I618" s="1"/>
      <x:c r="J618" s="1"/>
      <x:c r="K618" s="1"/>
      <x:c r="L618" s="1"/>
      <x:c r="M618" s="1"/>
      <x:c r="N618" s="1"/>
    </x:row>
    <x:row r="619" ht="22" customHeight="1">
      <x:c r="A619" s="1" t="n">
        <x:v>603</x:v>
      </x:c>
      <x:c r="B619" s="16" t="n">
        <x:v>0.5050904665776983</x:v>
      </x:c>
      <x:c r="C619" s="16" t="n">
        <x:f>$B$12+$D$12*B619</x:f>
        <x:v>0.00717068222825695</x:v>
      </x:c>
      <x:c r="D619" s="12" t="n">
        <x:f>D618*EXP(C619)</x:f>
        <x:v>125.82871471270863</x:v>
      </x:c>
      <x:c r="E619" s="16" t="n">
        <x:f>ABS(C619)</x:f>
        <x:v>0.00717068222825695</x:v>
      </x:c>
      <x:c r="F619" s="16" t="n">
        <x:f>C619^2</x:f>
        <x:v>0.00005141868361864006</x:v>
      </x:c>
      <x:c r="G619" s="1"/>
      <x:c r="H619" s="1"/>
      <x:c r="I619" s="1"/>
      <x:c r="J619" s="1"/>
      <x:c r="K619" s="1"/>
      <x:c r="L619" s="1"/>
      <x:c r="M619" s="1"/>
      <x:c r="N619" s="1"/>
    </x:row>
    <x:row r="620" ht="22" customHeight="1">
      <x:c r="A620" s="1" t="n">
        <x:v>604</x:v>
      </x:c>
      <x:c r="B620" s="16" t="n">
        <x:v>0.10759820592193478</x:v>
      </x:c>
      <x:c r="C620" s="16" t="n">
        <x:f>$B$12+$D$12*B620</x:f>
        <x:v>0.0019153075996153931</x:v>
      </x:c>
      <x:c r="D620" s="12" t="n">
        <x:f>D619*EXP(C620)</x:f>
        <x:v>126.06994634889617</x:v>
      </x:c>
      <x:c r="E620" s="16" t="n">
        <x:f>ABS(C620)</x:f>
        <x:v>0.0019153075996153931</x:v>
      </x:c>
      <x:c r="F620" s="16" t="n">
        <x:f>C620^2</x:f>
        <x:v>0.0000036684032011444792</x:v>
      </x:c>
      <x:c r="G620" s="1"/>
      <x:c r="H620" s="1"/>
      <x:c r="I620" s="1"/>
      <x:c r="J620" s="1"/>
      <x:c r="K620" s="1"/>
      <x:c r="L620" s="1"/>
      <x:c r="M620" s="1"/>
      <x:c r="N620" s="1"/>
    </x:row>
    <x:row r="621" ht="22" customHeight="1">
      <x:c r="A621" s="1" t="n">
        <x:v>605</x:v>
      </x:c>
      <x:c r="B621" s="16" t="n">
        <x:v>-0.09920150176788876</x:v>
      </x:c>
      <x:c r="C621" s="16" t="n">
        <x:f>$B$12+$D$12*B621</x:f>
        <x:v>-0.0008188586838000935</x:v>
      </x:c>
      <x:c r="D621" s="12" t="n">
        <x:f>D620*EXP(C621)</x:f>
        <x:v>125.9667551338395</x:v>
      </x:c>
      <x:c r="E621" s="16" t="n">
        <x:f>ABS(C621)</x:f>
        <x:v>0.0008188586838000935</x:v>
      </x:c>
      <x:c r="F621" s="16" t="n">
        <x:f>C621^2</x:f>
        <x:v>6.705295440348215e-7</x:v>
      </x:c>
      <x:c r="G621" s="1"/>
      <x:c r="H621" s="1"/>
      <x:c r="I621" s="1"/>
      <x:c r="J621" s="1"/>
      <x:c r="K621" s="1"/>
      <x:c r="L621" s="1"/>
      <x:c r="M621" s="1"/>
      <x:c r="N621" s="1"/>
    </x:row>
    <x:row r="622" ht="22" customHeight="1">
      <x:c r="A622" s="1" t="n">
        <x:v>606</x:v>
      </x:c>
      <x:c r="B622" s="16" t="n">
        <x:v>1.0555183765080298</x:v>
      </x:c>
      <x:c r="C622" s="16" t="n">
        <x:f>$B$12+$D$12*B622</x:f>
        <x:v>0.01444806888220543</x:v>
      </x:c>
      <x:c r="D622" s="12" t="n">
        <x:f>D621*EXP(C622)</x:f>
        <x:v>127.79994260913176</x:v>
      </x:c>
      <x:c r="E622" s="16" t="n">
        <x:f>ABS(C622)</x:f>
        <x:v>0.01444806888220543</x:v>
      </x:c>
      <x:c r="F622" s="16" t="n">
        <x:f>C622^2</x:f>
        <x:v>0.00020874669442495287</x:v>
      </x:c>
      <x:c r="G622" s="1"/>
      <x:c r="H622" s="1"/>
      <x:c r="I622" s="1"/>
      <x:c r="J622" s="1"/>
      <x:c r="K622" s="1"/>
      <x:c r="L622" s="1"/>
      <x:c r="M622" s="1"/>
      <x:c r="N622" s="1"/>
    </x:row>
    <x:row r="623" ht="22" customHeight="1">
      <x:c r="A623" s="1" t="n">
        <x:v>607</x:v>
      </x:c>
      <x:c r="B623" s="16" t="n">
        <x:v>-0.4059890202135455</x:v>
      </x:c>
      <x:c r="C623" s="16" t="n">
        <x:f>$B$12+$D$12*B623</x:f>
        <x:v>-0.004874996376049348</x:v>
      </x:c>
      <x:c r="D623" s="12" t="n">
        <x:f>D622*EXP(C623)</x:f>
        <x:v>127.17843450779883</x:v>
      </x:c>
      <x:c r="E623" s="16" t="n">
        <x:f>ABS(C623)</x:f>
        <x:v>0.004874996376049348</x:v>
      </x:c>
      <x:c r="F623" s="16" t="n">
        <x:f>C623^2</x:f>
        <x:v>0.00002376558966649428</x:v>
      </x:c>
      <x:c r="G623" s="1"/>
      <x:c r="H623" s="1"/>
      <x:c r="I623" s="1"/>
      <x:c r="J623" s="1"/>
      <x:c r="K623" s="1"/>
      <x:c r="L623" s="1"/>
      <x:c r="M623" s="1"/>
      <x:c r="N623" s="1"/>
    </x:row>
    <x:row r="624" ht="22" customHeight="1">
      <x:c r="A624" s="1" t="n">
        <x:v>608</x:v>
      </x:c>
      <x:c r="B624" s="16" t="n">
        <x:v>-2.0905377134148146</x:v>
      </x:c>
      <x:c r="C624" s="16" t="n">
        <x:f>$B$12+$D$12*B624</x:f>
        <x:v>-0.027146963252476317</x:v>
      </x:c>
      <x:c r="D624" s="12" t="n">
        <x:f>D623*EXP(C624)</x:f>
        <x:v>123.77236758123068</x:v>
      </x:c>
      <x:c r="E624" s="16" t="n">
        <x:f>ABS(C624)</x:f>
        <x:v>0.027146963252476317</x:v>
      </x:c>
      <x:c r="F624" s="16" t="n">
        <x:f>C624^2</x:f>
        <x:v>0.0007369576138312996</x:v>
      </x:c>
      <x:c r="G624" s="1"/>
      <x:c r="H624" s="1"/>
      <x:c r="I624" s="1"/>
      <x:c r="J624" s="1"/>
      <x:c r="K624" s="1"/>
      <x:c r="L624" s="1"/>
      <x:c r="M624" s="1"/>
      <x:c r="N624" s="1"/>
    </x:row>
    <x:row r="625" ht="22" customHeight="1">
      <x:c r="A625" s="1" t="n">
        <x:v>609</x:v>
      </x:c>
      <x:c r="B625" s="16" t="n">
        <x:v>2.171167121812284</x:v>
      </x:c>
      <x:c r="C625" s="16" t="n">
        <x:f>$B$12+$D$12*B625</x:f>
        <x:v>0.02919842427497463</x:v>
      </x:c>
      <x:c r="D625" s="12" t="n">
        <x:f>D624*EXP(C625)</x:f>
        <x:v>127.43960390692109</x:v>
      </x:c>
      <x:c r="E625" s="16" t="n">
        <x:f>ABS(C625)</x:f>
        <x:v>0.02919842427497463</x:v>
      </x:c>
      <x:c r="F625" s="16" t="n">
        <x:f>C625^2</x:f>
        <x:v>0.0008525479801414278</x:v>
      </x:c>
      <x:c r="G625" s="1"/>
      <x:c r="H625" s="1"/>
      <x:c r="I625" s="1"/>
      <x:c r="J625" s="1"/>
      <x:c r="K625" s="1"/>
      <x:c r="L625" s="1"/>
      <x:c r="M625" s="1"/>
      <x:c r="N625" s="1"/>
    </x:row>
    <x:row r="626" ht="22" customHeight="1">
      <x:c r="A626" s="1" t="n">
        <x:v>610</x:v>
      </x:c>
      <x:c r="B626" s="16" t="n">
        <x:v>1.768751954986713</x:v>
      </x:c>
      <x:c r="C626" s="16" t="n">
        <x:f>$B$12+$D$12*B626</x:f>
        <x:v>0.023877962300629017</x:v>
      </x:c>
      <x:c r="D626" s="12" t="n">
        <x:f>D625*EXP(C626)</x:f>
        <x:v>130.51922315999298</x:v>
      </x:c>
      <x:c r="E626" s="16" t="n">
        <x:f>ABS(C626)</x:f>
        <x:v>0.023877962300629017</x:v>
      </x:c>
      <x:c r="F626" s="16" t="n">
        <x:f>C626^2</x:f>
        <x:v>0.0005701570836302605</x:v>
      </x:c>
      <x:c r="G626" s="1"/>
      <x:c r="H626" s="1"/>
      <x:c r="I626" s="1"/>
      <x:c r="J626" s="1"/>
      <x:c r="K626" s="1"/>
      <x:c r="L626" s="1"/>
      <x:c r="M626" s="1"/>
      <x:c r="N626" s="1"/>
    </x:row>
    <x:row r="627" ht="22" customHeight="1">
      <x:c r="A627" s="1" t="n">
        <x:v>611</x:v>
      </x:c>
      <x:c r="B627" s="16" t="n">
        <x:v>0.08960858373343354</x:v>
      </x:c>
      <x:c r="C627" s="16" t="n">
        <x:f>$B$12+$D$12*B627</x:f>
        <x:v>0.0016774609460168417</x:v>
      </x:c>
      <x:c r="D627" s="12" t="n">
        <x:f>D626*EXP(C627)</x:f>
        <x:v>130.73834779467438</x:v>
      </x:c>
      <x:c r="E627" s="16" t="n">
        <x:f>ABS(C627)</x:f>
        <x:v>0.0016774609460168417</x:v>
      </x:c>
      <x:c r="F627" s="16" t="n">
        <x:f>C627^2</x:f>
        <x:v>0.0000028138752254117174</x:v>
      </x:c>
      <x:c r="G627" s="1"/>
      <x:c r="H627" s="1"/>
      <x:c r="I627" s="1"/>
      <x:c r="J627" s="1"/>
      <x:c r="K627" s="1"/>
      <x:c r="L627" s="1"/>
      <x:c r="M627" s="1"/>
      <x:c r="N627" s="1"/>
    </x:row>
    <x:row r="628" ht="22" customHeight="1">
      <x:c r="A628" s="1" t="n">
        <x:v>612</x:v>
      </x:c>
      <x:c r="B628" s="16" t="n">
        <x:v>0.24165423620986035</x:v>
      </x:c>
      <x:c r="C628" s="16" t="n">
        <x:f>$B$12+$D$12*B628</x:f>
        <x:v>0.003687706033812059</x:v>
      </x:c>
      <x:c r="D628" s="12" t="n">
        <x:f>D627*EXP(C628)</x:f>
        <x:v>131.2213624493323</x:v>
      </x:c>
      <x:c r="E628" s="16" t="n">
        <x:f>ABS(C628)</x:f>
        <x:v>0.003687706033812059</x:v>
      </x:c>
      <x:c r="F628" s="16" t="n">
        <x:f>C628^2</x:f>
        <x:v>0.000013599175791813865</x:v>
      </x:c>
      <x:c r="G628" s="1"/>
      <x:c r="H628" s="1"/>
      <x:c r="I628" s="1"/>
      <x:c r="J628" s="1"/>
      <x:c r="K628" s="1"/>
      <x:c r="L628" s="1"/>
      <x:c r="M628" s="1"/>
      <x:c r="N628" s="1"/>
    </x:row>
    <x:row r="629" ht="22" customHeight="1">
      <x:c r="A629" s="1" t="n">
        <x:v>613</x:v>
      </x:c>
      <x:c r="B629" s="16" t="n">
        <x:v>0.39962451657164955</x:v>
      </x:c>
      <x:c r="C629" s="16" t="n">
        <x:f>$B$12+$D$12*B629</x:f>
        <x:v>0.005776282556341399</x:v>
      </x:c>
      <x:c r="D629" s="12" t="n">
        <x:f>D628*EXP(C629)</x:f>
        <x:v>131.98152746663024</x:v>
      </x:c>
      <x:c r="E629" s="16" t="n">
        <x:f>ABS(C629)</x:f>
        <x:v>0.005776282556341399</x:v>
      </x:c>
      <x:c r="F629" s="16" t="n">
        <x:f>C629^2</x:f>
        <x:v>0.000033365440170693924</x:v>
      </x:c>
      <x:c r="G629" s="1"/>
      <x:c r="H629" s="1"/>
      <x:c r="I629" s="1"/>
      <x:c r="J629" s="1"/>
      <x:c r="K629" s="1"/>
      <x:c r="L629" s="1"/>
      <x:c r="M629" s="1"/>
      <x:c r="N629" s="1"/>
    </x:row>
    <x:row r="630" ht="22" customHeight="1">
      <x:c r="A630" s="1" t="n">
        <x:v>614</x:v>
      </x:c>
      <x:c r="B630" s="16" t="n">
        <x:v>1.4026542119654153</x:v>
      </x:c>
      <x:c r="C630" s="16" t="n">
        <x:f>$B$12+$D$12*B630</x:f>
        <x:v>0.019037664813822675</x:v>
      </x:c>
      <x:c r="D630" s="12" t="n">
        <x:f>D629*EXP(C630)</x:f>
        <x:v>134.51821725867757</x:v>
      </x:c>
      <x:c r="E630" s="16" t="n">
        <x:f>ABS(C630)</x:f>
        <x:v>0.019037664813822675</x:v>
      </x:c>
      <x:c r="F630" s="16" t="n">
        <x:f>C630^2</x:f>
        <x:v>0.00036243268156346196</x:v>
      </x:c>
      <x:c r="G630" s="1"/>
      <x:c r="H630" s="1"/>
      <x:c r="I630" s="1"/>
      <x:c r="J630" s="1"/>
      <x:c r="K630" s="1"/>
      <x:c r="L630" s="1"/>
      <x:c r="M630" s="1"/>
      <x:c r="N630" s="1"/>
    </x:row>
    <x:row r="631" ht="22" customHeight="1">
      <x:c r="A631" s="1" t="n">
        <x:v>615</x:v>
      </x:c>
      <x:c r="B631" s="16" t="n">
        <x:v>-1.8379840361950153</x:v>
      </x:c>
      <x:c r="C631" s="16" t="n">
        <x:f>$B$12+$D$12*B631</x:f>
        <x:v>-0.02380786883730102</x:v>
      </x:c>
      <x:c r="D631" s="12" t="n">
        <x:f>D630*EXP(C631)</x:f>
        <x:v>131.3534478781615</x:v>
      </x:c>
      <x:c r="E631" s="16" t="n">
        <x:f>ABS(C631)</x:f>
        <x:v>0.02380786883730102</x:v>
      </x:c>
      <x:c r="F631" s="16" t="n">
        <x:f>C631^2</x:f>
        <x:v>0.000566814618574129</x:v>
      </x:c>
      <x:c r="G631" s="1"/>
      <x:c r="H631" s="1"/>
      <x:c r="I631" s="1"/>
      <x:c r="J631" s="1"/>
      <x:c r="K631" s="1"/>
      <x:c r="L631" s="1"/>
      <x:c r="M631" s="1"/>
      <x:c r="N631" s="1"/>
    </x:row>
    <x:row r="632" ht="22" customHeight="1">
      <x:c r="A632" s="1" t="n">
        <x:v>616</x:v>
      </x:c>
      <x:c r="B632" s="16" t="n">
        <x:v>-0.4923504699437475</x:v>
      </x:c>
      <x:c r="C632" s="16" t="n">
        <x:f>$B$12+$D$12*B632</x:f>
        <x:v>-0.006016809228093429</x:v>
      </x:c>
      <x:c r="D632" s="12" t="n">
        <x:f>D631*EXP(C632)</x:f>
        <x:v>130.56549210773105</x:v>
      </x:c>
      <x:c r="E632" s="16" t="n">
        <x:f>ABS(C632)</x:f>
        <x:v>0.006016809228093429</x:v>
      </x:c>
      <x:c r="F632" s="16" t="n">
        <x:f>C632^2</x:f>
        <x:v>0.000036201993287270246</x:v>
      </x:c>
      <x:c r="G632" s="1"/>
      <x:c r="H632" s="1"/>
      <x:c r="I632" s="1"/>
      <x:c r="J632" s="1"/>
      <x:c r="K632" s="1"/>
      <x:c r="L632" s="1"/>
      <x:c r="M632" s="1"/>
      <x:c r="N632" s="1"/>
    </x:row>
    <x:row r="633" ht="22" customHeight="1">
      <x:c r="A633" s="1" t="n">
        <x:v>617</x:v>
      </x:c>
      <x:c r="B633" s="16" t="n">
        <x:v>0.06484819909534274</x:v>
      </x:c>
      <x:c r="C633" s="16" t="n">
        <x:f>$B$12+$D$12*B633</x:f>
        <x:v>0.001350095837051564</x:v>
      </x:c>
      <x:c r="D633" s="12" t="n">
        <x:f>D632*EXP(C633)</x:f>
        <x:v>130.74188708335564</x:v>
      </x:c>
      <x:c r="E633" s="16" t="n">
        <x:f>ABS(C633)</x:f>
        <x:v>0.001350095837051564</x:v>
      </x:c>
      <x:c r="F633" s="16" t="n">
        <x:f>C633^2</x:f>
        <x:v>0.0000018227587692239635</x:v>
      </x:c>
      <x:c r="G633" s="1"/>
      <x:c r="H633" s="1"/>
      <x:c r="I633" s="1"/>
      <x:c r="J633" s="1"/>
      <x:c r="K633" s="1"/>
      <x:c r="L633" s="1"/>
      <x:c r="M633" s="1"/>
      <x:c r="N633" s="1"/>
    </x:row>
    <x:row r="634" ht="22" customHeight="1">
      <x:c r="A634" s="1" t="n">
        <x:v>618</x:v>
      </x:c>
      <x:c r="B634" s="16" t="n">
        <x:v>0.7757989904273401</x:v>
      </x:c>
      <x:c r="C634" s="16" t="n">
        <x:f>$B$12+$D$12*B634</x:f>
        <x:v>0.010749807783178082</x:v>
      </x:c>
      <x:c r="D634" s="12" t="n">
        <x:f>D633*EXP(C634)</x:f>
        <x:v>132.1549185397109</x:v>
      </x:c>
      <x:c r="E634" s="16" t="n">
        <x:f>ABS(C634)</x:f>
        <x:v>0.010749807783178082</x:v>
      </x:c>
      <x:c r="F634" s="16" t="n">
        <x:f>C634^2</x:f>
        <x:v>0.00011555836737527605</x:v>
      </x:c>
      <x:c r="G634" s="1"/>
      <x:c r="H634" s="1"/>
      <x:c r="I634" s="1"/>
      <x:c r="J634" s="1"/>
      <x:c r="K634" s="1"/>
      <x:c r="L634" s="1"/>
      <x:c r="M634" s="1"/>
      <x:c r="N634" s="1"/>
    </x:row>
    <x:row r="635" ht="22" customHeight="1">
      <x:c r="A635" s="1" t="n">
        <x:v>619</x:v>
      </x:c>
      <x:c r="B635" s="16" t="n">
        <x:v>0.523523441282795</x:v>
      </x:c>
      <x:c r="C635" s="16" t="n">
        <x:f>$B$12+$D$12*B635</x:f>
        <x:v>0.007414390589863141</x:v>
      </x:c>
      <x:c r="D635" s="12" t="n">
        <x:f>D634*EXP(C635)</x:f>
        <x:v>133.13840820694347</x:v>
      </x:c>
      <x:c r="E635" s="16" t="n">
        <x:f>ABS(C635)</x:f>
        <x:v>0.007414390589863141</x:v>
      </x:c>
      <x:c r="F635" s="16" t="n">
        <x:f>C635^2</x:f>
        <x:v>0.000054973187819051094</x:v>
      </x:c>
      <x:c r="G635" s="1"/>
      <x:c r="H635" s="1"/>
      <x:c r="I635" s="1"/>
      <x:c r="J635" s="1"/>
      <x:c r="K635" s="1"/>
      <x:c r="L635" s="1"/>
      <x:c r="M635" s="1"/>
      <x:c r="N635" s="1"/>
    </x:row>
    <x:row r="636" ht="22" customHeight="1">
      <x:c r="A636" s="1" t="n">
        <x:v>620</x:v>
      </x:c>
      <x:c r="B636" s="16" t="n">
        <x:v>0.5200116505547332</x:v>
      </x:c>
      <x:c r="C636" s="16" t="n">
        <x:f>$B$12+$D$12*B636</x:f>
        <x:v>0.007367960060969553</x:v>
      </x:c>
      <x:c r="D636" s="12" t="n">
        <x:f>D635*EXP(C636)</x:f>
        <x:v>134.12298940451777</x:v>
      </x:c>
      <x:c r="E636" s="16" t="n">
        <x:f>ABS(C636)</x:f>
        <x:v>0.007367960060969553</x:v>
      </x:c>
      <x:c r="F636" s="16" t="n">
        <x:f>C636^2</x:f>
        <x:v>0.00005428683546004246</x:v>
      </x:c>
      <x:c r="G636" s="1"/>
      <x:c r="H636" s="1"/>
      <x:c r="I636" s="1"/>
      <x:c r="J636" s="1"/>
      <x:c r="K636" s="1"/>
      <x:c r="L636" s="1"/>
      <x:c r="M636" s="1"/>
      <x:c r="N636" s="1"/>
    </x:row>
    <x:row r="637" ht="22" customHeight="1">
      <x:c r="A637" s="1" t="n">
        <x:v>621</x:v>
      </x:c>
      <x:c r="B637" s="16" t="n">
        <x:v>-0.9740279495796393</x:v>
      </x:c>
      <x:c r="C637" s="16" t="n">
        <x:f>$B$12+$D$12*B637</x:f>
        <x:v>-0.012385224053303617</x:v>
      </x:c>
      <x:c r="D637" s="12" t="n">
        <x:f>D636*EXP(C637)</x:f>
        <x:v>132.47209060885996</x:v>
      </x:c>
      <x:c r="E637" s="16" t="n">
        <x:f>ABS(C637)</x:f>
        <x:v>0.012385224053303617</x:v>
      </x:c>
      <x:c r="F637" s="16" t="n">
        <x:f>C637^2</x:f>
        <x:v>0.00015339377485053049</x:v>
      </x:c>
      <x:c r="G637" s="1"/>
      <x:c r="H637" s="1"/>
      <x:c r="I637" s="1"/>
      <x:c r="J637" s="1"/>
      <x:c r="K637" s="1"/>
      <x:c r="L637" s="1"/>
      <x:c r="M637" s="1"/>
      <x:c r="N637" s="1"/>
    </x:row>
    <x:row r="638" ht="22" customHeight="1">
      <x:c r="A638" s="1" t="n">
        <x:v>622</x:v>
      </x:c>
      <x:c r="B638" s="16" t="n">
        <x:v>1.918269830739627</x:v>
      </x:c>
      <x:c r="C638" s="16" t="n">
        <x:f>$B$12+$D$12*B638</x:f>
        <x:v>0.02585478682914667</x:v>
      </x:c>
      <x:c r="D638" s="12" t="n">
        <x:f>D637*EXP(C638)</x:f>
        <x:v>135.94178915014066</x:v>
      </x:c>
      <x:c r="E638" s="16" t="n">
        <x:f>ABS(C638)</x:f>
        <x:v>0.02585478682914667</x:v>
      </x:c>
      <x:c r="F638" s="16" t="n">
        <x:f>C638^2</x:f>
        <x:v>0.0006684700019806161</x:v>
      </x:c>
      <x:c r="G638" s="1"/>
      <x:c r="H638" s="1"/>
      <x:c r="I638" s="1"/>
      <x:c r="J638" s="1"/>
      <x:c r="K638" s="1"/>
      <x:c r="L638" s="1"/>
      <x:c r="M638" s="1"/>
      <x:c r="N638" s="1"/>
    </x:row>
    <x:row r="639" ht="22" customHeight="1">
      <x:c r="A639" s="1" t="n">
        <x:v>623</x:v>
      </x:c>
      <x:c r="B639" s="16" t="n">
        <x:v>0.38098804732997493</x:v>
      </x:c>
      <x:c r="C639" s="16" t="n">
        <x:f>$B$12+$D$12*B639</x:f>
        <x:v>0.0055298837271954525</x:v>
      </x:c>
      <x:c r="D639" s="12" t="n">
        <x:f>D638*EXP(C639)</x:f>
        <x:v>136.69561379816372</x:v>
      </x:c>
      <x:c r="E639" s="16" t="n">
        <x:f>ABS(C639)</x:f>
        <x:v>0.0055298837271954525</x:v>
      </x:c>
      <x:c r="F639" s="16" t="n">
        <x:f>C639^2</x:f>
        <x:v>0.00003057961403630107</x:v>
      </x:c>
      <x:c r="G639" s="1"/>
      <x:c r="H639" s="1"/>
      <x:c r="I639" s="1"/>
      <x:c r="J639" s="1"/>
      <x:c r="K639" s="1"/>
      <x:c r="L639" s="1"/>
      <x:c r="M639" s="1"/>
      <x:c r="N639" s="1"/>
    </x:row>
    <x:row r="640" ht="22" customHeight="1">
      <x:c r="A640" s="1" t="n">
        <x:v>624</x:v>
      </x:c>
      <x:c r="B640" s="16" t="n">
        <x:v>-0.10289652781570424</x:v>
      </x:c>
      <x:c r="C640" s="16" t="n">
        <x:f>$B$12+$D$12*B640</x:f>
        <x:v>-0.0008677118265300248</x:v>
      </x:c>
      <x:c r="D640" s="12" t="n">
        <x:f>D639*EXP(C640)</x:f>
        <x:v>136.5770528432466</x:v>
      </x:c>
      <x:c r="E640" s="16" t="n">
        <x:f>ABS(C640)</x:f>
        <x:v>0.0008677118265300248</x:v>
      </x:c>
      <x:c r="F640" s="16" t="n">
        <x:f>C640^2</x:f>
        <x:v>7.529238139000719e-7</x:v>
      </x:c>
      <x:c r="G640" s="1"/>
      <x:c r="H640" s="1"/>
      <x:c r="I640" s="1"/>
      <x:c r="J640" s="1"/>
      <x:c r="K640" s="1"/>
      <x:c r="L640" s="1"/>
      <x:c r="M640" s="1"/>
      <x:c r="N640" s="1"/>
    </x:row>
    <x:row r="641" ht="22" customHeight="1">
      <x:c r="A641" s="1" t="n">
        <x:v>625</x:v>
      </x:c>
      <x:c r="B641" s="16" t="n">
        <x:v>-1.0380848300612424</x:v>
      </x:c>
      <x:c r="C641" s="16" t="n">
        <x:f>$B$12+$D$12*B641</x:f>
        <x:v>-0.013232140931427392</x:v>
      </x:c>
      <x:c r="D641" s="12" t="n">
        <x:f>D640*EXP(C641)</x:f>
        <x:v>134.78175007645834</x:v>
      </x:c>
      <x:c r="E641" s="16" t="n">
        <x:f>ABS(C641)</x:f>
        <x:v>0.013232140931427392</x:v>
      </x:c>
      <x:c r="F641" s="16" t="n">
        <x:f>C641^2</x:f>
        <x:v>0.00017508955362915615</x:v>
      </x:c>
      <x:c r="G641" s="1"/>
      <x:c r="H641" s="1"/>
      <x:c r="I641" s="1"/>
      <x:c r="J641" s="1"/>
      <x:c r="K641" s="1"/>
      <x:c r="L641" s="1"/>
      <x:c r="M641" s="1"/>
      <x:c r="N641" s="1"/>
    </x:row>
    <x:row r="642" ht="22" customHeight="1">
      <x:c r="A642" s="1" t="n">
        <x:v>626</x:v>
      </x:c>
      <x:c r="B642" s="16" t="n">
        <x:v>0.6215673409867511</x:v>
      </x:c>
      <x:c r="C642" s="16" t="n">
        <x:f>$B$12+$D$12*B642</x:f>
        <x:v>0.008710660917610406</x:v>
      </x:c>
      <x:c r="D642" s="12" t="n">
        <x:f>D641*EXP(C642)</x:f>
        <x:v>135.96091640245078</x:v>
      </x:c>
      <x:c r="E642" s="16" t="n">
        <x:f>ABS(C642)</x:f>
        <x:v>0.008710660917610406</x:v>
      </x:c>
      <x:c r="F642" s="16" t="n">
        <x:f>C642^2</x:f>
        <x:v>0.00007587561362158536</x:v>
      </x:c>
      <x:c r="G642" s="1"/>
      <x:c r="H642" s="1"/>
      <x:c r="I642" s="1"/>
      <x:c r="J642" s="1"/>
      <x:c r="K642" s="1"/>
      <x:c r="L642" s="1"/>
      <x:c r="M642" s="1"/>
      <x:c r="N642" s="1"/>
    </x:row>
    <x:row r="643" ht="22" customHeight="1">
      <x:c r="A643" s="1" t="n">
        <x:v>627</x:v>
      </x:c>
      <x:c r="B643" s="16" t="n">
        <x:v>1.0114451989869673</x:v>
      </x:c>
      <x:c r="C643" s="16" t="n">
        <x:f>$B$12+$D$12*B643</x:f>
        <x:v>0.013865363048975645</x:v>
      </x:c>
      <x:c r="D643" s="12" t="n">
        <x:f>D642*EXP(C643)</x:f>
        <x:v>137.85919360854203</x:v>
      </x:c>
      <x:c r="E643" s="16" t="n">
        <x:f>ABS(C643)</x:f>
        <x:v>0.013865363048975645</x:v>
      </x:c>
      <x:c r="F643" s="16" t="n">
        <x:f>C643^2</x:f>
        <x:v>0.0001922482924798992</x:v>
      </x:c>
      <x:c r="G643" s="1"/>
      <x:c r="H643" s="1"/>
      <x:c r="I643" s="1"/>
      <x:c r="J643" s="1"/>
      <x:c r="K643" s="1"/>
      <x:c r="L643" s="1"/>
      <x:c r="M643" s="1"/>
      <x:c r="N643" s="1"/>
    </x:row>
    <x:row r="644" ht="22" customHeight="1">
      <x:c r="A644" s="1" t="n">
        <x:v>628</x:v>
      </x:c>
      <x:c r="B644" s="16" t="n">
        <x:v>1.6965142147198342</x:v>
      </x:c>
      <x:c r="C644" s="16" t="n">
        <x:f>$B$12+$D$12*B644</x:f>
        <x:v>0.022922883611039824</x:v>
      </x:c>
      <x:c r="D644" s="12" t="n">
        <x:f>D643*EXP(C644)</x:f>
        <x:v>141.05582185352367</x:v>
      </x:c>
      <x:c r="E644" s="16" t="n">
        <x:f>ABS(C644)</x:f>
        <x:v>0.022922883611039824</x:v>
      </x:c>
      <x:c r="F644" s="16" t="n">
        <x:f>C644^2</x:f>
        <x:v>0.0005254585930452782</x:v>
      </x:c>
      <x:c r="G644" s="1"/>
      <x:c r="H644" s="1"/>
      <x:c r="I644" s="1"/>
      <x:c r="J644" s="1"/>
      <x:c r="K644" s="1"/>
      <x:c r="L644" s="1"/>
      <x:c r="M644" s="1"/>
      <x:c r="N644" s="1"/>
    </x:row>
    <x:row r="645" ht="22" customHeight="1">
      <x:c r="A645" s="1" t="n">
        <x:v>629</x:v>
      </x:c>
      <x:c r="B645" s="16" t="n">
        <x:v>-1.0074879590485728</x:v>
      </x:c>
      <x:c r="C645" s="16" t="n">
        <x:f>$B$12+$D$12*B645</x:f>
        <x:v>-0.012827609735346931</x:v>
      </x:c>
      <x:c r="D645" s="12" t="n">
        <x:f>D644*EXP(C645)</x:f>
        <x:v>139.2579685527717</x:v>
      </x:c>
      <x:c r="E645" s="16" t="n">
        <x:f>ABS(C645)</x:f>
        <x:v>0.012827609735346931</x:v>
      </x:c>
      <x:c r="F645" s="16" t="n">
        <x:f>C645^2</x:f>
        <x:v>0.00016454757152236738</x:v>
      </x:c>
      <x:c r="G645" s="1"/>
      <x:c r="H645" s="1"/>
      <x:c r="I645" s="1"/>
      <x:c r="J645" s="1"/>
      <x:c r="K645" s="1"/>
      <x:c r="L645" s="1"/>
      <x:c r="M645" s="1"/>
      <x:c r="N645" s="1"/>
    </x:row>
    <x:row r="646" ht="22" customHeight="1">
      <x:c r="A646" s="1" t="n">
        <x:v>630</x:v>
      </x:c>
      <x:c r="B646" s="16" t="n">
        <x:v>0.4362365000789944</x:v>
      </x:c>
      <x:c r="C646" s="16" t="n">
        <x:f>$B$12+$D$12*B646</x:f>
        <x:v>0.006260341513643649</x:v>
      </x:c>
      <x:c r="D646" s="12" t="n">
        <x:f>D645*EXP(C646)</x:f>
        <x:v>140.13250558843603</x:v>
      </x:c>
      <x:c r="E646" s="16" t="n">
        <x:f>ABS(C646)</x:f>
        <x:v>0.006260341513643649</x:v>
      </x:c>
      <x:c r="F646" s="16" t="n">
        <x:f>C646^2</x:f>
        <x:v>0.00003919187586745006</x:v>
      </x:c>
      <x:c r="G646" s="1"/>
      <x:c r="H646" s="1"/>
      <x:c r="I646" s="1"/>
      <x:c r="J646" s="1"/>
      <x:c r="K646" s="1"/>
      <x:c r="L646" s="1"/>
      <x:c r="M646" s="1"/>
      <x:c r="N646" s="1"/>
    </x:row>
    <x:row r="647" ht="22" customHeight="1">
      <x:c r="A647" s="1" t="n">
        <x:v>631</x:v>
      </x:c>
      <x:c r="B647" s="16" t="n">
        <x:v>-1.0006733607189564</x:v>
      </x:c>
      <x:c r="C647" s="16" t="n">
        <x:f>$B$12+$D$12*B647</x:f>
        <x:v>-0.012737511711534427</x:v>
      </x:c>
      <x:c r="D647" s="12" t="n">
        <x:f>D646*EXP(C647)</x:f>
        <x:v>138.35888588808413</x:v>
      </x:c>
      <x:c r="E647" s="16" t="n">
        <x:f>ABS(C647)</x:f>
        <x:v>0.012737511711534427</x:v>
      </x:c>
      <x:c r="F647" s="16" t="n">
        <x:f>C647^2</x:f>
        <x:v>0.00016224420460147668</x:v>
      </x:c>
      <x:c r="G647" s="1"/>
      <x:c r="H647" s="1"/>
      <x:c r="I647" s="1"/>
      <x:c r="J647" s="1"/>
      <x:c r="K647" s="1"/>
      <x:c r="L647" s="1"/>
      <x:c r="M647" s="1"/>
      <x:c r="N647" s="1"/>
    </x:row>
    <x:row r="648" ht="22" customHeight="1">
      <x:c r="A648" s="1" t="n">
        <x:v>632</x:v>
      </x:c>
      <x:c r="B648" s="16" t="n">
        <x:v>-0.6087570040836302</x:v>
      </x:c>
      <x:c r="C648" s="16" t="n">
        <x:f>$B$12+$D$12*B648</x:f>
        <x:v>-0.0075558579258406125</x:v>
      </x:c>
      <x:c r="D648" s="12" t="n">
        <x:f>D647*EXP(C648)</x:f>
        <x:v>137.31740539776942</x:v>
      </x:c>
      <x:c r="E648" s="16" t="n">
        <x:f>ABS(C648)</x:f>
        <x:v>0.0075558579258406125</x:v>
      </x:c>
      <x:c r="F648" s="16" t="n">
        <x:f>C648^2</x:f>
        <x:v>0.0000570909889954884</x:v>
      </x:c>
      <x:c r="G648" s="1"/>
      <x:c r="H648" s="1"/>
      <x:c r="I648" s="1"/>
      <x:c r="J648" s="1"/>
      <x:c r="K648" s="1"/>
      <x:c r="L648" s="1"/>
      <x:c r="M648" s="1"/>
      <x:c r="N648" s="1"/>
    </x:row>
    <x:row r="649" ht="22" customHeight="1">
      <x:c r="A649" s="1" t="n">
        <x:v>633</x:v>
      </x:c>
      <x:c r="B649" s="16" t="n">
        <x:v>-0.06536928417499435</x:v>
      </x:c>
      <x:c r="C649" s="16" t="n">
        <x:f>$B$12+$D$12*B649</x:f>
        <x:v>-0.00037155191693361315</x:v>
      </x:c>
      <x:c r="D649" s="12" t="n">
        <x:f>D648*EXP(C649)</x:f>
        <x:v>137.26639432978243</x:v>
      </x:c>
      <x:c r="E649" s="16" t="n">
        <x:f>ABS(C649)</x:f>
        <x:v>0.00037155191693361315</x:v>
      </x:c>
      <x:c r="F649" s="16" t="n">
        <x:f>C649^2</x:f>
        <x:v>1.3805082697704258e-7</x:v>
      </x:c>
      <x:c r="G649" s="1"/>
      <x:c r="H649" s="1"/>
      <x:c r="I649" s="1"/>
      <x:c r="J649" s="1"/>
      <x:c r="K649" s="1"/>
      <x:c r="L649" s="1"/>
      <x:c r="M649" s="1"/>
      <x:c r="N649" s="1"/>
    </x:row>
    <x:row r="650" ht="22" customHeight="1">
      <x:c r="A650" s="1" t="n">
        <x:v>634</x:v>
      </x:c>
      <x:c r="B650" s="16" t="n">
        <x:v>-0.5941957542685531</x:v>
      </x:c>
      <x:c r="C650" s="16" t="n">
        <x:f>$B$12+$D$12*B650</x:f>
        <x:v>-0.007363338899902295</x:v>
      </x:c>
      <x:c r="D650" s="12" t="n">
        <x:f>D649*EXP(C650)</x:f>
        <x:v>136.2593674388791</x:v>
      </x:c>
      <x:c r="E650" s="16" t="n">
        <x:f>ABS(C650)</x:f>
        <x:v>0.007363338899902295</x:v>
      </x:c>
      <x:c r="F650" s="16" t="n">
        <x:f>C650^2</x:f>
        <x:v>0.000054218759754814334</x:v>
      </x:c>
      <x:c r="G650" s="1"/>
      <x:c r="H650" s="1"/>
      <x:c r="I650" s="1"/>
      <x:c r="J650" s="1"/>
      <x:c r="K650" s="1"/>
      <x:c r="L650" s="1"/>
      <x:c r="M650" s="1"/>
      <x:c r="N650" s="1"/>
    </x:row>
    <x:row r="651" ht="22" customHeight="1">
      <x:c r="A651" s="1" t="n">
        <x:v>635</x:v>
      </x:c>
      <x:c r="B651" s="16" t="n">
        <x:v>0.857423617696393</x:v>
      </x:c>
      <x:c r="C651" s="16" t="n">
        <x:f>$B$12+$D$12*B651</x:f>
        <x:v>0.011828993562831788</x:v>
      </x:c>
      <x:c r="D651" s="12" t="n">
        <x:f>D650*EXP(C651)</x:f>
        <x:v>137.880749371454</x:v>
      </x:c>
      <x:c r="E651" s="16" t="n">
        <x:f>ABS(C651)</x:f>
        <x:v>0.011828993562831788</x:v>
      </x:c>
      <x:c r="F651" s="16" t="n">
        <x:f>C651^2</x:f>
        <x:v>0.00013992508870951586</x:v>
      </x:c>
      <x:c r="G651" s="1"/>
      <x:c r="H651" s="1"/>
      <x:c r="I651" s="1"/>
      <x:c r="J651" s="1"/>
      <x:c r="K651" s="1"/>
      <x:c r="L651" s="1"/>
      <x:c r="M651" s="1"/>
      <x:c r="N651" s="1"/>
    </x:row>
    <x:row r="652" ht="22" customHeight="1">
      <x:c r="A652" s="1" t="n">
        <x:v>636</x:v>
      </x:c>
      <x:c r="B652" s="16" t="n">
        <x:v>0.28558719797042803</x:v>
      </x:c>
      <x:c r="C652" s="16" t="n">
        <x:f>$B$12+$D$12*B652</x:f>
        <x:v>0.004268558028808554</x:v>
      </x:c>
      <x:c r="D652" s="12" t="n">
        <x:f>D651*EXP(C652)</x:f>
        <x:v>138.47055927454366</x:v>
      </x:c>
      <x:c r="E652" s="16" t="n">
        <x:f>ABS(C652)</x:f>
        <x:v>0.004268558028808554</x:v>
      </x:c>
      <x:c r="F652" s="16" t="n">
        <x:f>C652^2</x:f>
        <x:v>0.00001822058764530597</x:v>
      </x:c>
      <x:c r="G652" s="1"/>
      <x:c r="H652" s="1"/>
      <x:c r="I652" s="1"/>
      <x:c r="J652" s="1"/>
      <x:c r="K652" s="1"/>
      <x:c r="L652" s="1"/>
      <x:c r="M652" s="1"/>
      <x:c r="N652" s="1"/>
    </x:row>
    <x:row r="653" ht="22" customHeight="1">
      <x:c r="A653" s="1" t="n">
        <x:v>637</x:v>
      </x:c>
      <x:c r="B653" s="16" t="n">
        <x:v>1.1249003905542114</x:v>
      </x:c>
      <x:c r="C653" s="16" t="n">
        <x:f>$B$12+$D$12*B653</x:f>
        <x:v>0.015365391085412124</x:v>
      </x:c>
      <x:c r="D653" s="12" t="n">
        <x:f>D652*EXP(C653)</x:f>
        <x:v>140.61464373590132</x:v>
      </x:c>
      <x:c r="E653" s="16" t="n">
        <x:f>ABS(C653)</x:f>
        <x:v>0.015365391085412124</x:v>
      </x:c>
      <x:c r="F653" s="16" t="n">
        <x:f>C653^2</x:f>
        <x:v>0.0002360952432076624</x:v>
      </x:c>
      <x:c r="G653" s="1"/>
      <x:c r="H653" s="1"/>
      <x:c r="I653" s="1"/>
      <x:c r="J653" s="1"/>
      <x:c r="K653" s="1"/>
      <x:c r="L653" s="1"/>
      <x:c r="M653" s="1"/>
      <x:c r="N653" s="1"/>
    </x:row>
    <x:row r="654" ht="22" customHeight="1">
      <x:c r="A654" s="1" t="n">
        <x:v>638</x:v>
      </x:c>
      <x:c r="B654" s="16" t="n">
        <x:v>0.9958042911639652</x:v>
      </x:c>
      <x:c r="C654" s="16" t="n">
        <x:f>$B$12+$D$12*B654</x:f>
        <x:v>0.01365856951290448</x:v>
      </x:c>
      <x:c r="D654" s="12" t="n">
        <x:f>D653*EXP(C654)</x:f>
        <x:v>142.5484148323312</x:v>
      </x:c>
      <x:c r="E654" s="16" t="n">
        <x:f>ABS(C654)</x:f>
        <x:v>0.01365856951290448</x:v>
      </x:c>
      <x:c r="F654" s="16" t="n">
        <x:f>C654^2</x:f>
        <x:v>0.00018655652113884372</x:v>
      </x:c>
      <x:c r="G654" s="1"/>
      <x:c r="H654" s="1"/>
      <x:c r="I654" s="1"/>
      <x:c r="J654" s="1"/>
      <x:c r="K654" s="1"/>
      <x:c r="L654" s="1"/>
      <x:c r="M654" s="1"/>
      <x:c r="N654" s="1"/>
    </x:row>
    <x:row r="655" ht="22" customHeight="1">
      <x:c r="A655" s="1" t="n">
        <x:v>639</x:v>
      </x:c>
      <x:c r="B655" s="16" t="n">
        <x:v>-0.28899083225488936</x:v>
      </x:c>
      <x:c r="C655" s="16" t="n">
        <x:f>$B$12+$D$12*B655</x:f>
        <x:v>-0.0033281252304814424</x:v>
      </x:c>
      <x:c r="D655" s="12" t="n">
        <x:f>D654*EXP(C655)</x:f>
        <x:v>142.07478444416222</x:v>
      </x:c>
      <x:c r="E655" s="16" t="n">
        <x:f>ABS(C655)</x:f>
        <x:v>0.0033281252304814424</x:v>
      </x:c>
      <x:c r="F655" s="16" t="n">
        <x:f>C655^2</x:f>
        <x:v>0.000011076417549767154</x:v>
      </x:c>
      <x:c r="G655" s="1"/>
      <x:c r="H655" s="1"/>
      <x:c r="I655" s="1"/>
      <x:c r="J655" s="1"/>
      <x:c r="K655" s="1"/>
      <x:c r="L655" s="1"/>
      <x:c r="M655" s="1"/>
      <x:c r="N655" s="1"/>
    </x:row>
    <x:row r="656" ht="22" customHeight="1">
      <x:c r="A656" s="1" t="n">
        <x:v>640</x:v>
      </x:c>
      <x:c r="B656" s="16" t="n">
        <x:v>-0.33881135263449447</x:v>
      </x:c>
      <x:c r="C656" s="16" t="n">
        <x:f>$B$12+$D$12*B656</x:f>
        <x:v>-0.003986818555369704</x:v>
      </x:c>
      <x:c r="D656" s="12" t="n">
        <x:f>D655*EXP(C656)</x:f>
        <x:v>141.50948567786753</x:v>
      </x:c>
      <x:c r="E656" s="16" t="n">
        <x:f>ABS(C656)</x:f>
        <x:v>0.003986818555369704</x:v>
      </x:c>
      <x:c r="F656" s="16" t="n">
        <x:f>C656^2</x:f>
        <x:v>0.000015894722193440173</x:v>
      </x:c>
      <x:c r="G656" s="1"/>
      <x:c r="H656" s="1"/>
      <x:c r="I656" s="1"/>
      <x:c r="J656" s="1"/>
      <x:c r="K656" s="1"/>
      <x:c r="L656" s="1"/>
      <x:c r="M656" s="1"/>
      <x:c r="N656" s="1"/>
    </x:row>
    <x:row r="657" ht="22" customHeight="1">
      <x:c r="A657" s="1" t="n">
        <x:v>641</x:v>
      </x:c>
      <x:c r="B657" s="16" t="n">
        <x:v>-0.2672642608622511</x:v>
      </x:c>
      <x:c r="C657" s="16" t="n">
        <x:f>$B$12+$D$12*B657</x:f>
        <x:v>-0.003040871154450201</x:v>
      </x:c>
      <x:c r="D657" s="12" t="n">
        <x:f>D656*EXP(C657)</x:f>
        <x:v>141.0798271639632</x:v>
      </x:c>
      <x:c r="E657" s="16" t="n">
        <x:f>ABS(C657)</x:f>
        <x:v>0.003040871154450201</x:v>
      </x:c>
      <x:c r="F657" s="16" t="n">
        <x:f>C657^2</x:f>
        <x:v>0.000009246897377967299</x:v>
      </x:c>
      <x:c r="G657" s="1"/>
      <x:c r="H657" s="1"/>
      <x:c r="I657" s="1"/>
      <x:c r="J657" s="1"/>
      <x:c r="K657" s="1"/>
      <x:c r="L657" s="1"/>
      <x:c r="M657" s="1"/>
      <x:c r="N657" s="1"/>
    </x:row>
    <x:row r="658" ht="22" customHeight="1">
      <x:c r="A658" s="1" t="n">
        <x:v>642</x:v>
      </x:c>
      <x:c r="B658" s="16" t="n">
        <x:v>-0.3757335698325597</x:v>
      </x:c>
      <x:c r="C658" s="16" t="n">
        <x:f>$B$12+$D$12*B658</x:f>
        <x:v>-0.004474979213330155</x:v>
      </x:c>
      <x:c r="D658" s="12" t="n">
        <x:f>D657*EXP(C658)</x:f>
        <x:v>140.4499083579654</x:v>
      </x:c>
      <x:c r="E658" s="16" t="n">
        <x:f>ABS(C658)</x:f>
        <x:v>0.004474979213330155</x:v>
      </x:c>
      <x:c r="F658" s="16" t="n">
        <x:f>C658^2</x:f>
        <x:v>0.000020025438959736976</x:v>
      </x:c>
      <x:c r="G658" s="1"/>
      <x:c r="H658" s="1"/>
      <x:c r="I658" s="1"/>
      <x:c r="J658" s="1"/>
      <x:c r="K658" s="1"/>
      <x:c r="L658" s="1"/>
      <x:c r="M658" s="1"/>
      <x:c r="N658" s="1"/>
    </x:row>
    <x:row r="659" ht="22" customHeight="1">
      <x:c r="A659" s="1" t="n">
        <x:v>643</x:v>
      </x:c>
      <x:c r="B659" s="16" t="n">
        <x:v>-0.4240462607308177</x:v>
      </x:c>
      <x:c r="C659" s="16" t="n">
        <x:f>$B$12+$D$12*B659</x:f>
        <x:v>-0.005113737033593707</x:v>
      </x:c>
      <x:c r="D659" s="12" t="n">
        <x:f>D658*EXP(C659)</x:f>
        <x:v>139.7335177380045</x:v>
      </x:c>
      <x:c r="E659" s="16" t="n">
        <x:f>ABS(C659)</x:f>
        <x:v>0.005113737033593707</x:v>
      </x:c>
      <x:c r="F659" s="16" t="n">
        <x:f>C659^2</x:f>
        <x:v>0.000026150306448747765</x:v>
      </x:c>
      <x:c r="G659" s="1"/>
      <x:c r="H659" s="1"/>
      <x:c r="I659" s="1"/>
      <x:c r="J659" s="1"/>
      <x:c r="K659" s="1"/>
      <x:c r="L659" s="1"/>
      <x:c r="M659" s="1"/>
      <x:c r="N659" s="1"/>
    </x:row>
    <x:row r="660" ht="22" customHeight="1">
      <x:c r="A660" s="1" t="n">
        <x:v>644</x:v>
      </x:c>
      <x:c r="B660" s="16" t="n">
        <x:v>-0.7437860518379454</x:v>
      </x:c>
      <x:c r="C660" s="16" t="n">
        <x:f>$B$12+$D$12*B660</x:f>
        <x:v>-0.009341120940841075</x:v>
      </x:c>
      <x:c r="D660" s="12" t="n">
        <x:f>D659*EXP(C660)</x:f>
        <x:v>138.43432744305028</x:v>
      </x:c>
      <x:c r="E660" s="16" t="n">
        <x:f>ABS(C660)</x:f>
        <x:v>0.009341120940841075</x:v>
      </x:c>
      <x:c r="F660" s="16" t="n">
        <x:f>C660^2</x:f>
        <x:v>0.00008725654043141965</x:v>
      </x:c>
      <x:c r="G660" s="1"/>
      <x:c r="H660" s="1"/>
      <x:c r="I660" s="1"/>
      <x:c r="J660" s="1"/>
      <x:c r="K660" s="1"/>
      <x:c r="L660" s="1"/>
      <x:c r="M660" s="1"/>
      <x:c r="N660" s="1"/>
    </x:row>
    <x:row r="661" ht="22" customHeight="1">
      <x:c r="A661" s="1" t="n">
        <x:v>645</x:v>
      </x:c>
      <x:c r="B661" s="16" t="n">
        <x:v>0.5672536351300346</x:v>
      </x:c>
      <x:c r="C661" s="16" t="n">
        <x:f>$B$12+$D$12*B661</x:f>
        <x:v>0.007992561724242501</x:v>
      </x:c>
      <x:c r="D661" s="12" t="n">
        <x:f>D660*EXP(C661)</x:f>
        <x:v>139.54520581821757</x:v>
      </x:c>
      <x:c r="E661" s="16" t="n">
        <x:f>ABS(C661)</x:f>
        <x:v>0.007992561724242501</x:v>
      </x:c>
      <x:c r="F661" s="16" t="n">
        <x:f>C661^2</x:f>
        <x:v>0.00006388104291582627</x:v>
      </x:c>
      <x:c r="G661" s="1"/>
      <x:c r="H661" s="1"/>
      <x:c r="I661" s="1"/>
      <x:c r="J661" s="1"/>
      <x:c r="K661" s="1"/>
      <x:c r="L661" s="1"/>
      <x:c r="M661" s="1"/>
      <x:c r="N661" s="1"/>
    </x:row>
    <x:row r="662" ht="22" customHeight="1">
      <x:c r="A662" s="1" t="n">
        <x:v>646</x:v>
      </x:c>
      <x:c r="B662" s="16" t="n">
        <x:v>1.0228042867028384</x:v>
      </x:c>
      <x:c r="C662" s="16" t="n">
        <x:f>$B$12+$D$12*B662</x:f>
        <x:v>0.014015545246958618</x:v>
      </x:c>
      <x:c r="D662" s="12" t="n">
        <x:f>D661*EXP(C662)</x:f>
        <x:v>141.5147780375833</x:v>
      </x:c>
      <x:c r="E662" s="16" t="n">
        <x:f>ABS(C662)</x:f>
        <x:v>0.014015545246958618</x:v>
      </x:c>
      <x:c r="F662" s="16" t="n">
        <x:f>C662^2</x:f>
        <x:v>0.0001964355085695443</x:v>
      </x:c>
      <x:c r="G662" s="1"/>
      <x:c r="H662" s="1"/>
      <x:c r="I662" s="1"/>
      <x:c r="J662" s="1"/>
      <x:c r="K662" s="1"/>
      <x:c r="L662" s="1"/>
      <x:c r="M662" s="1"/>
      <x:c r="N662" s="1"/>
    </x:row>
    <x:row r="663" ht="22" customHeight="1">
      <x:c r="A663" s="1" t="n">
        <x:v>647</x:v>
      </x:c>
      <x:c r="B663" s="16" t="n">
        <x:v>1.2412729953594257</x:v>
      </x:c>
      <x:c r="C663" s="16" t="n">
        <x:f>$B$12+$D$12*B663</x:f>
        <x:v>0.01690399119237596</x:v>
      </x:c>
      <x:c r="D663" s="12" t="n">
        <x:f>D662*EXP(C663)</x:f>
        <x:v>143.92727557135058</x:v>
      </x:c>
      <x:c r="E663" s="16" t="n">
        <x:f>ABS(C663)</x:f>
        <x:v>0.01690399119237596</x:v>
      </x:c>
      <x:c r="F663" s="16" t="n">
        <x:f>C663^2</x:f>
        <x:v>0.000285744918231924</x:v>
      </x:c>
      <x:c r="G663" s="1"/>
      <x:c r="H663" s="1"/>
      <x:c r="I663" s="1"/>
      <x:c r="J663" s="1"/>
      <x:c r="K663" s="1"/>
      <x:c r="L663" s="1"/>
      <x:c r="M663" s="1"/>
      <x:c r="N663" s="1"/>
    </x:row>
    <x:row r="664" ht="22" customHeight="1">
      <x:c r="A664" s="1" t="n">
        <x:v>648</x:v>
      </x:c>
      <x:c r="B664" s="16" t="n">
        <x:v>-1.2713365853430154</x:v>
      </x:c>
      <x:c r="C664" s="16" t="n">
        <x:f>$B$12+$D$12*B664</x:f>
        <x:v>-0.01631603835064162</x:v>
      </x:c>
      <x:c r="D664" s="12" t="n">
        <x:f>D663*EXP(C664)</x:f>
        <x:v>141.59800651829119</x:v>
      </x:c>
      <x:c r="E664" s="16" t="n">
        <x:f>ABS(C664)</x:f>
        <x:v>0.01631603835064162</x:v>
      </x:c>
      <x:c r="F664" s="16" t="n">
        <x:f>C664^2</x:f>
        <x:v>0.00026621310745960817</x:v>
      </x:c>
      <x:c r="G664" s="1"/>
      <x:c r="H664" s="1"/>
      <x:c r="I664" s="1"/>
      <x:c r="J664" s="1"/>
      <x:c r="K664" s="1"/>
      <x:c r="L664" s="1"/>
      <x:c r="M664" s="1"/>
      <x:c r="N664" s="1"/>
    </x:row>
    <x:row r="665" ht="22" customHeight="1">
      <x:c r="A665" s="1" t="n">
        <x:v>649</x:v>
      </x:c>
      <x:c r="B665" s="16" t="n">
        <x:v>0.5031242347185952</x:v>
      </x:c>
      <x:c r="C665" s="16" t="n">
        <x:f>$B$12+$D$12*B665</x:f>
        <x:v>0.007144686036508941</x:v>
      </x:c>
      <x:c r="D665" s="12" t="n">
        <x:f>D664*EXP(C665)</x:f>
        <x:v>142.61330248477555</x:v>
      </x:c>
      <x:c r="E665" s="16" t="n">
        <x:f>ABS(C665)</x:f>
        <x:v>0.007144686036508941</x:v>
      </x:c>
      <x:c r="F665" s="16" t="n">
        <x:f>C665^2</x:f>
        <x:v>0.00005104653856028584</x:v>
      </x:c>
      <x:c r="G665" s="1"/>
      <x:c r="H665" s="1"/>
      <x:c r="I665" s="1"/>
      <x:c r="J665" s="1"/>
      <x:c r="K665" s="1"/>
      <x:c r="L665" s="1"/>
      <x:c r="M665" s="1"/>
      <x:c r="N665" s="1"/>
    </x:row>
    <x:row r="666" ht="22" customHeight="1">
      <x:c r="A666" s="1" t="n">
        <x:v>650</x:v>
      </x:c>
      <x:c r="B666" s="16" t="n">
        <x:v>0.3853711634185125</x:v>
      </x:c>
      <x:c r="C666" s="16" t="n">
        <x:f>$B$12+$D$12*B666</x:f>
        <x:v>0.005587834332442682</x:v>
      </x:c>
      <x:c r="D666" s="12" t="n">
        <x:f>D665*EXP(C666)</x:f>
        <x:v>143.41243261672832</x:v>
      </x:c>
      <x:c r="E666" s="16" t="n">
        <x:f>ABS(C666)</x:f>
        <x:v>0.005587834332442682</x:v>
      </x:c>
      <x:c r="F666" s="16" t="n">
        <x:f>C666^2</x:f>
        <x:v>0.00003122389252682515</x:v>
      </x:c>
      <x:c r="G666" s="1"/>
      <x:c r="H666" s="1"/>
      <x:c r="I666" s="1"/>
      <x:c r="J666" s="1"/>
      <x:c r="K666" s="1"/>
      <x:c r="L666" s="1"/>
      <x:c r="M666" s="1"/>
      <x:c r="N666" s="1"/>
    </x:row>
    <x:row r="667" ht="22" customHeight="1">
      <x:c r="A667" s="1" t="n">
        <x:v>651</x:v>
      </x:c>
      <x:c r="B667" s="16" t="n">
        <x:v>-0.33839884890189176</x:v>
      </x:c>
      <x:c r="C667" s="16" t="n">
        <x:f>$B$12+$D$12*B667</x:f>
        <x:v>-0.003981364709181695</x:v>
      </x:c>
      <x:c r="D667" s="12" t="n">
        <x:f>D666*EXP(C667)</x:f>
        <x:v>142.8425905459317</x:v>
      </x:c>
      <x:c r="E667" s="16" t="n">
        <x:f>ABS(C667)</x:f>
        <x:v>0.003981364709181695</x:v>
      </x:c>
      <x:c r="F667" s="16" t="n">
        <x:f>C667^2</x:f>
        <x:v>0.000015851264947517445</x:v>
      </x:c>
      <x:c r="G667" s="1"/>
      <x:c r="H667" s="1"/>
      <x:c r="I667" s="1"/>
      <x:c r="J667" s="1"/>
      <x:c r="K667" s="1"/>
      <x:c r="L667" s="1"/>
      <x:c r="M667" s="1"/>
      <x:c r="N667" s="1"/>
    </x:row>
    <x:row r="668" ht="22" customHeight="1">
      <x:c r="A668" s="1" t="n">
        <x:v>652</x:v>
      </x:c>
      <x:c r="B668" s="16" t="n">
        <x:v>-1.3685782105875315</x:v>
      </x:c>
      <x:c r="C668" s="16" t="n">
        <x:f>$B$12+$D$12*B668</x:f>
        <x:v>-0.017601701546485507</x:v>
      </x:c>
      <x:c r="D668" s="12" t="n">
        <x:f>D667*EXP(C668)</x:f>
        <x:v>140.35031637806443</x:v>
      </x:c>
      <x:c r="E668" s="16" t="n">
        <x:f>ABS(C668)</x:f>
        <x:v>0.017601701546485507</x:v>
      </x:c>
      <x:c r="F668" s="16" t="n">
        <x:f>C668^2</x:f>
        <x:v>0.0003098198973315503</x:v>
      </x:c>
      <x:c r="G668" s="1"/>
      <x:c r="H668" s="1"/>
      <x:c r="I668" s="1"/>
      <x:c r="J668" s="1"/>
      <x:c r="K668" s="1"/>
      <x:c r="L668" s="1"/>
      <x:c r="M668" s="1"/>
      <x:c r="N668" s="1"/>
    </x:row>
    <x:row r="669" ht="22" customHeight="1">
      <x:c r="A669" s="1" t="n">
        <x:v>653</x:v>
      </x:c>
      <x:c r="B669" s="16" t="n">
        <x:v>1.0746825017550752</x:v>
      </x:c>
      <x:c r="C669" s="16" t="n">
        <x:f>$B$12+$D$12*B669</x:f>
        <x:v>0.014701444023239061</x:v>
      </x:c>
      <x:c r="D669" s="12" t="n">
        <x:f>D668*EXP(C669)</x:f>
        <x:v>142.428910427471</x:v>
      </x:c>
      <x:c r="E669" s="16" t="n">
        <x:f>ABS(C669)</x:f>
        <x:v>0.014701444023239061</x:v>
      </x:c>
      <x:c r="F669" s="16" t="n">
        <x:f>C669^2</x:f>
        <x:v>0.0002161324563684315</x:v>
      </x:c>
      <x:c r="G669" s="1"/>
      <x:c r="H669" s="1"/>
      <x:c r="I669" s="1"/>
      <x:c r="J669" s="1"/>
      <x:c r="K669" s="1"/>
      <x:c r="L669" s="1"/>
      <x:c r="M669" s="1"/>
      <x:c r="N669" s="1"/>
    </x:row>
    <x:row r="670" ht="22" customHeight="1">
      <x:c r="A670" s="1" t="n">
        <x:v>654</x:v>
      </x:c>
      <x:c r="B670" s="16" t="n">
        <x:v>-0.004039122497921361</x:v>
      </x:c>
      <x:c r="C670" s="16" t="n">
        <x:f>$B$12+$D$12*B670</x:f>
        <x:v>0.0004393141238703957</x:v>
      </x:c>
      <x:c r="D670" s="12" t="n">
        <x:f>D669*EXP(C670)</x:f>
        <x:v>142.4914952056512</x:v>
      </x:c>
      <x:c r="E670" s="16" t="n">
        <x:f>ABS(C670)</x:f>
        <x:v>0.0004393141238703957</x:v>
      </x:c>
      <x:c r="F670" s="16" t="n">
        <x:f>C670^2</x:f>
        <x:v>1.929968994320134e-7</x:v>
      </x:c>
      <x:c r="G670" s="1"/>
      <x:c r="H670" s="1"/>
      <x:c r="I670" s="1"/>
      <x:c r="J670" s="1"/>
      <x:c r="K670" s="1"/>
      <x:c r="L670" s="1"/>
      <x:c r="M670" s="1"/>
      <x:c r="N670" s="1"/>
    </x:row>
    <x:row r="671" ht="22" customHeight="1">
      <x:c r="A671" s="1" t="n">
        <x:v>655</x:v>
      </x:c>
      <x:c r="B671" s="16" t="n">
        <x:v>-1.1965973017694085</x:v>
      </x:c>
      <x:c r="C671" s="16" t="n">
        <x:f>$B$12+$D$12*B671</x:f>
        <x:v>-0.015327885942321554</x:v>
      </x:c>
      <x:c r="D671" s="12" t="n">
        <x:f>D670*EXP(C671)</x:f>
        <x:v>140.3240553899603</x:v>
      </x:c>
      <x:c r="E671" s="16" t="n">
        <x:f>ABS(C671)</x:f>
        <x:v>0.015327885942321554</x:v>
      </x:c>
      <x:c r="F671" s="16" t="n">
        <x:f>C671^2</x:f>
        <x:v>0.0002349440874608187</x:v>
      </x:c>
      <x:c r="G671" s="1"/>
      <x:c r="H671" s="1"/>
      <x:c r="I671" s="1"/>
      <x:c r="J671" s="1"/>
      <x:c r="K671" s="1"/>
      <x:c r="L671" s="1"/>
      <x:c r="M671" s="1"/>
      <x:c r="N671" s="1"/>
    </x:row>
    <x:row r="672" ht="22" customHeight="1">
      <x:c r="A672" s="1" t="n">
        <x:v>656</x:v>
      </x:c>
      <x:c r="B672" s="16" t="n">
        <x:v>-0.04566832237591445</x:v>
      </x:c>
      <x:c r="C672" s="16" t="n">
        <x:f>$B$12+$D$12*B672</x:f>
        <x:v>-0.00011107908501504333</x:v>
      </x:c>
      <x:c r="D672" s="12" t="n">
        <x:f>D671*EXP(C672)</x:f>
        <x:v>140.30846918794853</x:v>
      </x:c>
      <x:c r="E672" s="16" t="n">
        <x:f>ABS(C672)</x:f>
        <x:v>0.00011107908501504333</x:v>
      </x:c>
      <x:c r="F672" s="16" t="n">
        <x:f>C672^2</x:f>
        <x:v>1.2338563127779223e-8</x:v>
      </x:c>
      <x:c r="G672" s="1"/>
      <x:c r="H672" s="1"/>
      <x:c r="I672" s="1"/>
      <x:c r="J672" s="1"/>
      <x:c r="K672" s="1"/>
      <x:c r="L672" s="1"/>
      <x:c r="M672" s="1"/>
      <x:c r="N672" s="1"/>
    </x:row>
    <x:row r="673" ht="22" customHeight="1">
      <x:c r="A673" s="1" t="n">
        <x:v>657</x:v>
      </x:c>
      <x:c r="B673" s="16" t="n">
        <x:v>-2.1101442268254043</x:v>
      </x:c>
      <x:c r="C673" s="16" t="n">
        <x:f>$B$12+$D$12*B673</x:f>
        <x:v>-0.027406187351491838</x:v>
      </x:c>
      <x:c r="D673" s="12" t="n">
        <x:f>D672*EXP(C673)</x:f>
        <x:v>136.51536368791182</x:v>
      </x:c>
      <x:c r="E673" s="16" t="n">
        <x:f>ABS(C673)</x:f>
        <x:v>0.027406187351491838</x:v>
      </x:c>
      <x:c r="F673" s="16" t="n">
        <x:f>C673^2</x:f>
        <x:v>0.0007510991051450712</x:v>
      </x:c>
      <x:c r="G673" s="1"/>
      <x:c r="H673" s="1"/>
      <x:c r="I673" s="1"/>
      <x:c r="J673" s="1"/>
      <x:c r="K673" s="1"/>
      <x:c r="L673" s="1"/>
      <x:c r="M673" s="1"/>
      <x:c r="N673" s="1"/>
    </x:row>
    <x:row r="674" ht="22" customHeight="1">
      <x:c r="A674" s="1" t="n">
        <x:v>658</x:v>
      </x:c>
      <x:c r="B674" s="16" t="n">
        <x:v>1.275770308823775</x:v>
      </x:c>
      <x:c r="C674" s="16" t="n">
        <x:f>$B$12+$D$12*B674</x:f>
        <x:v>0.01736009140835939</x:v>
      </x:c>
      <x:c r="D674" s="12" t="n">
        <x:f>D673*EXP(C674)</x:f>
        <x:v>138.90597344369763</x:v>
      </x:c>
      <x:c r="E674" s="16" t="n">
        <x:f>ABS(C674)</x:f>
        <x:v>0.01736009140835939</x:v>
      </x:c>
      <x:c r="F674" s="16" t="n">
        <x:f>C674^2</x:f>
        <x:v>0.0003013727737065935</x:v>
      </x:c>
      <x:c r="G674" s="1"/>
      <x:c r="H674" s="1"/>
      <x:c r="I674" s="1"/>
      <x:c r="J674" s="1"/>
      <x:c r="K674" s="1"/>
      <x:c r="L674" s="1"/>
      <x:c r="M674" s="1"/>
      <x:c r="N674" s="1"/>
    </x:row>
    <x:row r="675" ht="22" customHeight="1">
      <x:c r="A675" s="1" t="n">
        <x:v>659</x:v>
      </x:c>
      <x:c r="B675" s="16" t="n">
        <x:v>0.16728770855610525</x:v>
      </x:c>
      <x:c r="C675" s="16" t="n">
        <x:f>$B$12+$D$12*B675</x:f>
        <x:v>0.00270448195290303</x:v>
      </x:c>
      <x:c r="D675" s="12" t="n">
        <x:f>D674*EXP(C675)</x:f>
        <x:v>139.28215059489787</x:v>
      </x:c>
      <x:c r="E675" s="16" t="n">
        <x:f>ABS(C675)</x:f>
        <x:v>0.00270448195290303</x:v>
      </x:c>
      <x:c r="F675" s="16" t="n">
        <x:f>C675^2</x:f>
        <x:v>0.000007314222633578186</x:v>
      </x:c>
      <x:c r="G675" s="1"/>
      <x:c r="H675" s="1"/>
      <x:c r="I675" s="1"/>
      <x:c r="J675" s="1"/>
      <x:c r="K675" s="1"/>
      <x:c r="L675" s="1"/>
      <x:c r="M675" s="1"/>
      <x:c r="N675" s="1"/>
    </x:row>
    <x:row r="676" ht="22" customHeight="1">
      <x:c r="A676" s="1" t="n">
        <x:v>660</x:v>
      </x:c>
      <x:c r="B676" s="16" t="n">
        <x:v>-1.5197127478942603</x:v>
      </x:c>
      <x:c r="C676" s="16" t="n">
        <x:f>$B$12+$D$12*B676</x:f>
        <x:v>-0.019599900483901086</x:v>
      </x:c>
      <x:c r="D676" s="12" t="n">
        <x:f>D675*EXP(C676)</x:f>
        <x:v>136.57881341530273</x:v>
      </x:c>
      <x:c r="E676" s="16" t="n">
        <x:f>ABS(C676)</x:f>
        <x:v>0.019599900483901086</x:v>
      </x:c>
      <x:c r="F676" s="16" t="n">
        <x:f>C676^2</x:f>
        <x:v>0.00038415609897882603</x:v>
      </x:c>
      <x:c r="G676" s="1"/>
      <x:c r="H676" s="1"/>
      <x:c r="I676" s="1"/>
      <x:c r="J676" s="1"/>
      <x:c r="K676" s="1"/>
      <x:c r="L676" s="1"/>
      <x:c r="M676" s="1"/>
      <x:c r="N676" s="1"/>
    </x:row>
    <x:row r="677" ht="22" customHeight="1">
      <x:c r="A677" s="1" t="n">
        <x:v>661</x:v>
      </x:c>
      <x:c r="B677" s="16" t="n">
        <x:v>1.3612713728361898</x:v>
      </x:c>
      <x:c r="C677" s="16" t="n">
        <x:f>$B$12+$D$12*B677</x:f>
        <x:v>0.018490528820628505</x:v>
      </x:c>
      <x:c r="D677" s="12" t="n">
        <x:f>D676*EXP(C677)</x:f>
        <x:v>139.12772059979665</x:v>
      </x:c>
      <x:c r="E677" s="16" t="n">
        <x:f>ABS(C677)</x:f>
        <x:v>0.018490528820628505</x:v>
      </x:c>
      <x:c r="F677" s="16" t="n">
        <x:f>C677^2</x:f>
        <x:v>0.0003418996560664934</x:v>
      </x:c>
      <x:c r="G677" s="1"/>
      <x:c r="H677" s="1"/>
      <x:c r="I677" s="1"/>
      <x:c r="J677" s="1"/>
      <x:c r="K677" s="1"/>
      <x:c r="L677" s="1"/>
      <x:c r="M677" s="1"/>
      <x:c r="N677" s="1"/>
    </x:row>
    <x:row r="678" ht="22" customHeight="1">
      <x:c r="A678" s="1" t="n">
        <x:v>662</x:v>
      </x:c>
      <x:c r="B678" s="16" t="n">
        <x:v>-0.7344103706449807</x:v>
      </x:c>
      <x:c r="C678" s="16" t="n">
        <x:f>$B$12+$D$12*B678</x:f>
        <x:v>-0.009217162006429493</x:v>
      </x:c>
      <x:c r="D678" s="12" t="n">
        <x:f>D677*EXP(C678)</x:f>
        <x:v>137.85124961635282</x:v>
      </x:c>
      <x:c r="E678" s="16" t="n">
        <x:f>ABS(C678)</x:f>
        <x:v>0.009217162006429493</x:v>
      </x:c>
      <x:c r="F678" s="16" t="n">
        <x:f>C678^2</x:f>
        <x:v>0.00008495607545276736</x:v>
      </x:c>
      <x:c r="G678" s="1"/>
      <x:c r="H678" s="1"/>
      <x:c r="I678" s="1"/>
      <x:c r="J678" s="1"/>
      <x:c r="K678" s="1"/>
      <x:c r="L678" s="1"/>
      <x:c r="M678" s="1"/>
      <x:c r="N678" s="1"/>
    </x:row>
    <x:row r="679" ht="22" customHeight="1">
      <x:c r="A679" s="1" t="n">
        <x:v>663</x:v>
      </x:c>
      <x:c r="B679" s="16" t="n">
        <x:v>0.8192683778917199</x:v>
      </x:c>
      <x:c r="C679" s="16" t="n">
        <x:f>$B$12+$D$12*B679</x:f>
        <x:v>0.011324530711433361</x:v>
      </x:c>
      <x:c r="D679" s="12" t="n">
        <x:f>D678*EXP(C679)</x:f>
        <x:v>139.42122315461614</x:v>
      </x:c>
      <x:c r="E679" s="16" t="n">
        <x:f>ABS(C679)</x:f>
        <x:v>0.011324530711433361</x:v>
      </x:c>
      <x:c r="F679" s="16" t="n">
        <x:f>C679^2</x:f>
        <x:v>0.0001282449958341974</x:v>
      </x:c>
      <x:c r="G679" s="1"/>
      <x:c r="H679" s="1"/>
      <x:c r="I679" s="1"/>
      <x:c r="J679" s="1"/>
      <x:c r="K679" s="1"/>
      <x:c r="L679" s="1"/>
      <x:c r="M679" s="1"/>
      <x:c r="N679" s="1"/>
    </x:row>
    <x:row r="680" ht="22" customHeight="1">
      <x:c r="A680" s="1" t="n">
        <x:v>664</x:v>
      </x:c>
      <x:c r="B680" s="16" t="n">
        <x:v>-0.6373360314692118</x:v>
      </x:c>
      <x:c r="C680" s="16" t="n">
        <x:f>$B$12+$D$12*B680</x:f>
        <x:v>-0.007933710554180235</x:v>
      </x:c>
      <x:c r="D680" s="12" t="n">
        <x:f>D679*EXP(C680)</x:f>
        <x:v>138.3194717922289</x:v>
      </x:c>
      <x:c r="E680" s="16" t="n">
        <x:f>ABS(C680)</x:f>
        <x:v>0.007933710554180235</x:v>
      </x:c>
      <x:c r="F680" s="16" t="n">
        <x:f>C680^2</x:f>
        <x:v>0.00006294376315751084</x:v>
      </x:c>
      <x:c r="G680" s="1"/>
      <x:c r="H680" s="1"/>
      <x:c r="I680" s="1"/>
      <x:c r="J680" s="1"/>
      <x:c r="K680" s="1"/>
      <x:c r="L680" s="1"/>
      <x:c r="M680" s="1"/>
      <x:c r="N680" s="1"/>
    </x:row>
    <x:row r="681" ht="22" customHeight="1">
      <x:c r="A681" s="1" t="n">
        <x:v>665</x:v>
      </x:c>
      <x:c r="B681" s="16" t="n">
        <x:v>0.3257061826429425</x:v>
      </x:c>
      <x:c r="C681" s="16" t="n">
        <x:f>$B$12+$D$12*B681</x:f>
        <x:v>0.004798984190633586</x:v>
      </x:c>
      <x:c r="D681" s="12" t="n">
        <x:f>D680*EXP(C681)</x:f>
        <x:v>138.98486006751915</x:v>
      </x:c>
      <x:c r="E681" s="16" t="n">
        <x:f>ABS(C681)</x:f>
        <x:v>0.004798984190633586</x:v>
      </x:c>
      <x:c r="F681" s="16" t="n">
        <x:f>C681^2</x:f>
        <x:v>0.000023030249261951098</x:v>
      </x:c>
      <x:c r="G681" s="1"/>
      <x:c r="H681" s="1"/>
      <x:c r="I681" s="1"/>
      <x:c r="J681" s="1"/>
      <x:c r="K681" s="1"/>
      <x:c r="L681" s="1"/>
      <x:c r="M681" s="1"/>
      <x:c r="N681" s="1"/>
    </x:row>
    <x:row r="682" ht="22" customHeight="1">
      <x:c r="A682" s="1" t="n">
        <x:v>666</x:v>
      </x:c>
      <x:c r="B682" s="16" t="n">
        <x:v>0.03605553030052495</x:v>
      </x:c>
      <x:c r="C682" s="16" t="n">
        <x:f>$B$12+$D$12*B682</x:f>
        <x:v>0.0009694185860642602</x:v>
      </x:c>
      <x:c r="D682" s="12" t="n">
        <x:f>D681*EXP(C682)</x:f>
        <x:v>139.11965990222598</x:v>
      </x:c>
      <x:c r="E682" s="16" t="n">
        <x:f>ABS(C682)</x:f>
        <x:v>0.0009694185860642602</x:v>
      </x:c>
      <x:c r="F682" s="16" t="n">
        <x:f>C682^2</x:f>
        <x:v>9.397723950068294e-7</x:v>
      </x:c>
      <x:c r="G682" s="1"/>
      <x:c r="H682" s="1"/>
      <x:c r="I682" s="1"/>
      <x:c r="J682" s="1"/>
      <x:c r="K682" s="1"/>
      <x:c r="L682" s="1"/>
      <x:c r="M682" s="1"/>
      <x:c r="N682" s="1"/>
    </x:row>
    <x:row r="683" ht="22" customHeight="1">
      <x:c r="A683" s="1" t="n">
        <x:v>667</x:v>
      </x:c>
      <x:c r="B683" s="16" t="n">
        <x:v>-1.227066685722455</x:v>
      </x:c>
      <x:c r="C683" s="16" t="n">
        <x:f>$B$12+$D$12*B683</x:f>
        <x:v>-0.015730731590468283</x:v>
      </x:c>
      <x:c r="D683" s="12" t="n">
        <x:f>D682*EXP(C683)</x:f>
        <x:v>136.94832896100138</x:v>
      </x:c>
      <x:c r="E683" s="16" t="n">
        <x:f>ABS(C683)</x:f>
        <x:v>0.015730731590468283</x:v>
      </x:c>
      <x:c r="F683" s="16" t="n">
        <x:f>C683^2</x:f>
        <x:v>0.0002474559163713568</x:v>
      </x:c>
      <x:c r="G683" s="1"/>
      <x:c r="H683" s="1"/>
      <x:c r="I683" s="1"/>
      <x:c r="J683" s="1"/>
      <x:c r="K683" s="1"/>
      <x:c r="L683" s="1"/>
      <x:c r="M683" s="1"/>
      <x:c r="N683" s="1"/>
    </x:row>
    <x:row r="684" ht="22" customHeight="1">
      <x:c r="A684" s="1" t="n">
        <x:v>668</x:v>
      </x:c>
      <x:c r="B684" s="16" t="n">
        <x:v>-0.40619105757899077</x:v>
      </x:c>
      <x:c r="C684" s="16" t="n">
        <x:f>$B$12+$D$12*B684</x:f>
        <x:v>-0.004877667577855006</x:v>
      </x:c>
      <x:c r="D684" s="12" t="n">
        <x:f>D683*EXP(C684)</x:f>
        <x:v>136.28196700419596</x:v>
      </x:c>
      <x:c r="E684" s="16" t="n">
        <x:f>ABS(C684)</x:f>
        <x:v>0.004877667577855006</x:v>
      </x:c>
      <x:c r="F684" s="16" t="n">
        <x:f>C684^2</x:f>
        <x:v>0.000023791641000057917</x:v>
      </x:c>
      <x:c r="G684" s="1"/>
      <x:c r="H684" s="1"/>
      <x:c r="I684" s="1"/>
      <x:c r="J684" s="1"/>
      <x:c r="K684" s="1"/>
      <x:c r="L684" s="1"/>
      <x:c r="M684" s="1"/>
      <x:c r="N684" s="1"/>
    </x:row>
    <x:row r="685" ht="22" customHeight="1">
      <x:c r="A685" s="1" t="n">
        <x:v>669</x:v>
      </x:c>
      <x:c r="B685" s="16" t="n">
        <x:v>0.6941926410003632</x:v>
      </x:c>
      <x:c r="C685" s="16" t="n">
        <x:f>$B$12+$D$12*B685</x:f>
        <x:v>0.00967086366082697</x:v>
      </x:c>
      <x:c r="D685" s="12" t="n">
        <x:f>D684*EXP(C685)</x:f>
        <x:v>137.60632484682546</x:v>
      </x:c>
      <x:c r="E685" s="16" t="n">
        <x:f>ABS(C685)</x:f>
        <x:v>0.00967086366082697</x:v>
      </x:c>
      <x:c r="F685" s="16" t="n">
        <x:f>C685^2</x:f>
        <x:v>0.00009352560394630361</x:v>
      </x:c>
      <x:c r="G685" s="1"/>
      <x:c r="H685" s="1"/>
      <x:c r="I685" s="1"/>
      <x:c r="J685" s="1"/>
      <x:c r="K685" s="1"/>
      <x:c r="L685" s="1"/>
      <x:c r="M685" s="1"/>
      <x:c r="N685" s="1"/>
    </x:row>
    <x:row r="686" ht="22" customHeight="1">
      <x:c r="A686" s="1" t="n">
        <x:v>670</x:v>
      </x:c>
      <x:c r="B686" s="16" t="n">
        <x:v>0.1293141559042898</x:v>
      </x:c>
      <x:c r="C686" s="16" t="n">
        <x:f>$B$12+$D$12*B686</x:f>
        <x:v>0.0022024212465222262</x:v>
      </x:c>
      <x:c r="D686" s="12" t="n">
        <x:f>D685*EXP(C686)</x:f>
        <x:v>137.90972592617436</x:v>
      </x:c>
      <x:c r="E686" s="16" t="n">
        <x:f>ABS(C686)</x:f>
        <x:v>0.0022024212465222262</x:v>
      </x:c>
      <x:c r="F686" s="16" t="n">
        <x:f>C686^2</x:f>
        <x:v>0.000004850659347132517</x:v>
      </x:c>
      <x:c r="G686" s="1"/>
      <x:c r="H686" s="1"/>
      <x:c r="I686" s="1"/>
      <x:c r="J686" s="1"/>
      <x:c r="K686" s="1"/>
      <x:c r="L686" s="1"/>
      <x:c r="M686" s="1"/>
      <x:c r="N686" s="1"/>
    </x:row>
    <x:row r="687" ht="22" customHeight="1">
      <x:c r="A687" s="1" t="n">
        <x:v>671</x:v>
      </x:c>
      <x:c r="B687" s="16" t="n">
        <x:v>0.3687547660740267</x:v>
      </x:c>
      <x:c r="C687" s="16" t="n">
        <x:f>$B$12+$D$12*B687</x:f>
        <x:v>0.005368143531722254</x:v>
      </x:c>
      <x:c r="D687" s="12" t="n">
        <x:f>D686*EXP(C687)</x:f>
        <x:v>138.6520357596399</x:v>
      </x:c>
      <x:c r="E687" s="16" t="n">
        <x:f>ABS(C687)</x:f>
        <x:v>0.005368143531722254</x:v>
      </x:c>
      <x:c r="F687" s="16" t="n">
        <x:f>C687^2</x:f>
        <x:v>0.00002881696497717147</x:v>
      </x:c>
      <x:c r="G687" s="1"/>
      <x:c r="H687" s="1"/>
      <x:c r="I687" s="1"/>
      <x:c r="J687" s="1"/>
      <x:c r="K687" s="1"/>
      <x:c r="L687" s="1"/>
      <x:c r="M687" s="1"/>
      <x:c r="N687" s="1"/>
    </x:row>
    <x:row r="688" ht="22" customHeight="1">
      <x:c r="A688" s="1" t="n">
        <x:v>672</x:v>
      </x:c>
      <x:c r="B688" s="16" t="n">
        <x:v>-0.18044847985276885</x:v>
      </x:c>
      <x:c r="C688" s="16" t="n">
        <x:f>$B$12+$D$12*B688</x:f>
        <x:v>-0.001893051440601594</x:v>
      </x:c>
      <x:c r="D688" s="12" t="n">
        <x:f>D687*EXP(C688)</x:f>
        <x:v>138.38980860665833</x:v>
      </x:c>
      <x:c r="E688" s="16" t="n">
        <x:f>ABS(C688)</x:f>
        <x:v>0.001893051440601594</x:v>
      </x:c>
      <x:c r="F688" s="16" t="n">
        <x:f>C688^2</x:f>
        <x:v>0.0000035836437567637707</x:v>
      </x:c>
      <x:c r="G688" s="1"/>
      <x:c r="H688" s="1"/>
      <x:c r="I688" s="1"/>
      <x:c r="J688" s="1"/>
      <x:c r="K688" s="1"/>
      <x:c r="L688" s="1"/>
      <x:c r="M688" s="1"/>
      <x:c r="N688" s="1"/>
    </x:row>
    <x:row r="689" ht="22" customHeight="1">
      <x:c r="A689" s="1" t="n">
        <x:v>673</x:v>
      </x:c>
      <x:c r="B689" s="16" t="n">
        <x:v>-0.15327233958569383</x:v>
      </x:c>
      <x:c r="C689" s="16" t="n">
        <x:f>$B$12+$D$12*B689</x:f>
        <x:v>-0.001533746839731199</x:v>
      </x:c>
      <x:c r="D689" s="12" t="n">
        <x:f>D688*EXP(C689)</x:f>
        <x:v>138.17771636453668</x:v>
      </x:c>
      <x:c r="E689" s="16" t="n">
        <x:f>ABS(C689)</x:f>
        <x:v>0.001533746839731199</x:v>
      </x:c>
      <x:c r="F689" s="16" t="n">
        <x:f>C689^2</x:f>
        <x:v>0.00000235237936838544</x:v>
      </x:c>
      <x:c r="G689" s="1"/>
      <x:c r="H689" s="1"/>
      <x:c r="I689" s="1"/>
      <x:c r="J689" s="1"/>
      <x:c r="K689" s="1"/>
      <x:c r="L689" s="1"/>
      <x:c r="M689" s="1"/>
      <x:c r="N689" s="1"/>
    </x:row>
    <x:row r="690" ht="22" customHeight="1">
      <x:c r="A690" s="1" t="n">
        <x:v>674</x:v>
      </x:c>
      <x:c r="B690" s="16" t="n">
        <x:v>1.645639336076161</x:v>
      </x:c>
      <x:c r="C690" s="16" t="n">
        <x:f>$B$12+$D$12*B690</x:f>
        <x:v>0.022250250272171566</x:v>
      </x:c>
      <x:c r="D690" s="12" t="n">
        <x:f>D689*EXP(C690)</x:f>
        <x:v>141.2866643084805</x:v>
      </x:c>
      <x:c r="E690" s="16" t="n">
        <x:f>ABS(C690)</x:f>
        <x:v>0.022250250272171566</x:v>
      </x:c>
      <x:c r="F690" s="16" t="n">
        <x:f>C690^2</x:f>
        <x:v>0.0004950736371742709</x:v>
      </x:c>
      <x:c r="G690" s="1"/>
      <x:c r="H690" s="1"/>
      <x:c r="I690" s="1"/>
      <x:c r="J690" s="1"/>
      <x:c r="K690" s="1"/>
      <x:c r="L690" s="1"/>
      <x:c r="M690" s="1"/>
      <x:c r="N690" s="1"/>
    </x:row>
    <x:row r="691" ht="22" customHeight="1">
      <x:c r="A691" s="1" t="n">
        <x:v>675</x:v>
      </x:c>
      <x:c r="B691" s="16" t="n">
        <x:v>-1.1958510479588769</x:v>
      </x:c>
      <x:c r="C691" s="16" t="n">
        <x:f>$B$12+$D$12*B691</x:f>
        <x:v>-0.015318019477661527</x:v>
      </x:c>
      <x:c r="D691" s="12" t="n">
        <x:f>D690*EXP(C691)</x:f>
        <x:v>139.1389239922936</x:v>
      </x:c>
      <x:c r="E691" s="16" t="n">
        <x:f>ABS(C691)</x:f>
        <x:v>0.015318019477661527</x:v>
      </x:c>
      <x:c r="F691" s="16" t="n">
        <x:f>C691^2</x:f>
        <x:v>0.00023464172071801793</x:v>
      </x:c>
      <x:c r="G691" s="1"/>
      <x:c r="H691" s="1"/>
      <x:c r="I691" s="1"/>
      <x:c r="J691" s="1"/>
      <x:c r="K691" s="1"/>
      <x:c r="L691" s="1"/>
      <x:c r="M691" s="1"/>
      <x:c r="N691" s="1"/>
    </x:row>
    <x:row r="692" ht="22" customHeight="1">
      <x:c r="A692" s="1" t="n">
        <x:v>676</x:v>
      </x:c>
      <x:c r="B692" s="16" t="n">
        <x:v>0.07932599952356936</x:v>
      </x:c>
      <x:c r="C692" s="16" t="n">
        <x:f>$B$12+$D$12*B692</x:f>
        <x:v>0.0015415115514695369</x:v>
      </x:c>
      <x:c r="D692" s="12" t="n">
        <x:f>D691*EXP(C692)</x:f>
        <x:v>139.35357365084562</x:v>
      </x:c>
      <x:c r="E692" s="16" t="n">
        <x:f>ABS(C692)</x:f>
        <x:v>0.0015415115514695369</x:v>
      </x:c>
      <x:c r="F692" s="16" t="n">
        <x:f>C692^2</x:f>
        <x:v>0.0000023762578633140186</x:v>
      </x:c>
      <x:c r="G692" s="1"/>
      <x:c r="H692" s="1"/>
      <x:c r="I692" s="1"/>
      <x:c r="J692" s="1"/>
      <x:c r="K692" s="1"/>
      <x:c r="L692" s="1"/>
      <x:c r="M692" s="1"/>
      <x:c r="N692" s="1"/>
    </x:row>
    <x:row r="693" ht="22" customHeight="1">
      <x:c r="A693" s="1" t="n">
        <x:v>677</x:v>
      </x:c>
      <x:c r="B693" s="16" t="n">
        <x:v>0.6559462332762913</x:v>
      </x:c>
      <x:c r="C693" s="16" t="n">
        <x:f>$B$12+$D$12*B693</x:f>
        <x:v>0.009165195448675698</x:v>
      </x:c>
      <x:c r="D693" s="12" t="n">
        <x:f>D692*EXP(C693)</x:f>
        <x:v>140.6366472182484</x:v>
      </x:c>
      <x:c r="E693" s="16" t="n">
        <x:f>ABS(C693)</x:f>
        <x:v>0.009165195448675698</x:v>
      </x:c>
      <x:c r="F693" s="16" t="n">
        <x:f>C693^2</x:f>
        <x:v>0.00008400080761242573</x:v>
      </x:c>
      <x:c r="G693" s="1"/>
      <x:c r="H693" s="1"/>
      <x:c r="I693" s="1"/>
      <x:c r="J693" s="1"/>
      <x:c r="K693" s="1"/>
      <x:c r="L693" s="1"/>
      <x:c r="M693" s="1"/>
      <x:c r="N693" s="1"/>
    </x:row>
    <x:row r="694" ht="22" customHeight="1">
      <x:c r="A694" s="1" t="n">
        <x:v>678</x:v>
      </x:c>
      <x:c r="B694" s="16" t="n">
        <x:v>2.1099803221526816</x:v>
      </x:c>
      <x:c r="C694" s="16" t="n">
        <x:f>$B$12+$D$12*B694</x:f>
        <x:v>0.028389453670092026</x:v>
      </x:c>
      <x:c r="D694" s="12" t="n">
        <x:f>D693*EXP(C694)</x:f>
        <x:v>144.6864587719521</x:v>
      </x:c>
      <x:c r="E694" s="16" t="n">
        <x:f>ABS(C694)</x:f>
        <x:v>0.028389453670092026</x:v>
      </x:c>
      <x:c r="F694" s="16" t="n">
        <x:f>C694^2</x:f>
        <x:v>0.0008059610796863016</x:v>
      </x:c>
      <x:c r="G694" s="1"/>
      <x:c r="H694" s="1"/>
      <x:c r="I694" s="1"/>
      <x:c r="J694" s="1"/>
      <x:c r="K694" s="1"/>
      <x:c r="L694" s="1"/>
      <x:c r="M694" s="1"/>
      <x:c r="N694" s="1"/>
    </x:row>
    <x:row r="695" ht="22" customHeight="1">
      <x:c r="A695" s="1" t="n">
        <x:v>679</x:v>
      </x:c>
      <x:c r="B695" s="16" t="n">
        <x:v>-0.6188785091138637</x:v>
      </x:c>
      <x:c r="C695" s="16" t="n">
        <x:f>$B$12+$D$12*B695</x:f>
        <x:v>-0.007689677640095685</x:v>
      </x:c>
      <x:c r="D695" s="12" t="n">
        <x:f>D694*EXP(C695)</x:f>
        <x:v>143.57813333913182</x:v>
      </x:c>
      <x:c r="E695" s="16" t="n">
        <x:f>ABS(C695)</x:f>
        <x:v>0.007689677640095685</x:v>
      </x:c>
      <x:c r="F695" s="16" t="n">
        <x:f>C695^2</x:f>
        <x:v>0.00005913114220858754</x:v>
      </x:c>
      <x:c r="G695" s="1"/>
      <x:c r="H695" s="1"/>
      <x:c r="I695" s="1"/>
      <x:c r="J695" s="1"/>
      <x:c r="K695" s="1"/>
      <x:c r="L695" s="1"/>
      <x:c r="M695" s="1"/>
      <x:c r="N695" s="1"/>
    </x:row>
    <x:row r="696" ht="22" customHeight="1">
      <x:c r="A696" s="1" t="n">
        <x:v>680</x:v>
      </x:c>
      <x:c r="B696" s="16" t="n">
        <x:v>-1.4867523040739863</x:v>
      </x:c>
      <x:c r="C696" s="16" t="n">
        <x:f>$B$12+$D$12*B696</x:f>
        <x:v>-0.01916411972199125</x:v>
      </x:c>
      <x:c r="D696" s="12" t="n">
        <x:f>D695*EXP(C696)</x:f>
        <x:v>140.85278268510737</x:v>
      </x:c>
      <x:c r="E696" s="16" t="n">
        <x:f>ABS(C696)</x:f>
        <x:v>0.01916411972199125</x:v>
      </x:c>
      <x:c r="F696" s="16" t="n">
        <x:f>C696^2</x:f>
        <x:v>0.0003672634847188139</x:v>
      </x:c>
      <x:c r="G696" s="1"/>
      <x:c r="H696" s="1"/>
      <x:c r="I696" s="1"/>
      <x:c r="J696" s="1"/>
      <x:c r="K696" s="1"/>
      <x:c r="L696" s="1"/>
      <x:c r="M696" s="1"/>
      <x:c r="N696" s="1"/>
    </x:row>
    <x:row r="697" ht="22" customHeight="1">
      <x:c r="A697" s="1" t="n">
        <x:v>681</x:v>
      </x:c>
      <x:c r="B697" s="16" t="n">
        <x:v>0.06476922900162621</x:v>
      </x:c>
      <x:c r="C697" s="16" t="n">
        <x:f>$B$12+$D$12*B697</x:f>
        <x:v>0.001349051747724505</x:v>
      </x:c>
      <x:c r="D697" s="12" t="n">
        <x:f>D696*EXP(C697)</x:f>
        <x:v>141.04292860726702</x:v>
      </x:c>
      <x:c r="E697" s="16" t="n">
        <x:f>ABS(C697)</x:f>
        <x:v>0.001349051747724505</x:v>
      </x:c>
      <x:c r="F697" s="16" t="n">
        <x:f>C697^2</x:f>
        <x:v>0.0000018199406180385412</x:v>
      </x:c>
      <x:c r="G697" s="1"/>
      <x:c r="H697" s="1"/>
      <x:c r="I697" s="1"/>
      <x:c r="J697" s="1"/>
      <x:c r="K697" s="1"/>
      <x:c r="L697" s="1"/>
      <x:c r="M697" s="1"/>
      <x:c r="N697" s="1"/>
    </x:row>
    <x:row r="698" ht="22" customHeight="1">
      <x:c r="A698" s="1" t="n">
        <x:v>682</x:v>
      </x:c>
      <x:c r="B698" s="16" t="n">
        <x:v>-0.7621336188179626</x:v>
      </x:c>
      <x:c r="C698" s="16" t="n">
        <x:f>$B$12+$D$12*B698</x:f>
        <x:v>-0.009583700099099424</x:v>
      </x:c>
      <x:c r="D698" s="12" t="n">
        <x:f>D697*EXP(C698)</x:f>
        <x:v>139.69767204263255</x:v>
      </x:c>
      <x:c r="E698" s="16" t="n">
        <x:f>ABS(C698)</x:f>
        <x:v>0.009583700099099424</x:v>
      </x:c>
      <x:c r="F698" s="16" t="n">
        <x:f>C698^2</x:f>
        <x:v>0.0000918473075894783</x:v>
      </x:c>
      <x:c r="G698" s="1"/>
      <x:c r="H698" s="1"/>
      <x:c r="I698" s="1"/>
      <x:c r="J698" s="1"/>
      <x:c r="K698" s="1"/>
      <x:c r="L698" s="1"/>
      <x:c r="M698" s="1"/>
      <x:c r="N698" s="1"/>
    </x:row>
    <x:row r="699" ht="22" customHeight="1">
      <x:c r="A699" s="1" t="n">
        <x:v>683</x:v>
      </x:c>
      <x:c r="B699" s="16" t="n">
        <x:v>-1.3589797432624797</x:v>
      </x:c>
      <x:c r="C699" s="16" t="n">
        <x:f>$B$12+$D$12*B699</x:f>
        <x:v>-0.017474797084067288</x:v>
      </x:c>
      <x:c r="D699" s="12" t="n">
        <x:f>D698*EXP(C699)</x:f>
        <x:v>137.27768950436894</x:v>
      </x:c>
      <x:c r="E699" s="16" t="n">
        <x:f>ABS(C699)</x:f>
        <x:v>0.017474797084067288</x:v>
      </x:c>
      <x:c r="F699" s="16" t="n">
        <x:f>C699^2</x:f>
        <x:v>0.0003053685331293266</x:v>
      </x:c>
      <x:c r="G699" s="1"/>
      <x:c r="H699" s="1"/>
      <x:c r="I699" s="1"/>
      <x:c r="J699" s="1"/>
      <x:c r="K699" s="1"/>
      <x:c r="L699" s="1"/>
      <x:c r="M699" s="1"/>
      <x:c r="N699" s="1"/>
    </x:row>
    <x:row r="700" ht="22" customHeight="1">
      <x:c r="A700" s="1" t="n">
        <x:v>684</x:v>
      </x:c>
      <x:c r="B700" s="16" t="n">
        <x:v>0.16221522689663048</x:v>
      </x:c>
      <x:c r="C700" s="16" t="n">
        <x:f>$B$12+$D$12*B700</x:f>
        <x:v>0.0026374170209381292</x:v>
      </x:c>
      <x:c r="D700" s="12" t="n">
        <x:f>D699*EXP(C700)</x:f>
        <x:v>137.6402258889292</x:v>
      </x:c>
      <x:c r="E700" s="16" t="n">
        <x:f>ABS(C700)</x:f>
        <x:v>0.0026374170209381292</x:v>
      </x:c>
      <x:c r="F700" s="16" t="n">
        <x:f>C700^2</x:f>
        <x:v>0.000006955968542334157</x:v>
      </x:c>
      <x:c r="G700" s="1"/>
      <x:c r="H700" s="1"/>
      <x:c r="I700" s="1"/>
      <x:c r="J700" s="1"/>
      <x:c r="K700" s="1"/>
      <x:c r="L700" s="1"/>
      <x:c r="M700" s="1"/>
      <x:c r="N700" s="1"/>
    </x:row>
    <x:row r="701" ht="22" customHeight="1">
      <x:c r="A701" s="1" t="n">
        <x:v>685</x:v>
      </x:c>
      <x:c r="B701" s="16" t="n">
        <x:v>1.8766595932024546</x:v>
      </x:c>
      <x:c r="C701" s="16" t="n">
        <x:f>$B$12+$D$12*B701</x:f>
        <x:v>0.02530464432754465</x:v>
      </x:c>
      <x:c r="D701" s="12" t="n">
        <x:f>D700*EXP(C701)</x:f>
        <x:v>141.1676041560682</x:v>
      </x:c>
      <x:c r="E701" s="16" t="n">
        <x:f>ABS(C701)</x:f>
        <x:v>0.02530464432754465</x:v>
      </x:c>
      <x:c r="F701" s="16" t="n">
        <x:f>C701^2</x:f>
        <x:v>0.0006403250245435375</x:v>
      </x:c>
      <x:c r="G701" s="1"/>
      <x:c r="H701" s="1"/>
      <x:c r="I701" s="1"/>
      <x:c r="J701" s="1"/>
      <x:c r="K701" s="1"/>
      <x:c r="L701" s="1"/>
      <x:c r="M701" s="1"/>
      <x:c r="N701" s="1"/>
    </x:row>
    <x:row r="702" ht="22" customHeight="1">
      <x:c r="A702" s="1" t="n">
        <x:v>686</x:v>
      </x:c>
      <x:c r="B702" s="16" t="n">
        <x:v>-1.328536120212312</x:v>
      </x:c>
      <x:c r="C702" s="16" t="n">
        <x:f>$B$12+$D$12*B702</x:f>
        <x:v>-0.017072292029207025</x:v>
      </x:c>
      <x:c r="D702" s="12" t="n">
        <x:f>D701*EXP(C702)</x:f>
        <x:v>138.7780055948003</x:v>
      </x:c>
      <x:c r="E702" s="16" t="n">
        <x:f>ABS(C702)</x:f>
        <x:v>0.017072292029207025</x:v>
      </x:c>
      <x:c r="F702" s="16" t="n">
        <x:f>C702^2</x:f>
        <x:v>0.0002914631551305257</x:v>
      </x:c>
      <x:c r="G702" s="1"/>
      <x:c r="H702" s="1"/>
      <x:c r="I702" s="1"/>
      <x:c r="J702" s="1"/>
      <x:c r="K702" s="1"/>
      <x:c r="L702" s="1"/>
      <x:c r="M702" s="1"/>
      <x:c r="N702" s="1"/>
    </x:row>
    <x:row r="703" ht="22" customHeight="1">
      <x:c r="A703" s="1" t="n">
        <x:v>687</x:v>
      </x:c>
      <x:c r="B703" s="16" t="n">
        <x:v>-0.5082696757717164</x:v>
      </x:c>
      <x:c r="C703" s="16" t="n">
        <x:f>$B$12+$D$12*B703</x:f>
        <x:v>-0.006227282232721018</x:v>
      </x:c>
      <x:c r="D703" s="12" t="n">
        <x:f>D702*EXP(C703)</x:f>
        <x:v>137.91648104860684</x:v>
      </x:c>
      <x:c r="E703" s="16" t="n">
        <x:f>ABS(C703)</x:f>
        <x:v>0.006227282232721018</x:v>
      </x:c>
      <x:c r="F703" s="16" t="n">
        <x:f>C703^2</x:f>
        <x:v>0.000038779044005962864</x:v>
      </x:c>
      <x:c r="G703" s="1"/>
      <x:c r="H703" s="1"/>
      <x:c r="I703" s="1"/>
      <x:c r="J703" s="1"/>
      <x:c r="K703" s="1"/>
      <x:c r="L703" s="1"/>
      <x:c r="M703" s="1"/>
      <x:c r="N703" s="1"/>
    </x:row>
    <x:row r="704" ht="22" customHeight="1">
      <x:c r="A704" s="1" t="n">
        <x:v>688</x:v>
      </x:c>
      <x:c r="B704" s="16" t="n">
        <x:v>1.8345810239688198</x:v>
      </x:c>
      <x:c r="C704" s="16" t="n">
        <x:f>$B$12+$D$12*B704</x:f>
        <x:v>0.024748309860063048</x:v>
      </x:c>
      <x:c r="D704" s="12" t="n">
        <x:f>D703*EXP(C704)</x:f>
        <x:v>141.3722669048213</x:v>
      </x:c>
      <x:c r="E704" s="16" t="n">
        <x:f>ABS(C704)</x:f>
        <x:v>0.024748309860063048</x:v>
      </x:c>
      <x:c r="F704" s="16" t="n">
        <x:f>C704^2</x:f>
        <x:v>0.0006124788409296939</x:v>
      </x:c>
      <x:c r="G704" s="1"/>
      <x:c r="H704" s="1"/>
      <x:c r="I704" s="1"/>
      <x:c r="J704" s="1"/>
      <x:c r="K704" s="1"/>
      <x:c r="L704" s="1"/>
      <x:c r="M704" s="1"/>
      <x:c r="N704" s="1"/>
    </x:row>
    <x:row r="705" ht="22" customHeight="1">
      <x:c r="A705" s="1" t="n">
        <x:v>689</x:v>
      </x:c>
      <x:c r="B705" s="16" t="n">
        <x:v>-0.15092835921450476</x:v>
      </x:c>
      <x:c r="C705" s="16" t="n">
        <x:f>$B$12+$D$12*B705</x:f>
        <x:v>-0.0015027563118842958</x:v>
      </x:c>
      <x:c r="D705" s="12" t="n">
        <x:f>D704*EXP(C705)</x:f>
        <x:v>141.15997838731</x:v>
      </x:c>
      <x:c r="E705" s="16" t="n">
        <x:f>ABS(C705)</x:f>
        <x:v>0.0015027563118842958</x:v>
      </x:c>
      <x:c r="F705" s="16" t="n">
        <x:f>C705^2</x:f>
        <x:v>0.000002258276532908091</x:v>
      </x:c>
      <x:c r="G705" s="1"/>
      <x:c r="H705" s="1"/>
      <x:c r="I705" s="1"/>
      <x:c r="J705" s="1"/>
      <x:c r="K705" s="1"/>
      <x:c r="L705" s="1"/>
      <x:c r="M705" s="1"/>
      <x:c r="N705" s="1"/>
    </x:row>
    <x:row r="706" ht="22" customHeight="1">
      <x:c r="A706" s="1" t="n">
        <x:v>690</x:v>
      </x:c>
      <x:c r="B706" s="16" t="n">
        <x:v>-0.6220704627688274</x:v>
      </x:c>
      <x:c r="C706" s="16" t="n">
        <x:f>$B$12+$D$12*B706</x:f>
        <x:v>-0.0077318794988851395</x:v>
      </x:c>
      <x:c r="D706" s="12" t="n">
        <x:f>D705*EXP(C706)</x:f>
        <x:v>140.07275500081718</x:v>
      </x:c>
      <x:c r="E706" s="16" t="n">
        <x:f>ABS(C706)</x:f>
        <x:v>0.0077318794988851395</x:v>
      </x:c>
      <x:c r="F706" s="16" t="n">
        <x:f>C706^2</x:f>
        <x:v>0.000059781960585280314</x:v>
      </x:c>
      <x:c r="G706" s="1"/>
      <x:c r="H706" s="1"/>
      <x:c r="I706" s="1"/>
      <x:c r="J706" s="1"/>
      <x:c r="K706" s="1"/>
      <x:c r="L706" s="1"/>
      <x:c r="M706" s="1"/>
      <x:c r="N706" s="1"/>
    </x:row>
    <x:row r="707" ht="22" customHeight="1">
      <x:c r="A707" s="1" t="n">
        <x:v>691</x:v>
      </x:c>
      <x:c r="B707" s="16" t="n">
        <x:v>-0.9591713787216917</x:v>
      </x:c>
      <x:c r="C707" s="16" t="n">
        <x:f>$B$12+$D$12*B707</x:f>
        <x:v>-0.012188800491680892</x:v>
      </x:c>
      <x:c r="D707" s="12" t="n">
        <x:f>D706*EXP(C707)</x:f>
        <x:v>138.37579907364395</x:v>
      </x:c>
      <x:c r="E707" s="16" t="n">
        <x:f>ABS(C707)</x:f>
        <x:v>0.012188800491680892</x:v>
      </x:c>
      <x:c r="F707" s="16" t="n">
        <x:f>C707^2</x:f>
        <x:v>0.00014856685742600036</x:v>
      </x:c>
      <x:c r="G707" s="1"/>
      <x:c r="H707" s="1"/>
      <x:c r="I707" s="1"/>
      <x:c r="J707" s="1"/>
      <x:c r="K707" s="1"/>
      <x:c r="L707" s="1"/>
      <x:c r="M707" s="1"/>
      <x:c r="N707" s="1"/>
    </x:row>
    <x:row r="708" ht="22" customHeight="1">
      <x:c r="A708" s="1" t="n">
        <x:v>692</x:v>
      </x:c>
      <x:c r="B708" s="16" t="n">
        <x:v>1.1315388296493463</x:v>
      </x:c>
      <x:c r="C708" s="16" t="n">
        <x:f>$B$12+$D$12*B708</x:f>
        <x:v>0.015453160050616121</x:v>
      </x:c>
      <x:c r="D708" s="12" t="n">
        <x:f>D707*EXP(C708)</x:f>
        <x:v>140.53074996096242</x:v>
      </x:c>
      <x:c r="E708" s="16" t="n">
        <x:f>ABS(C708)</x:f>
        <x:v>0.015453160050616121</x:v>
      </x:c>
      <x:c r="F708" s="16" t="n">
        <x:f>C708^2</x:f>
        <x:v>0.00023880015554995804</x:v>
      </x:c>
      <x:c r="G708" s="1"/>
      <x:c r="H708" s="1"/>
      <x:c r="I708" s="1"/>
      <x:c r="J708" s="1"/>
      <x:c r="K708" s="1"/>
      <x:c r="L708" s="1"/>
      <x:c r="M708" s="1"/>
      <x:c r="N708" s="1"/>
    </x:row>
    <x:row r="709" ht="22" customHeight="1">
      <x:c r="A709" s="1" t="n">
        <x:v>693</x:v>
      </x:c>
      <x:c r="B709" s="16" t="n">
        <x:v>0.143319992904065</x:v>
      </x:c>
      <x:c r="C709" s="16" t="n">
        <x:f>$B$12+$D$12*B709</x:f>
        <x:v>0.002387596978749254</x:v>
      </x:c>
      <x:c r="D709" s="12" t="n">
        <x:f>D708*EXP(C709)</x:f>
        <x:v>140.8666816301249</x:v>
      </x:c>
      <x:c r="E709" s="16" t="n">
        <x:f>ABS(C709)</x:f>
        <x:v>0.002387596978749254</x:v>
      </x:c>
      <x:c r="F709" s="16" t="n">
        <x:f>C709^2</x:f>
        <x:v>0.000005700619332932566</x:v>
      </x:c>
      <x:c r="G709" s="1"/>
      <x:c r="H709" s="1"/>
      <x:c r="I709" s="1"/>
      <x:c r="J709" s="1"/>
      <x:c r="K709" s="1"/>
      <x:c r="L709" s="1"/>
      <x:c r="M709" s="1"/>
      <x:c r="N709" s="1"/>
    </x:row>
    <x:row r="710" ht="22" customHeight="1">
      <x:c r="A710" s="1" t="n">
        <x:v>694</x:v>
      </x:c>
      <x:c r="B710" s="16" t="n">
        <x:v>0.5849939685668649</x:v>
      </x:c>
      <x:c r="C710" s="16" t="n">
        <x:f>$B$12+$D$12*B710</x:f>
        <x:v>0.008227112450069842</x:v>
      </x:c>
      <x:c r="D710" s="12" t="n">
        <x:f>D709*EXP(C710)</x:f>
        <x:v>142.03038806840888</x:v>
      </x:c>
      <x:c r="E710" s="16" t="n">
        <x:f>ABS(C710)</x:f>
        <x:v>0.008227112450069842</x:v>
      </x:c>
      <x:c r="F710" s="16" t="n">
        <x:f>C710^2</x:f>
        <x:v>0.00006768537926609421</x:v>
      </x:c>
      <x:c r="G710" s="1"/>
      <x:c r="H710" s="1"/>
      <x:c r="I710" s="1"/>
      <x:c r="J710" s="1"/>
      <x:c r="K710" s="1"/>
      <x:c r="L710" s="1"/>
      <x:c r="M710" s="1"/>
      <x:c r="N710" s="1"/>
    </x:row>
    <x:row r="711" ht="22" customHeight="1">
      <x:c r="A711" s="1" t="n">
        <x:v>695</x:v>
      </x:c>
      <x:c r="B711" s="16" t="n">
        <x:v>0.5131679490007529</x:v>
      </x:c>
      <x:c r="C711" s="16" t="n">
        <x:f>$B$12+$D$12*B711</x:f>
        <x:v>0.007277477253949745</x:v>
      </x:c>
      <x:c r="D711" s="12" t="n">
        <x:f>D710*EXP(C711)</x:f>
        <x:v>143.06778121094297</x:v>
      </x:c>
      <x:c r="E711" s="16" t="n">
        <x:f>ABS(C711)</x:f>
        <x:v>0.007277477253949745</x:v>
      </x:c>
      <x:c r="F711" s="16" t="n">
        <x:f>C711^2</x:f>
        <x:v>0.00005296167518175592</x:v>
      </x:c>
      <x:c r="G711" s="1"/>
      <x:c r="H711" s="1"/>
      <x:c r="I711" s="1"/>
      <x:c r="J711" s="1"/>
      <x:c r="K711" s="1"/>
      <x:c r="L711" s="1"/>
      <x:c r="M711" s="1"/>
      <x:c r="N711" s="1"/>
    </x:row>
    <x:row r="712" ht="22" customHeight="1">
      <x:c r="A712" s="1" t="n">
        <x:v>696</x:v>
      </x:c>
      <x:c r="B712" s="16" t="n">
        <x:v>0.9258571117954514</x:v>
      </x:c>
      <x:c r="C712" s="16" t="n">
        <x:f>$B$12+$D$12*B712</x:f>
        <x:v>0.012733775074914968</x:v>
      </x:c>
      <x:c r="D712" s="12" t="n">
        <x:f>D711*EXP(C712)</x:f>
        <x:v>144.90122269894832</x:v>
      </x:c>
      <x:c r="E712" s="16" t="n">
        <x:f>ABS(C712)</x:f>
        <x:v>0.012733775074914968</x:v>
      </x:c>
      <x:c r="F712" s="16" t="n">
        <x:f>C712^2</x:f>
        <x:v>0.0001621490276585257</x:v>
      </x:c>
      <x:c r="G712" s="1"/>
      <x:c r="H712" s="1"/>
      <x:c r="I712" s="1"/>
      <x:c r="J712" s="1"/>
      <x:c r="K712" s="1"/>
      <x:c r="L712" s="1"/>
      <x:c r="M712" s="1"/>
      <x:c r="N712" s="1"/>
    </x:row>
    <x:row r="713" ht="22" customHeight="1">
      <x:c r="A713" s="1" t="n">
        <x:v>697</x:v>
      </x:c>
      <x:c r="B713" s="16" t="n">
        <x:v>-0.49190559536321243</x:v>
      </x:c>
      <x:c r="C713" s="16" t="n">
        <x:f>$B$12+$D$12*B713</x:f>
        <x:v>-0.006010927396382758</x:v>
      </x:c>
      <x:c r="D713" s="12" t="n">
        <x:f>D712*EXP(C713)</x:f>
        <x:v>144.03284446355153</x:v>
      </x:c>
      <x:c r="E713" s="16" t="n">
        <x:f>ABS(C713)</x:f>
        <x:v>0.006010927396382758</x:v>
      </x:c>
      <x:c r="F713" s="16" t="n">
        <x:f>C713^2</x:f>
        <x:v>0.000036131248164584806</x:v>
      </x:c>
      <x:c r="G713" s="1"/>
      <x:c r="H713" s="1"/>
      <x:c r="I713" s="1"/>
      <x:c r="J713" s="1"/>
      <x:c r="K713" s="1"/>
      <x:c r="L713" s="1"/>
      <x:c r="M713" s="1"/>
      <x:c r="N713" s="1"/>
    </x:row>
    <x:row r="714" ht="22" customHeight="1">
      <x:c r="A714" s="1" t="n">
        <x:v>698</x:v>
      </x:c>
      <x:c r="B714" s="16" t="n">
        <x:v>-1.9422701719968074</x:v>
      </x:c>
      <x:c r="C714" s="16" t="n">
        <x:f>$B$12+$D$12*B714</x:f>
        <x:v>-0.025186669801394355</x:v>
      </x:c>
      <x:c r="D714" s="12" t="n">
        <x:f>D713*EXP(C714)</x:f>
        <x:v>140.45044055989865</x:v>
      </x:c>
      <x:c r="E714" s="16" t="n">
        <x:f>ABS(C714)</x:f>
        <x:v>0.025186669801394355</x:v>
      </x:c>
      <x:c r="F714" s="16" t="n">
        <x:f>C714^2</x:f>
        <x:v>0.0006343683356844704</x:v>
      </x:c>
      <x:c r="G714" s="1"/>
      <x:c r="H714" s="1"/>
      <x:c r="I714" s="1"/>
      <x:c r="J714" s="1"/>
      <x:c r="K714" s="1"/>
      <x:c r="L714" s="1"/>
      <x:c r="M714" s="1"/>
      <x:c r="N714" s="1"/>
    </x:row>
    <x:row r="715" ht="22" customHeight="1">
      <x:c r="A715" s="1" t="n">
        <x:v>699</x:v>
      </x:c>
      <x:c r="B715" s="16" t="n">
        <x:v>0.2291431029401145</x:v>
      </x:c>
      <x:c r="C715" s="16" t="n">
        <x:f>$B$12+$D$12*B715</x:f>
        <x:v>0.003522292266376931</x:v>
      </x:c>
      <x:c r="D715" s="12" t="n">
        <x:f>D714*EXP(C715)</x:f>
        <x:v>140.94602033653013</x:v>
      </x:c>
      <x:c r="E715" s="16" t="n">
        <x:f>ABS(C715)</x:f>
        <x:v>0.003522292266376931</x:v>
      </x:c>
      <x:c r="F715" s="16" t="n">
        <x:f>C715^2</x:f>
        <x:v>0.000012406542809778738</x:v>
      </x:c>
      <x:c r="G715" s="1"/>
      <x:c r="H715" s="1"/>
      <x:c r="I715" s="1"/>
      <x:c r="J715" s="1"/>
      <x:c r="K715" s="1"/>
      <x:c r="L715" s="1"/>
      <x:c r="M715" s="1"/>
      <x:c r="N715" s="1"/>
    </x:row>
    <x:row r="716" ht="22" customHeight="1">
      <x:c r="A716" s="1" t="n">
        <x:v>700</x:v>
      </x:c>
      <x:c r="B716" s="16" t="n">
        <x:v>0.5099400819752302</x:v>
      </x:c>
      <x:c r="C716" s="16" t="n">
        <x:f>$B$12+$D$12*B716</x:f>
        <x:v>0.007234800572792293</x:v>
      </x:c>
      <x:c r="D716" s="12" t="n">
        <x:f>D715*EXP(C716)</x:f>
        <x:v>141.96943431924154</x:v>
      </x:c>
      <x:c r="E716" s="16" t="n">
        <x:f>ABS(C716)</x:f>
        <x:v>0.007234800572792293</x:v>
      </x:c>
      <x:c r="F716" s="16" t="n">
        <x:f>C716^2</x:f>
        <x:v>0.000052342339328075697</x:v>
      </x:c>
      <x:c r="G716" s="1"/>
      <x:c r="H716" s="1"/>
      <x:c r="I716" s="1"/>
      <x:c r="J716" s="1"/>
      <x:c r="K716" s="1"/>
      <x:c r="L716" s="1"/>
      <x:c r="M716" s="1"/>
      <x:c r="N716" s="1"/>
    </x:row>
    <x:row r="717" ht="22" customHeight="1">
      <x:c r="A717" s="1" t="n">
        <x:v>701</x:v>
      </x:c>
      <x:c r="B717" s="16" t="n">
        <x:v>-1.8125867915621285</x:v>
      </x:c>
      <x:c r="C717" s="16" t="n">
        <x:f>$B$12+$D$12*B717</x:f>
        <x:v>-0.023472083594939623</x:v>
      </x:c>
      <x:c r="D717" s="12" t="n">
        <x:f>D716*EXP(C717)</x:f>
        <x:v>138.6759199206092</x:v>
      </x:c>
      <x:c r="E717" s="16" t="n">
        <x:f>ABS(C717)</x:f>
        <x:v>0.023472083594939623</x:v>
      </x:c>
      <x:c r="F717" s="16" t="n">
        <x:f>C717^2</x:f>
        <x:v>0.0005509387082878338</x:v>
      </x:c>
      <x:c r="G717" s="1"/>
      <x:c r="H717" s="1"/>
      <x:c r="I717" s="1"/>
      <x:c r="J717" s="1"/>
      <x:c r="K717" s="1"/>
      <x:c r="L717" s="1"/>
      <x:c r="M717" s="1"/>
      <x:c r="N717" s="1"/>
    </x:row>
    <x:row r="718" ht="22" customHeight="1">
      <x:c r="A718" s="1" t="n">
        <x:v>702</x:v>
      </x:c>
      <x:c r="B718" s="16" t="n">
        <x:v>-0.8312541626433404</x:v>
      </x:c>
      <x:c r="C718" s="16" t="n">
        <x:f>$B$12+$D$12*B718</x:f>
        <x:v>-0.010497565319364388</x:v>
      </x:c>
      <x:c r="D718" s="12" t="n">
        <x:f>D717*EXP(C718)</x:f>
        <x:v>137.2277746912288</x:v>
      </x:c>
      <x:c r="E718" s="16" t="n">
        <x:f>ABS(C718)</x:f>
        <x:v>0.010497565319364388</x:v>
      </x:c>
      <x:c r="F718" s="16" t="n">
        <x:f>C718^2</x:f>
        <x:v>0.00011019887763432194</x:v>
      </x:c>
      <x:c r="G718" s="1"/>
      <x:c r="H718" s="1"/>
      <x:c r="I718" s="1"/>
      <x:c r="J718" s="1"/>
      <x:c r="K718" s="1"/>
      <x:c r="L718" s="1"/>
      <x:c r="M718" s="1"/>
      <x:c r="N718" s="1"/>
    </x:row>
    <x:row r="719" ht="22" customHeight="1">
      <x:c r="A719" s="1" t="n">
        <x:v>703</x:v>
      </x:c>
      <x:c r="B719" s="16" t="n">
        <x:v>0.590304336874405</x:v>
      </x:c>
      <x:c r="C719" s="16" t="n">
        <x:f>$B$12+$D$12*B719</x:f>
        <x:v>0.008297322558880884</x:v>
      </x:c>
      <x:c r="D719" s="12" t="n">
        <x:f>D718*EXP(C719)</x:f>
        <x:v>138.3711346554942</x:v>
      </x:c>
      <x:c r="E719" s="16" t="n">
        <x:f>ABS(C719)</x:f>
        <x:v>0.008297322558880884</x:v>
      </x:c>
      <x:c r="F719" s="16" t="n">
        <x:f>C719^2</x:f>
        <x:v>0.00006884556164611362</x:v>
      </x:c>
      <x:c r="G719" s="1"/>
      <x:c r="H719" s="1"/>
      <x:c r="I719" s="1"/>
      <x:c r="J719" s="1"/>
      <x:c r="K719" s="1"/>
      <x:c r="L719" s="1"/>
      <x:c r="M719" s="1"/>
      <x:c r="N719" s="1"/>
    </x:row>
    <x:row r="720" ht="22" customHeight="1">
      <x:c r="A720" s="1" t="n">
        <x:v>704</x:v>
      </x:c>
      <x:c r="B720" s="16" t="n">
        <x:v>-0.36537647347579333</x:v>
      </x:c>
      <x:c r="C720" s="16" t="n">
        <x:f>$B$12+$D$12*B720</x:f>
        <x:v>-0.004338044669422434</x:v>
      </x:c>
      <x:c r="D720" s="12" t="n">
        <x:f>D719*EXP(C720)</x:f>
        <x:v>137.77217458946126</x:v>
      </x:c>
      <x:c r="E720" s="16" t="n">
        <x:f>ABS(C720)</x:f>
        <x:v>0.004338044669422434</x:v>
      </x:c>
      <x:c r="F720" s="16" t="n">
        <x:f>C720^2</x:f>
        <x:v>0.000018818631553904397</x:v>
      </x:c>
      <x:c r="G720" s="1"/>
      <x:c r="H720" s="1"/>
      <x:c r="I720" s="1"/>
      <x:c r="J720" s="1"/>
      <x:c r="K720" s="1"/>
      <x:c r="L720" s="1"/>
      <x:c r="M720" s="1"/>
      <x:c r="N720" s="1"/>
    </x:row>
    <x:row r="721" ht="22" customHeight="1">
      <x:c r="A721" s="1" t="n">
        <x:v>705</x:v>
      </x:c>
      <x:c r="B721" s="16" t="n">
        <x:v>0.4690378052598889</x:v>
      </x:c>
      <x:c r="C721" s="16" t="n">
        <x:f>$B$12+$D$12*B721</x:f>
        <x:v>0.0066940182517758896</x:v>
      </x:c>
      <x:c r="D721" s="12" t="n">
        <x:f>D720*EXP(C721)</x:f>
        <x:v>138.69751771726965</x:v>
      </x:c>
      <x:c r="E721" s="16" t="n">
        <x:f>ABS(C721)</x:f>
        <x:v>0.0066940182517758896</x:v>
      </x:c>
      <x:c r="F721" s="16" t="n">
        <x:f>C721^2</x:f>
        <x:v>0.000044809880355108736</x:v>
      </x:c>
      <x:c r="G721" s="1"/>
      <x:c r="H721" s="1"/>
      <x:c r="I721" s="1"/>
      <x:c r="J721" s="1"/>
      <x:c r="K721" s="1"/>
      <x:c r="L721" s="1"/>
      <x:c r="M721" s="1"/>
      <x:c r="N721" s="1"/>
    </x:row>
    <x:row r="722" ht="22" customHeight="1">
      <x:c r="A722" s="1" t="n">
        <x:v>706</x:v>
      </x:c>
      <x:c r="B722" s="16" t="n">
        <x:v>-0.6687777694915527</x:v>
      </x:c>
      <x:c r="C722" s="16" t="n">
        <x:f>$B$12+$D$12*B722</x:f>
        <x:v>-0.008349412012141712</x:v>
      </x:c>
      <x:c r="D722" s="12" t="n">
        <x:f>D721*EXP(C722)</x:f>
        <x:v>137.54429605768212</x:v>
      </x:c>
      <x:c r="E722" s="16" t="n">
        <x:f>ABS(C722)</x:f>
        <x:v>0.008349412012141712</x:v>
      </x:c>
      <x:c r="F722" s="16" t="n">
        <x:f>C722^2</x:f>
        <x:v>0.0000697126809484963</x:v>
      </x:c>
      <x:c r="G722" s="1"/>
      <x:c r="H722" s="1"/>
      <x:c r="I722" s="1"/>
      <x:c r="J722" s="1"/>
      <x:c r="K722" s="1"/>
      <x:c r="L722" s="1"/>
      <x:c r="M722" s="1"/>
      <x:c r="N722" s="1"/>
    </x:row>
    <x:row r="723" ht="22" customHeight="1">
      <x:c r="A723" s="1" t="n">
        <x:v>707</x:v>
      </x:c>
      <x:c r="B723" s="16" t="n">
        <x:v>-0.7670245363805045</x:v>
      </x:c>
      <x:c r="C723" s="16" t="n">
        <x:f>$B$12+$D$12*B723</x:f>
        <x:v>-0.009648364513009159</x:v>
      </x:c>
      <x:c r="D723" s="12" t="n">
        <x:f>D722*EXP(C723)</x:f>
        <x:v>136.22360007613915</x:v>
      </x:c>
      <x:c r="E723" s="16" t="n">
        <x:f>ABS(C723)</x:f>
        <x:v>0.009648364513009159</x:v>
      </x:c>
      <x:c r="F723" s="16" t="n">
        <x:f>C723^2</x:f>
        <x:v>0.00009309093777589446</x:v>
      </x:c>
      <x:c r="G723" s="1"/>
      <x:c r="H723" s="1"/>
      <x:c r="I723" s="1"/>
      <x:c r="J723" s="1"/>
      <x:c r="K723" s="1"/>
      <x:c r="L723" s="1"/>
      <x:c r="M723" s="1"/>
      <x:c r="N723" s="1"/>
    </x:row>
    <x:row r="724" ht="22" customHeight="1">
      <x:c r="A724" s="1" t="n">
        <x:v>708</x:v>
      </x:c>
      <x:c r="B724" s="16" t="n">
        <x:v>1.2475975166282918</x:v>
      </x:c>
      <x:c r="C724" s="16" t="n">
        <x:f>$B$12+$D$12*B724</x:f>
        <x:v>0.016987609747765864</x:v>
      </x:c>
      <x:c r="D724" s="12" t="n">
        <x:f>D723*EXP(C724)</x:f>
        <x:v>138.55748083497716</x:v>
      </x:c>
      <x:c r="E724" s="16" t="n">
        <x:f>ABS(C724)</x:f>
        <x:v>0.016987609747765864</x:v>
      </x:c>
      <x:c r="F724" s="16" t="n">
        <x:f>C724^2</x:f>
        <x:v>0.0002885788849423898</x:v>
      </x:c>
      <x:c r="G724" s="1"/>
      <x:c r="H724" s="1"/>
      <x:c r="I724" s="1"/>
      <x:c r="J724" s="1"/>
      <x:c r="K724" s="1"/>
      <x:c r="L724" s="1"/>
      <x:c r="M724" s="1"/>
      <x:c r="N724" s="1"/>
    </x:row>
    <x:row r="725" ht="22" customHeight="1">
      <x:c r="A725" s="1" t="n">
        <x:v>709</x:v>
      </x:c>
      <x:c r="B725" s="16" t="n">
        <x:v>0.660161694892676</x:v>
      </x:c>
      <x:c r="C725" s="16" t="n">
        <x:f>$B$12+$D$12*B725</x:f>
        <x:v>0.009220929439546896</x:v>
      </x:c>
      <x:c r="D725" s="12" t="n">
        <x:f>D724*EXP(C725)</x:f>
        <x:v>139.8410181983664</x:v>
      </x:c>
      <x:c r="E725" s="16" t="n">
        <x:f>ABS(C725)</x:f>
        <x:v>0.009220929439546896</x:v>
      </x:c>
      <x:c r="F725" s="16" t="n">
        <x:f>C725^2</x:f>
        <x:v>0.00008502553972910264</x:v>
      </x:c>
      <x:c r="G725" s="1"/>
      <x:c r="H725" s="1"/>
      <x:c r="I725" s="1"/>
      <x:c r="J725" s="1"/>
      <x:c r="K725" s="1"/>
      <x:c r="L725" s="1"/>
      <x:c r="M725" s="1"/>
      <x:c r="N725" s="1"/>
    </x:row>
    <x:row r="726" ht="22" customHeight="1">
      <x:c r="A726" s="1" t="n">
        <x:v>710</x:v>
      </x:c>
      <x:c r="B726" s="16" t="n">
        <x:v>-0.7450611109565444</x:v>
      </x:c>
      <x:c r="C726" s="16" t="n">
        <x:f>$B$12+$D$12*B726</x:f>
        <x:v>-0.009357978912694031</x:v>
      </x:c>
      <x:c r="D726" s="12" t="n">
        <x:f>D725*EXP(C726)</x:f>
        <x:v>138.53849290640068</x:v>
      </x:c>
      <x:c r="E726" s="16" t="n">
        <x:f>ABS(C726)</x:f>
        <x:v>0.009357978912694031</x:v>
      </x:c>
      <x:c r="F726" s="16" t="n">
        <x:f>C726^2</x:f>
        <x:v>0.00008757176933042615</x:v>
      </x:c>
      <x:c r="G726" s="1"/>
      <x:c r="H726" s="1"/>
      <x:c r="I726" s="1"/>
      <x:c r="J726" s="1"/>
      <x:c r="K726" s="1"/>
      <x:c r="L726" s="1"/>
      <x:c r="M726" s="1"/>
      <x:c r="N726" s="1"/>
    </x:row>
    <x:row r="727" ht="22" customHeight="1">
      <x:c r="A727" s="1" t="n">
        <x:v>711</x:v>
      </x:c>
      <x:c r="B727" s="16" t="n">
        <x:v>0.8298365026793313</x:v>
      </x:c>
      <x:c r="C727" s="16" t="n">
        <x:f>$B$12+$D$12*B727</x:f>
        <x:v>0.011464255330950492</x:v>
      </x:c>
      <x:c r="D727" s="12" t="n">
        <x:f>D726*EXP(C727)</x:f>
        <x:v>140.13587245057414</x:v>
      </x:c>
      <x:c r="E727" s="16" t="n">
        <x:f>ABS(C727)</x:f>
        <x:v>0.011464255330950492</x:v>
      </x:c>
      <x:c r="F727" s="16" t="n">
        <x:f>C727^2</x:f>
        <x:v>0.00013142915029322678</x:v>
      </x:c>
      <x:c r="G727" s="1"/>
      <x:c r="H727" s="1"/>
      <x:c r="I727" s="1"/>
      <x:c r="J727" s="1"/>
      <x:c r="K727" s="1"/>
      <x:c r="L727" s="1"/>
      <x:c r="M727" s="1"/>
      <x:c r="N727" s="1"/>
    </x:row>
    <x:row r="728" ht="22" customHeight="1">
      <x:c r="A728" s="1" t="n">
        <x:v>712</x:v>
      </x:c>
      <x:c r="B728" s="16" t="n">
        <x:v>-0.17122828512057084</x:v>
      </x:c>
      <x:c r="C728" s="16" t="n">
        <x:f>$B$12+$D$12*B728</x:f>
        <x:v>-0.0017711482433247759</x:v>
      </x:c>
      <x:c r="D728" s="12" t="n">
        <x:f>D727*EXP(C728)</x:f>
        <x:v>139.88789071728803</x:v>
      </x:c>
      <x:c r="E728" s="16" t="n">
        <x:f>ABS(C728)</x:f>
        <x:v>0.0017711482433247759</x:v>
      </x:c>
      <x:c r="F728" s="16" t="n">
        <x:f>C728^2</x:f>
        <x:v>0.0000031369660998324396</x:v>
      </x:c>
      <x:c r="G728" s="1"/>
      <x:c r="H728" s="1"/>
      <x:c r="I728" s="1"/>
      <x:c r="J728" s="1"/>
      <x:c r="K728" s="1"/>
      <x:c r="L728" s="1"/>
      <x:c r="M728" s="1"/>
      <x:c r="N728" s="1"/>
    </x:row>
    <x:row r="729" ht="22" customHeight="1">
      <x:c r="A729" s="1" t="n">
        <x:v>713</x:v>
      </x:c>
      <x:c r="B729" s="16" t="n">
        <x:v>0.8233777772692654</x:v>
      </x:c>
      <x:c r="C729" s="16" t="n">
        <x:f>$B$12+$D$12*B729</x:f>
        <x:v>0.011378862418903788</x:v>
      </x:c>
      <x:c r="D729" s="12" t="n">
        <x:f>D728*EXP(C729)</x:f>
        <x:v>141.48874646548887</x:v>
      </x:c>
      <x:c r="E729" s="16" t="n">
        <x:f>ABS(C729)</x:f>
        <x:v>0.011378862418903788</x:v>
      </x:c>
      <x:c r="F729" s="16" t="n">
        <x:f>C729^2</x:f>
        <x:v>0.00012947850994834097</x:v>
      </x:c>
      <x:c r="G729" s="1"/>
      <x:c r="H729" s="1"/>
      <x:c r="I729" s="1"/>
      <x:c r="J729" s="1"/>
      <x:c r="K729" s="1"/>
      <x:c r="L729" s="1"/>
      <x:c r="M729" s="1"/>
      <x:c r="N729" s="1"/>
    </x:row>
    <x:row r="730" ht="22" customHeight="1">
      <x:c r="A730" s="1" t="n">
        <x:v>714</x:v>
      </x:c>
      <x:c r="B730" s="16" t="n">
        <x:v>-1.033649063895228</x:v>
      </x:c>
      <x:c r="C730" s="16" t="n">
        <x:f>$B$12+$D$12*B730</x:f>
        <x:v>-0.013173494222359396</x:v>
      </x:c>
      <x:c r="D730" s="12" t="n">
        <x:f>D729*EXP(C730)</x:f>
        <x:v>139.6370685936871</x:v>
      </x:c>
      <x:c r="E730" s="16" t="n">
        <x:f>ABS(C730)</x:f>
        <x:v>0.013173494222359396</x:v>
      </x:c>
      <x:c r="F730" s="16" t="n">
        <x:f>C730^2</x:f>
        <x:v>0.00017354095002653638</x:v>
      </x:c>
      <x:c r="G730" s="1"/>
      <x:c r="H730" s="1"/>
      <x:c r="I730" s="1"/>
      <x:c r="J730" s="1"/>
      <x:c r="K730" s="1"/>
      <x:c r="L730" s="1"/>
      <x:c r="M730" s="1"/>
      <x:c r="N730" s="1"/>
    </x:row>
    <x:row r="731" ht="22" customHeight="1">
      <x:c r="A731" s="1" t="n">
        <x:v>715</x:v>
      </x:c>
      <x:c r="B731" s="16" t="n">
        <x:v>-1.2520368431042384</x:v>
      </x:c>
      <x:c r="C731" s="16" t="n">
        <x:f>$B$12+$D$12*B731</x:f>
        <x:v>-0.01606087017319419</x:v>
      </x:c>
      <x:c r="D731" s="12" t="n">
        <x:f>D730*EXP(C731)</x:f>
        <x:v>137.41228953104488</x:v>
      </x:c>
      <x:c r="E731" s="16" t="n">
        <x:f>ABS(C731)</x:f>
        <x:v>0.01606087017319419</x:v>
      </x:c>
      <x:c r="F731" s="16" t="n">
        <x:f>C731^2</x:f>
        <x:v>0.00025795155072019874</x:v>
      </x:c>
      <x:c r="G731" s="1"/>
      <x:c r="H731" s="1"/>
      <x:c r="I731" s="1"/>
      <x:c r="J731" s="1"/>
      <x:c r="K731" s="1"/>
      <x:c r="L731" s="1"/>
      <x:c r="M731" s="1"/>
      <x:c r="N731" s="1"/>
    </x:row>
    <x:row r="732" ht="22" customHeight="1">
      <x:c r="A732" s="1" t="n">
        <x:v>716</x:v>
      </x:c>
      <x:c r="B732" s="16" t="n">
        <x:v>0.04792486650037049</x:v>
      </x:c>
      <x:c r="C732" s="16" t="n">
        <x:f>$B$12+$D$12*B732</x:f>
        <x:v>0.0011263469454254643</x:v>
      </x:c>
      <x:c r="D732" s="12" t="n">
        <x:f>D731*EXP(C732)</x:f>
        <x:v>137.56715064091898</x:v>
      </x:c>
      <x:c r="E732" s="16" t="n">
        <x:f>ABS(C732)</x:f>
        <x:v>0.0011263469454254643</x:v>
      </x:c>
      <x:c r="F732" s="16" t="n">
        <x:f>C732^2</x:f>
        <x:v>0.000001268657441469274</x:v>
      </x:c>
      <x:c r="G732" s="1"/>
      <x:c r="H732" s="1"/>
      <x:c r="I732" s="1"/>
      <x:c r="J732" s="1"/>
      <x:c r="K732" s="1"/>
      <x:c r="L732" s="1"/>
      <x:c r="M732" s="1"/>
      <x:c r="N732" s="1"/>
    </x:row>
    <x:row r="733" ht="22" customHeight="1">
      <x:c r="A733" s="1" t="n">
        <x:v>717</x:v>
      </x:c>
      <x:c r="B733" s="16" t="n">
        <x:v>-0.4613861159745407</x:v>
      </x:c>
      <x:c r="C733" s="16" t="n">
        <x:f>$B$12+$D$12*B733</x:f>
        <x:v>-0.00560741942016715</x:v>
      </x:c>
      <x:c r="D733" s="12" t="n">
        <x:f>D732*EXP(C733)</x:f>
        <x:v>136.79791266442663</x:v>
      </x:c>
      <x:c r="E733" s="16" t="n">
        <x:f>ABS(C733)</x:f>
        <x:v>0.00560741942016715</x:v>
      </x:c>
      <x:c r="F733" s="16" t="n">
        <x:f>C733^2</x:f>
        <x:v>0.00003144315255366769</x:v>
      </x:c>
      <x:c r="G733" s="1"/>
      <x:c r="H733" s="1"/>
      <x:c r="I733" s="1"/>
      <x:c r="J733" s="1"/>
      <x:c r="K733" s="1"/>
      <x:c r="L733" s="1"/>
      <x:c r="M733" s="1"/>
      <x:c r="N733" s="1"/>
    </x:row>
    <x:row r="734" ht="22" customHeight="1">
      <x:c r="A734" s="1" t="n">
        <x:v>718</x:v>
      </x:c>
      <x:c r="B734" s="16" t="n">
        <x:v>-1.388914287467551</x:v>
      </x:c>
      <x:c r="C734" s="16" t="n">
        <x:f>$B$12+$D$12*B734</x:f>
        <x:v>-0.01787057144172584</x:v>
      </x:c>
      <x:c r="D734" s="12" t="n">
        <x:f>D733*EXP(C734)</x:f>
        <x:v>134.37496996012447</x:v>
      </x:c>
      <x:c r="E734" s="16" t="n">
        <x:f>ABS(C734)</x:f>
        <x:v>0.01787057144172584</x:v>
      </x:c>
      <x:c r="F734" s="16" t="n">
        <x:f>C734^2</x:f>
        <x:v>0.00031935732365382725</x:v>
      </x:c>
      <x:c r="G734" s="1"/>
      <x:c r="H734" s="1"/>
      <x:c r="I734" s="1"/>
      <x:c r="J734" s="1"/>
      <x:c r="K734" s="1"/>
      <x:c r="L734" s="1"/>
      <x:c r="M734" s="1"/>
      <x:c r="N734" s="1"/>
    </x:row>
    <x:row r="735" ht="22" customHeight="1">
      <x:c r="A735" s="1" t="n">
        <x:v>719</x:v>
      </x:c>
      <x:c r="B735" s="16" t="n">
        <x:v>-0.4210487294656568</x:v>
      </x:c>
      <x:c r="C735" s="16" t="n">
        <x:f>$B$12+$D$12*B735</x:f>
        <x:v>-0.005074105696536987</x:v>
      </x:c>
      <x:c r="D735" s="12" t="n">
        <x:f>D734*EXP(C735)</x:f>
        <x:v>133.6948640833273</x:v>
      </x:c>
      <x:c r="E735" s="16" t="n">
        <x:f>ABS(C735)</x:f>
        <x:v>0.005074105696536987</x:v>
      </x:c>
      <x:c r="F735" s="16" t="n">
        <x:f>C735^2</x:f>
        <x:v>0.0000257465486196291</x:v>
      </x:c>
      <x:c r="G735" s="1"/>
      <x:c r="H735" s="1"/>
      <x:c r="I735" s="1"/>
      <x:c r="J735" s="1"/>
      <x:c r="K735" s="1"/>
      <x:c r="L735" s="1"/>
      <x:c r="M735" s="1"/>
      <x:c r="N735" s="1"/>
    </x:row>
    <x:row r="736" ht="22" customHeight="1">
      <x:c r="A736" s="1" t="n">
        <x:v>720</x:v>
      </x:c>
      <x:c r="B736" s="16" t="n">
        <x:v>0.8179121225156784</x:v>
      </x:c>
      <x:c r="C736" s="16" t="n">
        <x:f>$B$12+$D$12*B736</x:f>
        <x:v>0.011306599217417732</x:v>
      </x:c>
      <x:c r="D736" s="12" t="n">
        <x:f>D735*EXP(C736)</x:f>
        <x:v>135.21507634916188</x:v>
      </x:c>
      <x:c r="E736" s="16" t="n">
        <x:f>ABS(C736)</x:f>
        <x:v>0.011306599217417732</x:v>
      </x:c>
      <x:c r="F736" s="16" t="n">
        <x:f>C736^2</x:f>
        <x:v>0.00012783918586331127</x:v>
      </x:c>
      <x:c r="G736" s="1"/>
      <x:c r="H736" s="1"/>
      <x:c r="I736" s="1"/>
      <x:c r="J736" s="1"/>
      <x:c r="K736" s="1"/>
      <x:c r="L736" s="1"/>
      <x:c r="M736" s="1"/>
      <x:c r="N736" s="1"/>
    </x:row>
    <x:row r="737" ht="22" customHeight="1">
      <x:c r="A737" s="1" t="n">
        <x:v>721</x:v>
      </x:c>
      <x:c r="B737" s="16" t="n">
        <x:v>-0.005863428612123367</x:v>
      </x:c>
      <x:c r="C737" s="16" t="n">
        <x:f>$B$12+$D$12*B737</x:f>
        <x:v>0.0004151943786163975</x:v>
      </x:c>
      <x:c r="D737" s="12" t="n">
        <x:f>D736*EXP(C737)</x:f>
        <x:v>135.2712285449976</x:v>
      </x:c>
      <x:c r="E737" s="16" t="n">
        <x:f>ABS(C737)</x:f>
        <x:v>0.0004151943786163975</x:v>
      </x:c>
      <x:c r="F737" s="16" t="n">
        <x:f>C737^2</x:f>
        <x:v>1.7238637203465642e-7</x:v>
      </x:c>
      <x:c r="G737" s="1"/>
      <x:c r="H737" s="1"/>
      <x:c r="I737" s="1"/>
      <x:c r="J737" s="1"/>
      <x:c r="K737" s="1"/>
      <x:c r="L737" s="1"/>
      <x:c r="M737" s="1"/>
      <x:c r="N737" s="1"/>
    </x:row>
    <x:row r="738" ht="22" customHeight="1">
      <x:c r="A738" s="1" t="n">
        <x:v>722</x:v>
      </x:c>
      <x:c r="B738" s="16" t="n">
        <x:v>-1.2023805548728435</x:v>
      </x:c>
      <x:c r="C738" s="16" t="n">
        <x:f>$B$12+$D$12*B738</x:f>
        <x:v>-0.015404348215022571</x:v>
      </x:c>
      <x:c r="D738" s="12" t="n">
        <x:f>D737*EXP(C738)</x:f>
        <x:v>133.20343086426652</x:v>
      </x:c>
      <x:c r="E738" s="16" t="n">
        <x:f>ABS(C738)</x:f>
        <x:v>0.015404348215022571</x:v>
      </x:c>
      <x:c r="F738" s="16" t="n">
        <x:f>C738^2</x:f>
        <x:v>0.00023729394392966907</x:v>
      </x:c>
      <x:c r="G738" s="1"/>
      <x:c r="H738" s="1"/>
      <x:c r="I738" s="1"/>
      <x:c r="J738" s="1"/>
      <x:c r="K738" s="1"/>
      <x:c r="L738" s="1"/>
      <x:c r="M738" s="1"/>
      <x:c r="N738" s="1"/>
    </x:row>
    <x:row r="739" ht="22" customHeight="1">
      <x:c r="A739" s="1" t="n">
        <x:v>723</x:v>
      </x:c>
      <x:c r="B739" s="16" t="n">
        <x:v>-0.7430301132025154</x:v>
      </x:c>
      <x:c r="C739" s="16" t="n">
        <x:f>$B$12+$D$12*B739</x:f>
        <x:v>-0.009331126429957027</x:v>
      </x:c>
      <x:c r="D739" s="12" t="n">
        <x:f>D738*EXP(C739)</x:f>
        <x:v>131.96627382094456</x:v>
      </x:c>
      <x:c r="E739" s="16" t="n">
        <x:f>ABS(C739)</x:f>
        <x:v>0.009331126429957027</x:v>
      </x:c>
      <x:c r="F739" s="16" t="n">
        <x:f>C739^2</x:f>
        <x:v>0.00008706992045184257</x:v>
      </x:c>
      <x:c r="G739" s="1"/>
      <x:c r="H739" s="1"/>
      <x:c r="I739" s="1"/>
      <x:c r="J739" s="1"/>
      <x:c r="K739" s="1"/>
      <x:c r="L739" s="1"/>
      <x:c r="M739" s="1"/>
      <x:c r="N739" s="1"/>
    </x:row>
    <x:row r="740" ht="22" customHeight="1">
      <x:c r="A740" s="1" t="n">
        <x:v>724</x:v>
      </x:c>
      <x:c r="B740" s="16" t="n">
        <x:v>1.237071989375839</x:v>
      </x:c>
      <x:c r="C740" s="16" t="n">
        <x:f>$B$12+$D$12*B740</x:f>
        <x:v>0.01684844832413372</x:v>
      </x:c>
      <x:c r="D740" s="12" t="n">
        <x:f>D739*EXP(C740)</x:f>
        <x:v>134.2085370516372</x:v>
      </x:c>
      <x:c r="E740" s="16" t="n">
        <x:f>ABS(C740)</x:f>
        <x:v>0.01684844832413372</x:v>
      </x:c>
      <x:c r="F740" s="16" t="n">
        <x:f>C740^2</x:f>
        <x:v>0.0002838702109310043</x:v>
      </x:c>
      <x:c r="G740" s="1"/>
      <x:c r="H740" s="1"/>
      <x:c r="I740" s="1"/>
      <x:c r="J740" s="1"/>
      <x:c r="K740" s="1"/>
      <x:c r="L740" s="1"/>
      <x:c r="M740" s="1"/>
      <x:c r="N740" s="1"/>
    </x:row>
    <x:row r="741" ht="22" customHeight="1">
      <x:c r="A741" s="1" t="n">
        <x:v>725</x:v>
      </x:c>
      <x:c r="B741" s="16" t="n">
        <x:v>1.979318246283807</x:v>
      </x:c>
      <x:c r="C741" s="16" t="n">
        <x:f>$B$12+$D$12*B741</x:f>
        <x:v>0.026661927812571998</x:v>
      </x:c>
      <x:c r="D741" s="12" t="n">
        <x:f>D740*EXP(C741)</x:f>
        <x:v>137.8349237909952</x:v>
      </x:c>
      <x:c r="E741" s="16" t="n">
        <x:f>ABS(C741)</x:f>
        <x:v>0.026661927812571998</x:v>
      </x:c>
      <x:c r="F741" s="16" t="n">
        <x:f>C741^2</x:f>
        <x:v>0.0007108583946828002</x:v>
      </x:c>
      <x:c r="G741" s="1"/>
      <x:c r="H741" s="1"/>
      <x:c r="I741" s="1"/>
      <x:c r="J741" s="1"/>
      <x:c r="K741" s="1"/>
      <x:c r="L741" s="1"/>
      <x:c r="M741" s="1"/>
      <x:c r="N741" s="1"/>
    </x:row>
    <x:row r="742" ht="22" customHeight="1">
      <x:c r="A742" s="1" t="n">
        <x:v>726</x:v>
      </x:c>
      <x:c r="B742" s="16" t="n">
        <x:v>0.7352832036524408</x:v>
      </x:c>
      <x:c r="C742" s="16" t="n">
        <x:f>$B$12+$D$12*B742</x:f>
        <x:v>0.010214135371531671</x:v>
      </x:c>
      <x:c r="D742" s="12" t="n">
        <x:f>D741*EXP(C742)</x:f>
        <x:v>139.25000296389476</x:v>
      </x:c>
      <x:c r="E742" s="16" t="n">
        <x:f>ABS(C742)</x:f>
        <x:v>0.010214135371531671</x:v>
      </x:c>
      <x:c r="F742" s="16" t="n">
        <x:f>C742^2</x:f>
        <x:v>0.00010432856138797443</x:v>
      </x:c>
      <x:c r="G742" s="1"/>
      <x:c r="H742" s="1"/>
      <x:c r="I742" s="1"/>
      <x:c r="J742" s="1"/>
      <x:c r="K742" s="1"/>
      <x:c r="L742" s="1"/>
      <x:c r="M742" s="1"/>
      <x:c r="N742" s="1"/>
    </x:row>
    <x:row r="743" ht="22" customHeight="1">
      <x:c r="A743" s="1" t="n">
        <x:v>727</x:v>
      </x:c>
      <x:c r="B743" s="16" t="n">
        <x:v>0.3090057373375265</x:v>
      </x:c>
      <x:c r="C743" s="16" t="n">
        <x:f>$B$12+$D$12*B743</x:f>
        <x:v>0.004578182164449969</x:v>
      </x:c>
      <x:c r="D743" s="12" t="n">
        <x:f>D742*EXP(C743)</x:f>
        <x:v>139.88897639618932</x:v>
      </x:c>
      <x:c r="E743" s="16" t="n">
        <x:f>ABS(C743)</x:f>
        <x:v>0.004578182164449969</x:v>
      </x:c>
      <x:c r="F743" s="16" t="n">
        <x:f>C743^2</x:f>
        <x:v>0.000020959751930887808</x:v>
      </x:c>
      <x:c r="G743" s="1"/>
      <x:c r="H743" s="1"/>
      <x:c r="I743" s="1"/>
      <x:c r="J743" s="1"/>
      <x:c r="K743" s="1"/>
      <x:c r="L743" s="1"/>
      <x:c r="M743" s="1"/>
      <x:c r="N743" s="1"/>
    </x:row>
    <x:row r="744" ht="22" customHeight="1">
      <x:c r="A744" s="1" t="n">
        <x:v>728</x:v>
      </x:c>
      <x:c r="B744" s="16" t="n">
        <x:v>-1.1648562332341121</x:v>
      </x:c>
      <x:c r="C744" s="16" t="n">
        <x:f>$B$12+$D$12*B744</x:f>
        <x:v>-0.014908226938165922</x:v>
      </x:c>
      <x:c r="D744" s="12" t="n">
        <x:f>D743*EXP(C744)</x:f>
        <x:v>137.8189483532481</x:v>
      </x:c>
      <x:c r="E744" s="16" t="n">
        <x:f>ABS(C744)</x:f>
        <x:v>0.014908226938165922</x:v>
      </x:c>
      <x:c r="F744" s="16" t="n">
        <x:f>C744^2</x:f>
        <x:v>0.00022225523043985606</x:v>
      </x:c>
      <x:c r="G744" s="1"/>
      <x:c r="H744" s="1"/>
      <x:c r="I744" s="1"/>
      <x:c r="J744" s="1"/>
      <x:c r="K744" s="1"/>
      <x:c r="L744" s="1"/>
      <x:c r="M744" s="1"/>
      <x:c r="N744" s="1"/>
    </x:row>
    <x:row r="745" ht="22" customHeight="1">
      <x:c r="A745" s="1" t="n">
        <x:v>729</x:v>
      </x:c>
      <x:c r="B745" s="16" t="n">
        <x:v>-1.0974090919606179</x:v>
      </x:c>
      <x:c r="C745" s="16" t="n">
        <x:f>$B$12+$D$12*B745</x:f>
        <x:v>-0.014016486318013083</x:v>
      </x:c>
      <x:c r="D745" s="12" t="n">
        <x:f>D744*EXP(C745)</x:f>
        <x:v>135.90068600363156</x:v>
      </x:c>
      <x:c r="E745" s="16" t="n">
        <x:f>ABS(C745)</x:f>
        <x:v>0.014016486318013083</x:v>
      </x:c>
      <x:c r="F745" s="16" t="n">
        <x:f>C745^2</x:f>
        <x:v>0.00019646188870304793</x:v>
      </x:c>
      <x:c r="G745" s="1"/>
      <x:c r="H745" s="1"/>
      <x:c r="I745" s="1"/>
      <x:c r="J745" s="1"/>
      <x:c r="K745" s="1"/>
      <x:c r="L745" s="1"/>
      <x:c r="M745" s="1"/>
      <x:c r="N745" s="1"/>
    </x:row>
    <x:row r="746" ht="22" customHeight="1">
      <x:c r="A746" s="1" t="n">
        <x:v>730</x:v>
      </x:c>
      <x:c r="B746" s="16" t="n">
        <x:v>1.0991786741896286</x:v>
      </x:c>
      <x:c r="C746" s="16" t="n">
        <x:f>$B$12+$D$12*B746</x:f>
        <x:v>0.01502531589661591</x:v>
      </x:c>
      <x:c r="D746" s="12" t="n">
        <x:f>D745*EXP(C746)</x:f>
        <x:v>137.95805434015807</x:v>
      </x:c>
      <x:c r="E746" s="16" t="n">
        <x:f>ABS(C746)</x:f>
        <x:v>0.01502531589661591</x:v>
      </x:c>
      <x:c r="F746" s="16" t="n">
        <x:f>C746^2</x:f>
        <x:v>0.00022576011779309874</x:v>
      </x:c>
      <x:c r="G746" s="1"/>
      <x:c r="H746" s="1"/>
      <x:c r="I746" s="1"/>
      <x:c r="J746" s="1"/>
      <x:c r="K746" s="1"/>
      <x:c r="L746" s="1"/>
      <x:c r="M746" s="1"/>
      <x:c r="N746" s="1"/>
    </x:row>
    <x:row r="747" ht="22" customHeight="1">
      <x:c r="A747" s="1" t="n">
        <x:v>731</x:v>
      </x:c>
      <x:c r="B747" s="16" t="n">
        <x:v>1.4793371741739632</x:v>
      </x:c>
      <x:c r="C747" s="16" t="n">
        <x:f>$B$12+$D$12*B747</x:f>
        <x:v>0.02005151523036924</x:v>
      </x:c>
      <x:c r="D747" s="12" t="n">
        <x:f>D746*EXP(C747)</x:f>
        <x:v>140.75224260275365</x:v>
      </x:c>
      <x:c r="E747" s="16" t="n">
        <x:f>ABS(C747)</x:f>
        <x:v>0.02005151523036924</x:v>
      </x:c>
      <x:c r="F747" s="16" t="n">
        <x:f>C747^2</x:f>
        <x:v>0.0004020632630337296</x:v>
      </x:c>
      <x:c r="G747" s="1"/>
      <x:c r="H747" s="1"/>
      <x:c r="I747" s="1"/>
      <x:c r="J747" s="1"/>
      <x:c r="K747" s="1"/>
      <x:c r="L747" s="1"/>
      <x:c r="M747" s="1"/>
      <x:c r="N747" s="1"/>
    </x:row>
    <x:row r="748" ht="22" customHeight="1">
      <x:c r="A748" s="1" t="n">
        <x:v>732</x:v>
      </x:c>
      <x:c r="B748" s="16" t="n">
        <x:v>0.46609440305185385</x:v>
      </x:c>
      <x:c r="C748" s="16" t="n">
        <x:f>$B$12+$D$12*B748</x:f>
        <x:v>0.0066551025726115315</x:v>
      </x:c>
      <x:c r="D748" s="12" t="n">
        <x:f>D747*EXP(C748)</x:f>
        <x:v>141.6920871266169</x:v>
      </x:c>
      <x:c r="E748" s="16" t="n">
        <x:f>ABS(C748)</x:f>
        <x:v>0.0066551025726115315</x:v>
      </x:c>
      <x:c r="F748" s="16" t="n">
        <x:f>C748^2</x:f>
        <x:v>0.000044290390251980624</x:v>
      </x:c>
      <x:c r="G748" s="1"/>
      <x:c r="H748" s="1"/>
      <x:c r="I748" s="1"/>
      <x:c r="J748" s="1"/>
      <x:c r="K748" s="1"/>
      <x:c r="L748" s="1"/>
      <x:c r="M748" s="1"/>
      <x:c r="N748" s="1"/>
    </x:row>
    <x:row r="749" ht="22" customHeight="1">
      <x:c r="A749" s="1" t="n">
        <x:v>733</x:v>
      </x:c>
      <x:c r="B749" s="16" t="n">
        <x:v>0.9145169700805065</x:v>
      </x:c>
      <x:c r="C749" s="16" t="n">
        <x:f>$B$12+$D$12*B749</x:f>
        <x:v>0.012583843368180348</x:v>
      </x:c>
      <x:c r="D749" s="12" t="n">
        <x:f>D748*EXP(C749)</x:f>
        <x:v>143.48638405563787</x:v>
      </x:c>
      <x:c r="E749" s="16" t="n">
        <x:f>ABS(C749)</x:f>
        <x:v>0.012583843368180348</x:v>
      </x:c>
      <x:c r="F749" s="16" t="n">
        <x:f>C749^2</x:f>
        <x:v>0.00015835311391489652</x:v>
      </x:c>
      <x:c r="G749" s="1"/>
      <x:c r="H749" s="1"/>
      <x:c r="I749" s="1"/>
      <x:c r="J749" s="1"/>
      <x:c r="K749" s="1"/>
      <x:c r="L749" s="1"/>
      <x:c r="M749" s="1"/>
      <x:c r="N749" s="1"/>
    </x:row>
    <x:row r="750" ht="22" customHeight="1">
      <x:c r="A750" s="1" t="n">
        <x:v>734</x:v>
      </x:c>
      <x:c r="B750" s="16" t="n">
        <x:v>2.3508598078352962</x:v>
      </x:c>
      <x:c r="C750" s="16" t="n">
        <x:f>$B$12+$D$12*B750</x:f>
        <x:v>0.031574199797043526</x:v>
      </x:c>
      <x:c r="D750" s="12" t="n">
        <x:f>D749*EXP(C750)</x:f>
        <x:v>148.08913350066314</x:v>
      </x:c>
      <x:c r="E750" s="16" t="n">
        <x:f>ABS(C750)</x:f>
        <x:v>0.031574199797043526</x:v>
      </x:c>
      <x:c r="F750" s="16" t="n">
        <x:f>C750^2</x:f>
        <x:v>0.0009969300928236234</x:v>
      </x:c>
      <x:c r="G750" s="1"/>
      <x:c r="H750" s="1"/>
      <x:c r="I750" s="1"/>
      <x:c r="J750" s="1"/>
      <x:c r="K750" s="1"/>
      <x:c r="L750" s="1"/>
      <x:c r="M750" s="1"/>
      <x:c r="N750" s="1"/>
    </x:row>
    <x:row r="751" ht="22" customHeight="1">
      <x:c r="A751" s="1" t="n">
        <x:v>735</x:v>
      </x:c>
      <x:c r="B751" s="16" t="n">
        <x:v>-0.18365107168443598</x:v>
      </x:c>
      <x:c r="C751" s="16" t="n">
        <x:f>$B$12+$D$12*B751</x:f>
        <x:v>-0.0019353939501897594</x:v>
      </x:c>
      <x:c r="D751" s="12" t="n">
        <x:f>D750*EXP(C751)</x:f>
        <x:v>147.80279986117176</x:v>
      </x:c>
      <x:c r="E751" s="16" t="n">
        <x:f>ABS(C751)</x:f>
        <x:v>0.0019353939501897594</x:v>
      </x:c>
      <x:c r="F751" s="16" t="n">
        <x:f>C751^2</x:f>
        <x:v>0.000003745749742431121</x:v>
      </x:c>
      <x:c r="G751" s="1"/>
      <x:c r="H751" s="1"/>
      <x:c r="I751" s="1"/>
      <x:c r="J751" s="1"/>
      <x:c r="K751" s="1"/>
      <x:c r="L751" s="1"/>
      <x:c r="M751" s="1"/>
      <x:c r="N751" s="1"/>
    </x:row>
    <x:row r="752" ht="22" customHeight="1">
      <x:c r="A752" s="1" t="n">
        <x:v>736</x:v>
      </x:c>
      <x:c r="B752" s="16" t="n">
        <x:v>0.18410818517009775</x:v>
      </x:c>
      <x:c r="C752" s="16" t="n">
        <x:f>$B$12+$D$12*B752</x:f>
        <x:v>0.002926870952107694</x:v>
      </x:c>
      <x:c r="D752" s="12" t="n">
        <x:f>D751*EXP(C752)</x:f>
        <x:v>148.23603328260683</x:v>
      </x:c>
      <x:c r="E752" s="16" t="n">
        <x:f>ABS(C752)</x:f>
        <x:v>0.002926870952107694</x:v>
      </x:c>
      <x:c r="F752" s="16" t="n">
        <x:f>C752^2</x:f>
        <x:v>0.0000085665735702918</x:v>
      </x:c>
      <x:c r="G752" s="1"/>
      <x:c r="H752" s="1"/>
      <x:c r="I752" s="1"/>
      <x:c r="J752" s="1"/>
      <x:c r="K752" s="1"/>
      <x:c r="L752" s="1"/>
      <x:c r="M752" s="1"/>
      <x:c r="N752" s="1"/>
    </x:row>
    <x:row r="753" ht="22" customHeight="1">
      <x:c r="A753" s="1" t="n">
        <x:v>737</x:v>
      </x:c>
      <x:c r="B753" s="16" t="n">
        <x:v>-1.0886883740138729</x:v>
      </x:c>
      <x:c r="C753" s="16" t="n">
        <x:f>$B$12+$D$12*B753</x:f>
        <x:v>-0.013901186865980346</x:v>
      </x:c>
      <x:c r="D753" s="12" t="n">
        <x:f>D752*EXP(C753)</x:f>
        <x:v>146.18963313338068</x:v>
      </x:c>
      <x:c r="E753" s="16" t="n">
        <x:f>ABS(C753)</x:f>
        <x:v>0.013901186865980346</x:v>
      </x:c>
      <x:c r="F753" s="16" t="n">
        <x:f>C753^2</x:f>
        <x:v>0.00019324299628290447</x:v>
      </x:c>
      <x:c r="G753" s="1"/>
      <x:c r="H753" s="1"/>
      <x:c r="I753" s="1"/>
      <x:c r="J753" s="1"/>
      <x:c r="K753" s="1"/>
      <x:c r="L753" s="1"/>
      <x:c r="M753" s="1"/>
      <x:c r="N753" s="1"/>
    </x:row>
    <x:row r="754" ht="22" customHeight="1">
      <x:c r="A754" s="1" t="n">
        <x:v>738</x:v>
      </x:c>
      <x:c r="B754" s="16" t="n">
        <x:v>-0.0026980015394853043</x:v>
      </x:c>
      <x:c r="C754" s="16" t="n">
        <x:f>$B$12+$D$12*B754</x:f>
        <x:v>0.0004570455208220664</x:v>
      </x:c>
      <x:c r="D754" s="12" t="n">
        <x:f>D753*EXP(C754)</x:f>
        <x:v>146.25646372154205</x:v>
      </x:c>
      <x:c r="E754" s="16" t="n">
        <x:f>ABS(C754)</x:f>
        <x:v>0.0004570455208220664</x:v>
      </x:c>
      <x:c r="F754" s="16" t="n">
        <x:f>C754^2</x:f>
        <x:v>2.0889060810351393e-7</x:v>
      </x:c>
      <x:c r="G754" s="1"/>
      <x:c r="H754" s="1"/>
      <x:c r="I754" s="1"/>
      <x:c r="J754" s="1"/>
      <x:c r="K754" s="1"/>
      <x:c r="L754" s="1"/>
      <x:c r="M754" s="1"/>
      <x:c r="N754" s="1"/>
    </x:row>
    <x:row r="755" ht="22" customHeight="1">
      <x:c r="A755" s="1" t="n">
        <x:v>739</x:v>
      </x:c>
      <x:c r="B755" s="16" t="n">
        <x:v>-1.7791158040806747</x:v>
      </x:c>
      <x:c r="C755" s="16" t="n">
        <x:f>$B$12+$D$12*B755</x:f>
        <x:v>-0.023029552769017587</x:v>
      </x:c>
      <x:c r="D755" s="12" t="n">
        <x:f>D754*EXP(C755)</x:f>
        <x:v>142.9267310613266</x:v>
      </x:c>
      <x:c r="E755" s="16" t="n">
        <x:f>ABS(C755)</x:f>
        <x:v>0.023029552769017587</x:v>
      </x:c>
      <x:c r="F755" s="16" t="n">
        <x:f>C755^2</x:f>
        <x:v>0.0005303603007409657</x:v>
      </x:c>
      <x:c r="G755" s="1"/>
      <x:c r="H755" s="1"/>
      <x:c r="I755" s="1"/>
      <x:c r="J755" s="1"/>
      <x:c r="K755" s="1"/>
      <x:c r="L755" s="1"/>
      <x:c r="M755" s="1"/>
      <x:c r="N755" s="1"/>
    </x:row>
    <x:row r="756" ht="22" customHeight="1">
      <x:c r="A756" s="1" t="n">
        <x:v>740</x:v>
      </x:c>
      <x:c r="B756" s="16" t="n">
        <x:v>-0.16777771003861813</x:v>
      </x:c>
      <x:c r="C756" s="16" t="n">
        <x:f>$B$12+$D$12*B756</x:f>
        <x:v>-0.0017255270664243748</x:v>
      </x:c>
      <x:c r="D756" s="12" t="n">
        <x:f>D755*EXP(C756)</x:f>
        <x:v>142.6803197741771</x:v>
      </x:c>
      <x:c r="E756" s="16" t="n">
        <x:f>ABS(C756)</x:f>
        <x:v>0.0017255270664243748</x:v>
      </x:c>
      <x:c r="F756" s="16" t="n">
        <x:f>C756^2</x:f>
        <x:v>0.0000029774436569631087</x:v>
      </x:c>
      <x:c r="G756" s="1"/>
      <x:c r="H756" s="1"/>
      <x:c r="I756" s="1"/>
      <x:c r="J756" s="1"/>
      <x:c r="K756" s="1"/>
      <x:c r="L756" s="1"/>
      <x:c r="M756" s="1"/>
      <x:c r="N756" s="1"/>
    </x:row>
    <x:row r="757" ht="22" customHeight="1">
      <x:c r="A757" s="1" t="n">
        <x:v>741</x:v>
      </x:c>
      <x:c r="B757" s="16" t="n">
        <x:v>0.019563012501765425</x:v>
      </x:c>
      <x:c r="C757" s="16" t="n">
        <x:f>$B$12+$D$12*B757</x:f>
        <x:v>0.0007513656371614843</x:v>
      </x:c>
      <x:c r="D757" s="12" t="n">
        <x:f>D756*EXP(C757)</x:f>
        <x:v>142.7875651487538</x:v>
      </x:c>
      <x:c r="E757" s="16" t="n">
        <x:f>ABS(C757)</x:f>
        <x:v>0.0007513656371614843</x:v>
      </x:c>
      <x:c r="F757" s="16" t="n">
        <x:f>C757^2</x:f>
        <x:v>5.645503207070833e-7</x:v>
      </x:c>
      <x:c r="G757" s="1"/>
      <x:c r="H757" s="1"/>
      <x:c r="I757" s="1"/>
      <x:c r="J757" s="1"/>
      <x:c r="K757" s="1"/>
      <x:c r="L757" s="1"/>
      <x:c r="M757" s="1"/>
      <x:c r="N757" s="1"/>
    </x:row>
    <x:row r="758" ht="22" customHeight="1">
      <x:c r="A758" s="1" t="n">
        <x:v>742</x:v>
      </x:c>
      <x:c r="B758" s="16" t="n">
        <x:v>-2.215210114107382</x:v>
      </x:c>
      <x:c r="C758" s="16" t="n">
        <x:f>$B$12+$D$12*B758</x:f>
        <x:v>-0.028795297663844817</x:v>
      </x:c>
      <x:c r="D758" s="12" t="n">
        <x:f>D757*EXP(C758)</x:f>
        <x:v>138.73458809438324</x:v>
      </x:c>
      <x:c r="E758" s="16" t="n">
        <x:f>ABS(C758)</x:f>
        <x:v>0.028795297663844817</x:v>
      </x:c>
      <x:c r="F758" s="16" t="n">
        <x:f>C758^2</x:f>
        <x:v>0.0008291691675494267</x:v>
      </x:c>
      <x:c r="G758" s="1"/>
      <x:c r="H758" s="1"/>
      <x:c r="I758" s="1"/>
      <x:c r="J758" s="1"/>
      <x:c r="K758" s="1"/>
      <x:c r="L758" s="1"/>
      <x:c r="M758" s="1"/>
      <x:c r="N758" s="1"/>
    </x:row>
    <x:row r="759" ht="22" customHeight="1">
      <x:c r="A759" s="1" t="n">
        <x:v>743</x:v>
      </x:c>
      <x:c r="B759" s="16" t="n">
        <x:v>0.8238017922307705</x:v>
      </x:c>
      <x:c r="C759" s="16" t="n">
        <x:f>$B$12+$D$12*B759</x:f>
        <x:v>0.011384468458797955</x:v>
      </x:c>
      <x:c r="D759" s="12" t="n">
        <x:f>D758*EXP(C759)</x:f>
        <x:v>140.32303227706575</x:v>
      </x:c>
      <x:c r="E759" s="16" t="n">
        <x:f>ABS(C759)</x:f>
        <x:v>0.011384468458797955</x:v>
      </x:c>
      <x:c r="F759" s="16" t="n">
        <x:f>C759^2</x:f>
        <x:v>0.00012960612208936546</x:v>
      </x:c>
      <x:c r="G759" s="1"/>
      <x:c r="H759" s="1"/>
      <x:c r="I759" s="1"/>
      <x:c r="J759" s="1"/>
      <x:c r="K759" s="1"/>
      <x:c r="L759" s="1"/>
      <x:c r="M759" s="1"/>
      <x:c r="N759" s="1"/>
    </x:row>
    <x:row r="760" ht="22" customHeight="1">
      <x:c r="A760" s="1" t="n">
        <x:v>744</x:v>
      </x:c>
      <x:c r="B760" s="16" t="n">
        <x:v>-0.2530461140638718</x:v>
      </x:c>
      <x:c r="C760" s="16" t="n">
        <x:f>$B$12+$D$12*B760</x:f>
        <x:v>-0.0028528884052333196</x:v>
      </x:c>
      <x:c r="D760" s="12" t="n">
        <x:f>D759*EXP(C760)</x:f>
        <x:v>139.92327682527517</x:v>
      </x:c>
      <x:c r="E760" s="16" t="n">
        <x:f>ABS(C760)</x:f>
        <x:v>0.0028528884052333196</x:v>
      </x:c>
      <x:c r="F760" s="16" t="n">
        <x:f>C760^2</x:f>
        <x:v>0.000008138972252714714</x:v>
      </x:c>
      <x:c r="G760" s="1"/>
      <x:c r="H760" s="1"/>
      <x:c r="I760" s="1"/>
      <x:c r="J760" s="1"/>
      <x:c r="K760" s="1"/>
      <x:c r="L760" s="1"/>
      <x:c r="M760" s="1"/>
      <x:c r="N760" s="1"/>
    </x:row>
    <x:row r="761" ht="22" customHeight="1">
      <x:c r="A761" s="1" t="n">
        <x:v>745</x:v>
      </x:c>
      <x:c r="B761" s="16" t="n">
        <x:v>0.37394763279022236</x:v>
      </x:c>
      <x:c r="C761" s="16" t="n">
        <x:f>$B$12+$D$12*B761</x:f>
        <x:v>0.005436800113727623</x:v>
      </x:c>
      <x:c r="D761" s="12" t="n">
        <x:f>D760*EXP(C761)</x:f>
        <x:v>140.68608344722696</x:v>
      </x:c>
      <x:c r="E761" s="16" t="n">
        <x:f>ABS(C761)</x:f>
        <x:v>0.005436800113727623</x:v>
      </x:c>
      <x:c r="F761" s="16" t="n">
        <x:f>C761^2</x:f>
        <x:v>0.000029558795476628694</x:v>
      </x:c>
      <x:c r="G761" s="1"/>
      <x:c r="H761" s="1"/>
      <x:c r="I761" s="1"/>
      <x:c r="J761" s="1"/>
      <x:c r="K761" s="1"/>
      <x:c r="L761" s="1"/>
      <x:c r="M761" s="1"/>
      <x:c r="N761" s="1"/>
    </x:row>
    <x:row r="762" ht="22" customHeight="1">
      <x:c r="A762" s="1" t="n">
        <x:v>746</x:v>
      </x:c>
      <x:c r="B762" s="16" t="n">
        <x:v>0.9684469008581115</x:v>
      </x:c>
      <x:c r="C762" s="16" t="n">
        <x:f>$B$12+$D$12*B762</x:f>
        <x:v>0.013296868546244053</x:v>
      </x:c>
      <x:c r="D762" s="12" t="n">
        <x:f>D761*EXP(C762)</x:f>
        <x:v>142.56926023577088</x:v>
      </x:c>
      <x:c r="E762" s="16" t="n">
        <x:f>ABS(C762)</x:f>
        <x:v>0.013296868546244053</x:v>
      </x:c>
      <x:c r="F762" s="16" t="n">
        <x:f>C762^2</x:f>
        <x:v>0.00017680671313609445</x:v>
      </x:c>
      <x:c r="G762" s="1"/>
      <x:c r="H762" s="1"/>
      <x:c r="I762" s="1"/>
      <x:c r="J762" s="1"/>
      <x:c r="K762" s="1"/>
      <x:c r="L762" s="1"/>
      <x:c r="M762" s="1"/>
      <x:c r="N762" s="1"/>
    </x:row>
    <x:row r="763" ht="22" customHeight="1">
      <x:c r="A763" s="1" t="n">
        <x:v>747</x:v>
      </x:c>
      <x:c r="B763" s="16" t="n">
        <x:v>0.07337934032945145</x:v>
      </x:c>
      <x:c r="C763" s="16" t="n">
        <x:f>$B$12+$D$12*B763</x:f>
        <x:v>0.001462888833627465</x:v>
      </x:c>
      <x:c r="D763" s="12" t="n">
        <x:f>D762*EXP(C763)</x:f>
        <x:v>142.77797584123095</x:v>
      </x:c>
      <x:c r="E763" s="16" t="n">
        <x:f>ABS(C763)</x:f>
        <x:v>0.001462888833627465</x:v>
      </x:c>
      <x:c r="F763" s="16" t="n">
        <x:f>C763^2</x:f>
        <x:v>0.000002140043739551925</x:v>
      </x:c>
      <x:c r="G763" s="1"/>
      <x:c r="H763" s="1"/>
      <x:c r="I763" s="1"/>
      <x:c r="J763" s="1"/>
      <x:c r="K763" s="1"/>
      <x:c r="L763" s="1"/>
      <x:c r="M763" s="1"/>
      <x:c r="N763" s="1"/>
    </x:row>
    <x:row r="764" ht="22" customHeight="1">
      <x:c r="A764" s="1" t="n">
        <x:v>748</x:v>
      </x:c>
      <x:c r="B764" s="16" t="n">
        <x:v>0.11665812656361665</x:v>
      </x:c>
      <x:c r="C764" s="16" t="n">
        <x:f>$B$12+$D$12*B764</x:f>
        <x:v>0.002035091760945354</x:v>
      </x:c>
      <x:c r="D764" s="12" t="n">
        <x:f>D763*EXP(C764)</x:f>
        <x:v>143.06883798870368</x:v>
      </x:c>
      <x:c r="E764" s="16" t="n">
        <x:f>ABS(C764)</x:f>
        <x:v>0.002035091760945354</x:v>
      </x:c>
      <x:c r="F764" s="16" t="n">
        <x:f>C764^2</x:f>
        <x:v>0.000004141598475467663</x:v>
      </x:c>
      <x:c r="G764" s="1"/>
      <x:c r="H764" s="1"/>
      <x:c r="I764" s="1"/>
      <x:c r="J764" s="1"/>
      <x:c r="K764" s="1"/>
      <x:c r="L764" s="1"/>
      <x:c r="M764" s="1"/>
      <x:c r="N764" s="1"/>
    </x:row>
    <x:row r="765" ht="22" customHeight="1">
      <x:c r="A765" s="1" t="n">
        <x:v>749</x:v>
      </x:c>
      <x:c r="B765" s="16" t="n">
        <x:v>1.4290168245390904</x:v>
      </x:c>
      <x:c r="C765" s="16" t="n">
        <x:f>$B$12+$D$12*B765</x:f>
        <x:v>0.01938621350011869</x:v>
      </x:c>
      <x:c r="D765" s="12" t="n">
        <x:f>D764*EXP(C765)</x:f>
        <x:v>145.86946004422077</x:v>
      </x:c>
      <x:c r="E765" s="16" t="n">
        <x:f>ABS(C765)</x:f>
        <x:v>0.01938621350011869</x:v>
      </x:c>
      <x:c r="F765" s="16" t="n">
        <x:f>C765^2</x:f>
        <x:v>0.0003758252738721841</x:v>
      </x:c>
      <x:c r="G765" s="1"/>
      <x:c r="H765" s="1"/>
      <x:c r="I765" s="1"/>
      <x:c r="J765" s="1"/>
      <x:c r="K765" s="1"/>
      <x:c r="L765" s="1"/>
      <x:c r="M765" s="1"/>
      <x:c r="N765" s="1"/>
    </x:row>
    <x:row r="766" ht="22" customHeight="1">
      <x:c r="A766" s="1" t="n">
        <x:v>750</x:v>
      </x:c>
      <x:c r="B766" s="16" t="n">
        <x:v>0.8125026567801482</x:v>
      </x:c>
      <x:c r="C766" s="16" t="n">
        <x:f>$B$12+$D$12*B766</x:f>
        <x:v>0.011235078909238371</x:v>
      </x:c>
      <x:c r="D766" s="12" t="n">
        <x:f>D765*EXP(C766)</x:f>
        <x:v>147.51755584530753</x:v>
      </x:c>
      <x:c r="E766" s="16" t="n">
        <x:f>ABS(C766)</x:f>
        <x:v>0.011235078909238371</x:v>
      </x:c>
      <x:c r="F766" s="16" t="n">
        <x:f>C766^2</x:f>
        <x:v>0.00012622699809681286</x:v>
      </x:c>
      <x:c r="G766" s="1"/>
      <x:c r="H766" s="1"/>
      <x:c r="I766" s="1"/>
      <x:c r="J766" s="1"/>
      <x:c r="K766" s="1"/>
      <x:c r="L766" s="1"/>
      <x:c r="M766" s="1"/>
      <x:c r="N766" s="1"/>
    </x:row>
    <x:row r="767" ht="22" customHeight="1">
      <x:c r="A767" s="1" t="n">
        <x:v>751</x:v>
      </x:c>
      <x:c r="B767" s="16" t="n">
        <x:v>-0.028956261040509603</x:v>
      </x:c>
      <x:c r="C767" s="16" t="n">
        <x:f>$B$12+$D$12*B767</x:f>
        <x:v>0.00010987652048402607</x:v>
      </x:c>
      <x:c r="D767" s="12" t="n">
        <x:f>D766*EXP(C767)</x:f>
        <x:v>147.53376545156536</x:v>
      </x:c>
      <x:c r="E767" s="16" t="n">
        <x:f>ABS(C767)</x:f>
        <x:v>0.00010987652048402607</x:v>
      </x:c>
      <x:c r="F767" s="16" t="n">
        <x:f>C767^2</x:f>
        <x:v>1.20728497536766e-8</x:v>
      </x:c>
      <x:c r="G767" s="1"/>
      <x:c r="H767" s="1"/>
      <x:c r="I767" s="1"/>
      <x:c r="J767" s="1"/>
      <x:c r="K767" s="1"/>
      <x:c r="L767" s="1"/>
      <x:c r="M767" s="1"/>
      <x:c r="N767" s="1"/>
    </x:row>
    <x:row r="768" ht="22" customHeight="1">
      <x:c r="A768" s="1" t="n">
        <x:v>752</x:v>
      </x:c>
      <x:c r="B768" s="16" t="n">
        <x:v>0.8465834623462131</x:v>
      </x:c>
      <x:c r="C768" s="16" t="n">
        <x:f>$B$12+$D$12*B768</x:f>
        <x:v>0.011685672338655287</x:v>
      </x:c>
      <x:c r="D768" s="12" t="n">
        <x:f>D767*EXP(C768)</x:f>
        <x:v>149.26790927801204</x:v>
      </x:c>
      <x:c r="E768" s="16" t="n">
        <x:f>ABS(C768)</x:f>
        <x:v>0.011685672338655287</x:v>
      </x:c>
      <x:c r="F768" s="16" t="n">
        <x:f>C768^2</x:f>
        <x:v>0.00013655493800641334</x:v>
      </x:c>
      <x:c r="G768" s="1"/>
      <x:c r="H768" s="1"/>
      <x:c r="I768" s="1"/>
      <x:c r="J768" s="1"/>
      <x:c r="K768" s="1"/>
      <x:c r="L768" s="1"/>
      <x:c r="M768" s="1"/>
      <x:c r="N768" s="1"/>
    </x:row>
    <x:row r="769" ht="22" customHeight="1">
      <x:c r="A769" s="1" t="n">
        <x:v>753</x:v>
      </x:c>
      <x:c r="B769" s="16" t="n">
        <x:v>-0.07005795074937403</x:v>
      </x:c>
      <x:c r="C769" s="16" t="n">
        <x:f>$B$12+$D$12*B769</x:f>
        <x:v>-0.0004335423046621784</x:v>
      </x:c>
      <x:c r="D769" s="12" t="n">
        <x:f>D768*EXP(C769)</x:f>
        <x:v>149.20320935070276</x:v>
      </x:c>
      <x:c r="E769" s="16" t="n">
        <x:f>ABS(C769)</x:f>
        <x:v>0.0004335423046621784</x:v>
      </x:c>
      <x:c r="F769" s="16" t="n">
        <x:f>C769^2</x:f>
        <x:v>1.879589299317931e-7</x:v>
      </x:c>
      <x:c r="G769" s="1"/>
      <x:c r="H769" s="1"/>
      <x:c r="I769" s="1"/>
      <x:c r="J769" s="1"/>
      <x:c r="K769" s="1"/>
      <x:c r="L769" s="1"/>
      <x:c r="M769" s="1"/>
      <x:c r="N769" s="1"/>
    </x:row>
    <x:row r="770" ht="22" customHeight="1">
      <x:c r="A770" s="1" t="n">
        <x:v>754</x:v>
      </x:c>
      <x:c r="B770" s="16" t="n">
        <x:v>-1.1490589044448531</x:v>
      </x:c>
      <x:c r="C770" s="16" t="n">
        <x:f>$B$12+$D$12*B770</x:f>
        <x:v>-0.01469936530955857</x:v>
      </x:c>
      <x:c r="D770" s="12" t="n">
        <x:f>D769*EXP(C770)</x:f>
        <x:v>147.02605744820914</x:v>
      </x:c>
      <x:c r="E770" s="16" t="n">
        <x:f>ABS(C770)</x:f>
        <x:v>0.01469936530955857</x:v>
      </x:c>
      <x:c r="F770" s="16" t="n">
        <x:f>C770^2</x:f>
        <x:v>0.00021607134050385393</x:v>
      </x:c>
      <x:c r="G770" s="1"/>
      <x:c r="H770" s="1"/>
      <x:c r="I770" s="1"/>
      <x:c r="J770" s="1"/>
      <x:c r="K770" s="1"/>
      <x:c r="L770" s="1"/>
      <x:c r="M770" s="1"/>
      <x:c r="N770" s="1"/>
    </x:row>
    <x:row r="771" ht="22" customHeight="1">
      <x:c r="A771" s="1" t="n">
        <x:v>755</x:v>
      </x:c>
      <x:c r="B771" s="16" t="n">
        <x:v>1.6845578419942346</x:v>
      </x:c>
      <x:c r="C771" s="16" t="n">
        <x:f>$B$12+$D$12*B771</x:f>
        <x:v>0.022764804513426613</x:v>
      </x:c>
      <x:c r="D771" s="12" t="n">
        <x:f>D770*EXP(C771)</x:f>
        <x:v>150.4114647701811</x:v>
      </x:c>
      <x:c r="E771" s="16" t="n">
        <x:f>ABS(C771)</x:f>
        <x:v>0.022764804513426613</x:v>
      </x:c>
      <x:c r="F771" s="16" t="n">
        <x:f>C771^2</x:f>
        <x:v>0.0005182363245345287</x:v>
      </x:c>
      <x:c r="G771" s="1"/>
      <x:c r="H771" s="1"/>
      <x:c r="I771" s="1"/>
      <x:c r="J771" s="1"/>
      <x:c r="K771" s="1"/>
      <x:c r="L771" s="1"/>
      <x:c r="M771" s="1"/>
      <x:c r="N771" s="1"/>
    </x:row>
    <x:row r="772" ht="22" customHeight="1">
      <x:c r="A772" s="1" t="n">
        <x:v>756</x:v>
      </x:c>
      <x:c r="B772" s="16" t="n">
        <x:v>0.6247634187677447</x:v>
      </x:c>
      <x:c r="C772" s="16" t="n">
        <x:f>$B$12+$D$12*B772</x:f>
        <x:v>0.008752917302813197</x:v>
      </x:c>
      <x:c r="D772" s="12" t="n">
        <x:f>D771*EXP(C772)</x:f>
        <x:v>151.7337825093405</x:v>
      </x:c>
      <x:c r="E772" s="16" t="n">
        <x:f>ABS(C772)</x:f>
        <x:v>0.008752917302813197</x:v>
      </x:c>
      <x:c r="F772" s="16" t="n">
        <x:f>C772^2</x:f>
        <x:v>0.00007661356130988665</x:v>
      </x:c>
      <x:c r="G772" s="1"/>
      <x:c r="H772" s="1"/>
      <x:c r="I772" s="1"/>
      <x:c r="J772" s="1"/>
      <x:c r="K772" s="1"/>
      <x:c r="L772" s="1"/>
      <x:c r="M772" s="1"/>
      <x:c r="N772" s="1"/>
    </x:row>
    <x:row r="773" ht="22" customHeight="1">
      <x:c r="A773" s="1" t="n">
        <x:v>757</x:v>
      </x:c>
      <x:c r="B773" s="16" t="n">
        <x:v>-0.1591252311929145</x:v>
      </x:c>
      <x:c r="C773" s="16" t="n">
        <x:f>$B$12+$D$12*B773</x:f>
        <x:v>-0.001611129825769799</x:v>
      </x:c>
      <x:c r="D773" s="12" t="n">
        <x:f>D772*EXP(C773)</x:f>
        <x:v>151.4895165117175</x:v>
      </x:c>
      <x:c r="E773" s="16" t="n">
        <x:f>ABS(C773)</x:f>
        <x:v>0.001611129825769799</x:v>
      </x:c>
      <x:c r="F773" s="16" t="n">
        <x:f>C773^2</x:f>
        <x:v>0.0000025957393154850233</x:v>
      </x:c>
      <x:c r="G773" s="1"/>
      <x:c r="H773" s="1"/>
      <x:c r="I773" s="1"/>
      <x:c r="J773" s="1"/>
      <x:c r="K773" s="1"/>
      <x:c r="L773" s="1"/>
      <x:c r="M773" s="1"/>
      <x:c r="N773" s="1"/>
    </x:row>
    <x:row r="774" ht="22" customHeight="1">
      <x:c r="A774" s="1" t="n">
        <x:v>758</x:v>
      </x:c>
      <x:c r="B774" s="16" t="n">
        <x:v>-0.07575999235463633</x:v>
      </x:c>
      <x:c r="C774" s="16" t="n">
        <x:f>$B$12+$D$12*B774</x:f>
        <x:v>-0.0005089308536978678</x:v>
      </x:c>
      <x:c r="D774" s="12" t="n">
        <x:f>D773*EXP(C774)</x:f>
        <x:v>151.41243843812148</x:v>
      </x:c>
      <x:c r="E774" s="16" t="n">
        <x:f>ABS(C774)</x:f>
        <x:v>0.0005089308536978678</x:v>
      </x:c>
      <x:c r="F774" s="16" t="n">
        <x:f>C774^2</x:f>
        <x:v>2.590106138456405e-7</x:v>
      </x:c>
      <x:c r="G774" s="1"/>
      <x:c r="H774" s="1"/>
      <x:c r="I774" s="1"/>
      <x:c r="J774" s="1"/>
      <x:c r="K774" s="1"/>
      <x:c r="L774" s="1"/>
      <x:c r="M774" s="1"/>
      <x:c r="N774" s="1"/>
    </x:row>
    <x:row r="775" ht="22" customHeight="1">
      <x:c r="A775" s="1" t="n">
        <x:v>759</x:v>
      </x:c>
      <x:c r="B775" s="16" t="n">
        <x:v>1.5842333009900624</x:v>
      </x:c>
      <x:c r="C775" s="16" t="n">
        <x:f>$B$12+$D$12*B775</x:f>
        <x:v>0.021438381084317285</x:v>
      </x:c>
      <x:c r="D775" s="12" t="n">
        <x:f>D774*EXP(C775)</x:f>
        <x:v>154.69352087646615</x:v>
      </x:c>
      <x:c r="E775" s="16" t="n">
        <x:f>ABS(C775)</x:f>
        <x:v>0.021438381084317285</x:v>
      </x:c>
      <x:c r="F775" s="16" t="n">
        <x:f>C775^2</x:f>
        <x:v>0.0004596041835164132</x:v>
      </x:c>
      <x:c r="G775" s="1"/>
      <x:c r="H775" s="1"/>
      <x:c r="I775" s="1"/>
      <x:c r="J775" s="1"/>
      <x:c r="K775" s="1"/>
      <x:c r="L775" s="1"/>
      <x:c r="M775" s="1"/>
      <x:c r="N775" s="1"/>
    </x:row>
    <x:row r="776" ht="22" customHeight="1">
      <x:c r="A776" s="1" t="n">
        <x:v>760</x:v>
      </x:c>
      <x:c r="B776" s="16" t="n">
        <x:v>0.692361647855982</x:v>
      </x:c>
      <x:c r="C776" s="16" t="n">
        <x:f>$B$12+$D$12*B776</x:f>
        <x:v>0.00964665550416922</x:v>
      </x:c>
      <x:c r="D776" s="12" t="n">
        <x:f>D775*EXP(C776)</x:f>
        <x:v>156.19301691361943</x:v>
      </x:c>
      <x:c r="E776" s="16" t="n">
        <x:f>ABS(C776)</x:f>
        <x:v>0.00964665550416922</x:v>
      </x:c>
      <x:c r="F776" s="16" t="n">
        <x:f>C776^2</x:f>
        <x:v>0.00009305796241611832</x:v>
      </x:c>
      <x:c r="G776" s="1"/>
      <x:c r="H776" s="1"/>
      <x:c r="I776" s="1"/>
      <x:c r="J776" s="1"/>
      <x:c r="K776" s="1"/>
      <x:c r="L776" s="1"/>
      <x:c r="M776" s="1"/>
      <x:c r="N776" s="1"/>
    </x:row>
    <x:row r="777" ht="22" customHeight="1">
      <x:c r="A777" s="1" t="n">
        <x:v>761</x:v>
      </x:c>
      <x:c r="B777" s="16" t="n">
        <x:v>-0.2602806624486399</x:v>
      </x:c>
      <x:c r="C777" s="16" t="n">
        <x:f>$B$12+$D$12*B777</x:f>
        <x:v>-0.0029485387254892816</x:v>
      </x:c>
      <x:c r="D777" s="12" t="n">
        <x:f>D776*EXP(C777)</x:f>
        <x:v>155.73315404949628</x:v>
      </x:c>
      <x:c r="E777" s="16" t="n">
        <x:f>ABS(C777)</x:f>
        <x:v>0.0029485387254892816</x:v>
      </x:c>
      <x:c r="F777" s="16" t="n">
        <x:f>C777^2</x:f>
        <x:v>0.000008693880615709957</x:v>
      </x:c>
      <x:c r="G777" s="1"/>
      <x:c r="H777" s="1"/>
      <x:c r="I777" s="1"/>
      <x:c r="J777" s="1"/>
      <x:c r="K777" s="1"/>
      <x:c r="L777" s="1"/>
      <x:c r="M777" s="1"/>
      <x:c r="N777" s="1"/>
    </x:row>
    <x:row r="778" ht="22" customHeight="1">
      <x:c r="A778" s="1" t="n">
        <x:v>762</x:v>
      </x:c>
      <x:c r="B778" s="16" t="n">
        <x:v>-0.7570373942185809</x:v>
      </x:c>
      <x:c r="C778" s="16" t="n">
        <x:f>$B$12+$D$12*B778</x:f>
        <x:v>-0.009516321253993697</x:v>
      </x:c>
      <x:c r="D778" s="12" t="n">
        <x:f>D777*EXP(C778)</x:f>
        <x:v>154.2581766363083</x:v>
      </x:c>
      <x:c r="E778" s="16" t="n">
        <x:f>ABS(C778)</x:f>
        <x:v>0.009516321253993697</x:v>
      </x:c>
      <x:c r="F778" s="16" t="n">
        <x:f>C778^2</x:f>
        <x:v>0.00009056037020921218</x:v>
      </x:c>
      <x:c r="G778" s="1"/>
      <x:c r="H778" s="1"/>
      <x:c r="I778" s="1"/>
      <x:c r="J778" s="1"/>
      <x:c r="K778" s="1"/>
      <x:c r="L778" s="1"/>
      <x:c r="M778" s="1"/>
      <x:c r="N778" s="1"/>
    </x:row>
    <x:row r="779" ht="22" customHeight="1">
      <x:c r="A779" s="1" t="n">
        <x:v>763</x:v>
      </x:c>
      <x:c r="B779" s="16" t="n">
        <x:v>-0.327511084352448</x:v>
      </x:c>
      <x:c r="C779" s="16" t="n">
        <x:f>$B$12+$D$12*B779</x:f>
        <x:v>-0.0038374140282769354</x:v>
      </x:c>
      <x:c r="D779" s="12" t="n">
        <x:f>D778*EXP(C779)</x:f>
        <x:v>153.6673584772732</x:v>
      </x:c>
      <x:c r="E779" s="16" t="n">
        <x:f>ABS(C779)</x:f>
        <x:v>0.0038374140282769354</x:v>
      </x:c>
      <x:c r="F779" s="16" t="n">
        <x:f>C779^2</x:f>
        <x:v>0.000014725746424416617</x:v>
      </x:c>
      <x:c r="G779" s="1"/>
      <x:c r="H779" s="1"/>
      <x:c r="I779" s="1"/>
      <x:c r="J779" s="1"/>
      <x:c r="K779" s="1"/>
      <x:c r="L779" s="1"/>
      <x:c r="M779" s="1"/>
      <x:c r="N779" s="1"/>
    </x:row>
    <x:row r="780" ht="22" customHeight="1">
      <x:c r="A780" s="1" t="n">
        <x:v>764</x:v>
      </x:c>
      <x:c r="B780" s="16" t="n">
        <x:v>-0.42724290547044685</x:v>
      </x:c>
      <x:c r="C780" s="16" t="n">
        <x:f>$B$12+$D$12*B780</x:f>
        <x:v>-0.00515600091474126</x:v>
      </x:c>
      <x:c r="D780" s="12" t="n">
        <x:f>D779*EXP(C780)</x:f>
        <x:v>152.8770885034858</x:v>
      </x:c>
      <x:c r="E780" s="16" t="n">
        <x:f>ABS(C780)</x:f>
        <x:v>0.00515600091474126</x:v>
      </x:c>
      <x:c r="F780" s="16" t="n">
        <x:f>C780^2</x:f>
        <x:v>0.000026584345432812713</x:v>
      </x:c>
      <x:c r="G780" s="1"/>
      <x:c r="H780" s="1"/>
      <x:c r="I780" s="1"/>
      <x:c r="J780" s="1"/>
      <x:c r="K780" s="1"/>
      <x:c r="L780" s="1"/>
      <x:c r="M780" s="1"/>
      <x:c r="N780" s="1"/>
    </x:row>
    <x:row r="781" ht="22" customHeight="1">
      <x:c r="A781" s="1" t="n">
        <x:v>765</x:v>
      </x:c>
      <x:c r="B781" s="16" t="n">
        <x:v>0.717966486750738</x:v>
      </x:c>
      <x:c r="C781" s="16" t="n">
        <x:f>$B$12+$D$12*B781</x:f>
        <x:v>0.009985185417873604</x:v>
      </x:c>
      <x:c r="D781" s="12" t="n">
        <x:f>D780*EXP(C781)</x:f>
        <x:v>154.41124123132798</x:v>
      </x:c>
      <x:c r="E781" s="16" t="n">
        <x:f>ABS(C781)</x:f>
        <x:v>0.009985185417873604</x:v>
      </x:c>
      <x:c r="F781" s="16" t="n">
        <x:f>C781^2</x:f>
        <x:v>0.00009970392782931566</x:v>
      </x:c>
      <x:c r="G781" s="1"/>
      <x:c r="H781" s="1"/>
      <x:c r="I781" s="1"/>
      <x:c r="J781" s="1"/>
      <x:c r="K781" s="1"/>
      <x:c r="L781" s="1"/>
      <x:c r="M781" s="1"/>
      <x:c r="N781" s="1"/>
    </x:row>
    <x:row r="782" ht="22" customHeight="1">
      <x:c r="A782" s="1" t="n">
        <x:v>766</x:v>
      </x:c>
      <x:c r="B782" s="16" t="n">
        <x:v>-0.3662503910003319</x:v>
      </x:c>
      <x:c r="C782" s="16" t="n">
        <x:f>$B$12+$D$12*B782</x:f>
        <x:v>-0.004349599017621337</x:v>
      </x:c>
      <x:c r="D782" s="12" t="n">
        <x:f>D781*EXP(C782)</x:f>
        <x:v>153.74107278673932</x:v>
      </x:c>
      <x:c r="E782" s="16" t="n">
        <x:f>ABS(C782)</x:f>
        <x:v>0.004349599017621337</x:v>
      </x:c>
      <x:c r="F782" s="16" t="n">
        <x:f>C782^2</x:f>
        <x:v>0.000018919011614092496</x:v>
      </x:c>
      <x:c r="G782" s="1"/>
      <x:c r="H782" s="1"/>
      <x:c r="I782" s="1"/>
      <x:c r="J782" s="1"/>
      <x:c r="K782" s="1"/>
      <x:c r="L782" s="1"/>
      <x:c r="M782" s="1"/>
      <x:c r="N782" s="1"/>
    </x:row>
    <x:row r="783" ht="22" customHeight="1">
      <x:c r="A783" s="1" t="n">
        <x:v>767</x:v>
      </x:c>
      <x:c r="B783" s="16" t="n">
        <x:v>1.6070611899533003</x:v>
      </x:c>
      <x:c r="C783" s="16" t="n">
        <x:f>$B$12+$D$12*B783</x:f>
        <x:v>0.02174019603861332</x:v>
      </x:c>
      <x:c r="D783" s="12" t="n">
        <x:f>D782*EXP(C783)</x:f>
        <x:v>157.1200303646487</x:v>
      </x:c>
      <x:c r="E783" s="16" t="n">
        <x:f>ABS(C783)</x:f>
        <x:v>0.02174019603861332</x:v>
      </x:c>
      <x:c r="F783" s="16" t="n">
        <x:f>C783^2</x:f>
        <x:v>0.00047263612379733834</x:v>
      </x:c>
      <x:c r="G783" s="1"/>
      <x:c r="H783" s="1"/>
      <x:c r="I783" s="1"/>
      <x:c r="J783" s="1"/>
      <x:c r="K783" s="1"/>
      <x:c r="L783" s="1"/>
      <x:c r="M783" s="1"/>
      <x:c r="N783" s="1"/>
    </x:row>
    <x:row r="784" ht="22" customHeight="1">
      <x:c r="A784" s="1" t="n">
        <x:v>768</x:v>
      </x:c>
      <x:c r="B784" s="16" t="n">
        <x:v>-0.3734695856765178</x:v>
      </x:c>
      <x:c r="C784" s="16" t="n">
        <x:f>$B$12+$D$12*B784</x:f>
        <x:v>-0.004445046341495921</x:v>
      </x:c>
      <x:c r="D784" s="12" t="n">
        <x:f>D783*EXP(C784)</x:f>
        <x:v>156.42317447426186</x:v>
      </x:c>
      <x:c r="E784" s="16" t="n">
        <x:f>ABS(C784)</x:f>
        <x:v>0.004445046341495921</x:v>
      </x:c>
      <x:c r="F784" s="16" t="n">
        <x:f>C784^2</x:f>
        <x:v>0.000019758436978046273</x:v>
      </x:c>
      <x:c r="G784" s="1"/>
      <x:c r="H784" s="1"/>
      <x:c r="I784" s="1"/>
      <x:c r="J784" s="1"/>
      <x:c r="K784" s="1"/>
      <x:c r="L784" s="1"/>
      <x:c r="M784" s="1"/>
      <x:c r="N784" s="1"/>
    </x:row>
    <x:row r="785" ht="22" customHeight="1">
      <x:c r="A785" s="1" t="n">
        <x:v>769</x:v>
      </x:c>
      <x:c r="B785" s="16" t="n">
        <x:v>-0.7955424958545022</x:v>
      </x:c>
      <x:c r="C785" s="16" t="n">
        <x:f>$B$12+$D$12*B785</x:f>
        <x:v>-0.010025409742601863</x:v>
      </x:c>
      <x:c r="D785" s="12" t="n">
        <x:f>D784*EXP(C785)</x:f>
        <x:v>154.8628028088077</x:v>
      </x:c>
      <x:c r="E785" s="16" t="n">
        <x:f>ABS(C785)</x:f>
        <x:v>0.010025409742601863</x:v>
      </x:c>
      <x:c r="F785" s="16" t="n">
        <x:f>C785^2</x:f>
        <x:v>0.00010050884050705635</x:v>
      </x:c>
      <x:c r="G785" s="1"/>
      <x:c r="H785" s="1"/>
      <x:c r="I785" s="1"/>
      <x:c r="J785" s="1"/>
      <x:c r="K785" s="1"/>
      <x:c r="L785" s="1"/>
      <x:c r="M785" s="1"/>
      <x:c r="N785" s="1"/>
    </x:row>
    <x:row r="786" ht="22" customHeight="1">
      <x:c r="A786" s="1" t="n">
        <x:v>770</x:v>
      </x:c>
      <x:c r="B786" s="16" t="n">
        <x:v>0.2989113629278122</x:v>
      </x:c>
      <x:c r="C786" s="16" t="n">
        <x:f>$B$12+$D$12*B786</x:f>
        <x:v>0.004444721152964356</x:v>
      </x:c>
      <x:c r="D786" s="12" t="n">
        <x:f>D785*EXP(C786)</x:f>
        <x:v>155.55265675276488</x:v>
      </x:c>
      <x:c r="E786" s="16" t="n">
        <x:f>ABS(C786)</x:f>
        <x:v>0.004444721152964356</x:v>
      </x:c>
      <x:c r="F786" s="16" t="n">
        <x:f>C786^2</x:f>
        <x:v>0.000019755546127608793</x:v>
      </x:c>
      <x:c r="G786" s="1"/>
      <x:c r="H786" s="1"/>
      <x:c r="I786" s="1"/>
      <x:c r="J786" s="1"/>
      <x:c r="K786" s="1"/>
      <x:c r="L786" s="1"/>
      <x:c r="M786" s="1"/>
      <x:c r="N786" s="1"/>
    </x:row>
    <x:row r="787" ht="22" customHeight="1">
      <x:c r="A787" s="1" t="n">
        <x:v>771</x:v>
      </x:c>
      <x:c r="B787" s="16" t="n">
        <x:v>-0.5293546184037566</x:v>
      </x:c>
      <x:c r="C787" s="16" t="n">
        <x:f>$B$12+$D$12*B787</x:f>
        <x:v>-0.006506053125950433</x:v>
      </x:c>
      <x:c r="D787" s="12" t="n">
        <x:f>D786*EXP(C787)</x:f>
        <x:v>154.54390794895474</x:v>
      </x:c>
      <x:c r="E787" s="16" t="n">
        <x:f>ABS(C787)</x:f>
        <x:v>0.006506053125950433</x:v>
      </x:c>
      <x:c r="F787" s="16" t="n">
        <x:f>C787^2</x:f>
        <x:v>0.0000423287272776894</x:v>
      </x:c>
      <x:c r="G787" s="1"/>
      <x:c r="H787" s="1"/>
      <x:c r="I787" s="1"/>
      <x:c r="J787" s="1"/>
      <x:c r="K787" s="1"/>
      <x:c r="L787" s="1"/>
      <x:c r="M787" s="1"/>
      <x:c r="N787" s="1"/>
    </x:row>
    <x:row r="788" ht="22" customHeight="1">
      <x:c r="A788" s="1" t="n">
        <x:v>772</x:v>
      </x:c>
      <x:c r="B788" s="16" t="n">
        <x:v>-0.28012754097675935</x:v>
      </x:c>
      <x:c r="C788" s="16" t="n">
        <x:f>$B$12+$D$12*B788</x:f>
        <x:v>-0.0032109407700028933</x:v>
      </x:c>
      <x:c r="D788" s="12" t="n">
        <x:f>D787*EXP(C788)</x:f>
        <x:v>154.04847244685956</x:v>
      </x:c>
      <x:c r="E788" s="16" t="n">
        <x:f>ABS(C788)</x:f>
        <x:v>0.0032109407700028933</x:v>
      </x:c>
      <x:c r="F788" s="16" t="n">
        <x:f>C788^2</x:f>
        <x:v>0.000010310140628466774</x:v>
      </x:c>
      <x:c r="G788" s="1"/>
      <x:c r="H788" s="1"/>
      <x:c r="I788" s="1"/>
      <x:c r="J788" s="1"/>
      <x:c r="K788" s="1"/>
      <x:c r="L788" s="1"/>
      <x:c r="M788" s="1"/>
      <x:c r="N788" s="1"/>
    </x:row>
    <x:row r="789" ht="22" customHeight="1">
      <x:c r="A789" s="1" t="n">
        <x:v>773</x:v>
      </x:c>
      <x:c r="B789" s="16" t="n">
        <x:v>0.3759587891715184</x:v>
      </x:c>
      <x:c r="C789" s="16" t="n">
        <x:f>$B$12+$D$12*B789</x:f>
        <x:v>0.0054633902672140255</x:v>
      </x:c>
      <x:c r="D789" s="12" t="n">
        <x:f>D788*EXP(C789)</x:f>
        <x:v>154.89240263270756</x:v>
      </x:c>
      <x:c r="E789" s="16" t="n">
        <x:f>ABS(C789)</x:f>
        <x:v>0.0054633902672140255</x:v>
      </x:c>
      <x:c r="F789" s="16" t="n">
        <x:f>C789^2</x:f>
        <x:v>0.000029848633211888942</x:v>
      </x:c>
      <x:c r="G789" s="1"/>
      <x:c r="H789" s="1"/>
      <x:c r="I789" s="1"/>
      <x:c r="J789" s="1"/>
      <x:c r="K789" s="1"/>
      <x:c r="L789" s="1"/>
      <x:c r="M789" s="1"/>
      <x:c r="N789" s="1"/>
    </x:row>
    <x:row r="790" ht="22" customHeight="1">
      <x:c r="A790" s="1" t="n">
        <x:v>774</x:v>
      </x:c>
      <x:c r="B790" s="16" t="n">
        <x:v>-0.42981484403733916</x:v>
      </x:c>
      <x:c r="C790" s="16" t="n">
        <x:f>$B$12+$D$12*B790</x:f>
        <x:v>-0.005190005352132247</x:v>
      </x:c>
      <x:c r="D790" s="12" t="n">
        <x:f>D789*EXP(C790)</x:f>
        <x:v>154.090592732681</x:v>
      </x:c>
      <x:c r="E790" s="16" t="n">
        <x:f>ABS(C790)</x:f>
        <x:v>0.005190005352132247</x:v>
      </x:c>
      <x:c r="F790" s="16" t="n">
        <x:f>C790^2</x:f>
        <x:v>0.00002693615555516137</x:v>
      </x:c>
      <x:c r="G790" s="1"/>
      <x:c r="H790" s="1"/>
      <x:c r="I790" s="1"/>
      <x:c r="J790" s="1"/>
      <x:c r="K790" s="1"/>
      <x:c r="L790" s="1"/>
      <x:c r="M790" s="1"/>
      <x:c r="N790" s="1"/>
    </x:row>
    <x:row r="791" ht="22" customHeight="1">
      <x:c r="A791" s="1" t="n">
        <x:v>775</x:v>
      </x:c>
      <x:c r="B791" s="16" t="n">
        <x:v>-0.026946509091156055</x:v>
      </x:c>
      <x:c r="C791" s="16" t="n">
        <x:f>$B$12+$D$12*B791</x:f>
        <x:v>0.0001364481055183381</x:v>
      </x:c>
      <x:c r="D791" s="12" t="n">
        <x:f>D790*EXP(C791)</x:f>
        <x:v>154.11161953663873</x:v>
      </x:c>
      <x:c r="E791" s="16" t="n">
        <x:f>ABS(C791)</x:f>
        <x:v>0.0001364481055183381</x:v>
      </x:c>
      <x:c r="F791" s="16" t="n">
        <x:f>C791^2</x:f>
        <x:v>1.861808549954353e-8</x:v>
      </x:c>
      <x:c r="G791" s="1"/>
      <x:c r="H791" s="1"/>
      <x:c r="I791" s="1"/>
      <x:c r="J791" s="1"/>
      <x:c r="K791" s="1"/>
      <x:c r="L791" s="1"/>
      <x:c r="M791" s="1"/>
      <x:c r="N791" s="1"/>
    </x:row>
    <x:row r="792" ht="22" customHeight="1">
      <x:c r="A792" s="1" t="n">
        <x:v>776</x:v>
      </x:c>
      <x:c r="B792" s="16" t="n">
        <x:v>2.1943643697024875</x:v>
      </x:c>
      <x:c r="C792" s="16" t="n">
        <x:f>$B$12+$D$12*B792</x:f>
        <x:v>0.029505122643932465</x:v>
      </x:c>
      <x:c r="D792" s="12" t="n">
        <x:f>D791*EXP(C792)</x:f>
        <x:v>158.72644752221538</x:v>
      </x:c>
      <x:c r="E792" s="16" t="n">
        <x:f>ABS(C792)</x:f>
        <x:v>0.029505122643932465</x:v>
      </x:c>
      <x:c r="F792" s="16" t="n">
        <x:f>C792^2</x:f>
        <x:v>0.0008705522622334962</x:v>
      </x:c>
      <x:c r="G792" s="1"/>
      <x:c r="H792" s="1"/>
      <x:c r="I792" s="1"/>
      <x:c r="J792" s="1"/>
      <x:c r="K792" s="1"/>
      <x:c r="L792" s="1"/>
      <x:c r="M792" s="1"/>
      <x:c r="N792" s="1"/>
    </x:row>
    <x:row r="793" ht="22" customHeight="1">
      <x:c r="A793" s="1" t="n">
        <x:v>777</x:v>
      </x:c>
      <x:c r="B793" s="16" t="n">
        <x:v>-0.04457653708867811</x:v>
      </x:c>
      <x:c r="C793" s="16" t="n">
        <x:f>$B$12+$D$12*B793</x:f>
        <x:v>-0.0000966442361729549</x:v>
      </x:c>
      <x:c r="D793" s="12" t="n">
        <x:f>D792*EXP(C793)</x:f>
        <x:v>158.7111082671714</x:v>
      </x:c>
      <x:c r="E793" s="16" t="n">
        <x:f>ABS(C793)</x:f>
        <x:v>0.0000966442361729549</x:v>
      </x:c>
      <x:c r="F793" s="16" t="n">
        <x:f>C793^2</x:f>
        <x:v>9.340108385453883e-9</x:v>
      </x:c>
      <x:c r="G793" s="1"/>
      <x:c r="H793" s="1"/>
      <x:c r="I793" s="1"/>
      <x:c r="J793" s="1"/>
      <x:c r="K793" s="1"/>
      <x:c r="L793" s="1"/>
      <x:c r="M793" s="1"/>
      <x:c r="N793" s="1"/>
    </x:row>
    <x:row r="794" ht="22" customHeight="1">
      <x:c r="A794" s="1" t="n">
        <x:v>778</x:v>
      </x:c>
      <x:c r="B794" s="16" t="n">
        <x:v>0.22208713775258895</x:v>
      </x:c>
      <x:c r="C794" s="16" t="n">
        <x:f>$B$12+$D$12*B794</x:f>
        <x:v>0.003429003052730547</x:v>
      </x:c>
      <x:c r="D794" s="12" t="n">
        <x:f>D793*EXP(C794)</x:f>
        <x:v>159.25626327685424</x:v>
      </x:c>
      <x:c r="E794" s="16" t="n">
        <x:f>ABS(C794)</x:f>
        <x:v>0.003429003052730547</x:v>
      </x:c>
      <x:c r="F794" s="16" t="n">
        <x:f>C794^2</x:f>
        <x:v>0.00001175806193563541</x:v>
      </x:c>
      <x:c r="G794" s="1"/>
      <x:c r="H794" s="1"/>
      <x:c r="I794" s="1"/>
      <x:c r="J794" s="1"/>
      <x:c r="K794" s="1"/>
      <x:c r="L794" s="1"/>
      <x:c r="M794" s="1"/>
      <x:c r="N794" s="1"/>
    </x:row>
    <x:row r="795" ht="22" customHeight="1">
      <x:c r="A795" s="1" t="n">
        <x:v>779</x:v>
      </x:c>
      <x:c r="B795" s="16" t="n">
        <x:v>1.038638787201438</x:v>
      </x:c>
      <x:c r="C795" s="16" t="n">
        <x:f>$B$12+$D$12*B795</x:f>
        <x:v>0.014224898334840797</x:v>
      </x:c>
      <x:c r="D795" s="12" t="n">
        <x:f>D794*EXP(C795)</x:f>
        <x:v>161.5378566754143</x:v>
      </x:c>
      <x:c r="E795" s="16" t="n">
        <x:f>ABS(C795)</x:f>
        <x:v>0.014224898334840797</x:v>
      </x:c>
      <x:c r="F795" s="16" t="n">
        <x:f>C795^2</x:f>
        <x:v>0.00020234773263655648</x:v>
      </x:c>
      <x:c r="G795" s="1"/>
      <x:c r="H795" s="1"/>
      <x:c r="I795" s="1"/>
      <x:c r="J795" s="1"/>
      <x:c r="K795" s="1"/>
      <x:c r="L795" s="1"/>
      <x:c r="M795" s="1"/>
      <x:c r="N795" s="1"/>
    </x:row>
    <x:row r="796" ht="22" customHeight="1">
      <x:c r="A796" s="1" t="n">
        <x:v>780</x:v>
      </x:c>
      <x:c r="B796" s="16" t="n">
        <x:v>-0.24426034629718824</x:v>
      </x:c>
      <x:c r="C796" s="16" t="n">
        <x:f>$B$12+$D$12*B796</x:f>
        <x:v>-0.0027367289083465316</x:v>
      </x:c>
      <x:c r="D796" s="12" t="n">
        <x:f>D795*EXP(C796)</x:f>
        <x:v>161.09637573562964</x:v>
      </x:c>
      <x:c r="E796" s="16" t="n">
        <x:f>ABS(C796)</x:f>
        <x:v>0.0027367289083465316</x:v>
      </x:c>
      <x:c r="F796" s="16" t="n">
        <x:f>C796^2</x:f>
        <x:v>0.000007489685117779599</x:v>
      </x:c>
      <x:c r="G796" s="1"/>
      <x:c r="H796" s="1"/>
      <x:c r="I796" s="1"/>
      <x:c r="J796" s="1"/>
      <x:c r="K796" s="1"/>
      <x:c r="L796" s="1"/>
      <x:c r="M796" s="1"/>
      <x:c r="N796" s="1"/>
    </x:row>
    <x:row r="797" ht="22" customHeight="1">
      <x:c r="A797" s="1" t="n">
        <x:v>781</x:v>
      </x:c>
      <x:c r="B797" s="16" t="n">
        <x:v>2.6395497227059987</x:v>
      </x:c>
      <x:c r="C797" s="16" t="n">
        <x:f>$B$12+$D$12*B797</x:f>
        <x:v>0.03539106317861785</x:v>
      </x:c>
      <x:c r="D797" s="12" t="n">
        <x:f>D796*EXP(C797)</x:f>
        <x:v>166.89983734854496</x:v>
      </x:c>
      <x:c r="E797" s="16" t="n">
        <x:f>ABS(C797)</x:f>
        <x:v>0.03539106317861785</x:v>
      </x:c>
      <x:c r="F797" s="16" t="n">
        <x:f>C797^2</x:f>
        <x:v>0.0012525273529129203</x:v>
      </x:c>
      <x:c r="G797" s="1"/>
      <x:c r="H797" s="1"/>
      <x:c r="I797" s="1"/>
      <x:c r="J797" s="1"/>
      <x:c r="K797" s="1"/>
      <x:c r="L797" s="1"/>
      <x:c r="M797" s="1"/>
      <x:c r="N797" s="1"/>
    </x:row>
    <x:row r="798" ht="22" customHeight="1">
      <x:c r="A798" s="1" t="n">
        <x:v>782</x:v>
      </x:c>
      <x:c r="B798" s="16" t="n">
        <x:v>-0.066537550268216</x:v>
      </x:c>
      <x:c r="C798" s="16" t="n">
        <x:f>$B$12+$D$12*B798</x:f>
        <x:v>-0.0003869979434189851</x:v>
      </x:c>
      <x:c r="D798" s="12" t="n">
        <x:f>D797*EXP(C798)</x:f>
        <x:v>166.83525995120004</x:v>
      </x:c>
      <x:c r="E798" s="16" t="n">
        <x:f>ABS(C798)</x:f>
        <x:v>0.0003869979434189851</x:v>
      </x:c>
      <x:c r="F798" s="16" t="n">
        <x:f>C798^2</x:f>
        <x:v>1.49767408210524e-7</x:v>
      </x:c>
      <x:c r="G798" s="1"/>
      <x:c r="H798" s="1"/>
      <x:c r="I798" s="1"/>
      <x:c r="J798" s="1"/>
      <x:c r="K798" s="1"/>
      <x:c r="L798" s="1"/>
      <x:c r="M798" s="1"/>
      <x:c r="N798" s="1"/>
    </x:row>
    <x:row r="799" ht="22" customHeight="1">
      <x:c r="A799" s="1" t="n">
        <x:v>783</x:v>
      </x:c>
      <x:c r="B799" s="16" t="n">
        <x:v>0.45629872503161967</x:v>
      </x:c>
      <x:c r="C799" s="16" t="n">
        <x:f>$B$12+$D$12*B799</x:f>
        <x:v>0.006525590723367093</x:v>
      </x:c>
      <x:c r="D799" s="12" t="n">
        <x:f>D798*EXP(C799)</x:f>
        <x:v>167.92751851604905</x:v>
      </x:c>
      <x:c r="E799" s="16" t="n">
        <x:f>ABS(C799)</x:f>
        <x:v>0.006525590723367093</x:v>
      </x:c>
      <x:c r="F799" s="16" t="n">
        <x:f>C799^2</x:f>
        <x:v>0.00004258333428889466</x:v>
      </x:c>
      <x:c r="G799" s="1"/>
      <x:c r="H799" s="1"/>
      <x:c r="I799" s="1"/>
      <x:c r="J799" s="1"/>
      <x:c r="K799" s="1"/>
      <x:c r="L799" s="1"/>
      <x:c r="M799" s="1"/>
      <x:c r="N799" s="1"/>
    </x:row>
    <x:row r="800" ht="22" customHeight="1">
      <x:c r="A800" s="1" t="n">
        <x:v>784</x:v>
      </x:c>
      <x:c r="B800" s="16" t="n">
        <x:v>0.4737713381665831</x:v>
      </x:c>
      <x:c r="C800" s="16" t="n">
        <x:f>$B$12+$D$12*B800</x:f>
        <x:v>0.006756601831895514</x:v>
      </x:c>
      <x:c r="D800" s="12" t="n">
        <x:f>D799*EXP(C800)</x:f>
        <x:v>169.06597962844825</x:v>
      </x:c>
      <x:c r="E800" s="16" t="n">
        <x:f>ABS(C800)</x:f>
        <x:v>0.006756601831895514</x:v>
      </x:c>
      <x:c r="F800" s="16" t="n">
        <x:f>C800^2</x:f>
        <x:v>0.00004565166831477382</x:v>
      </x:c>
      <x:c r="G800" s="1"/>
      <x:c r="H800" s="1"/>
      <x:c r="I800" s="1"/>
      <x:c r="J800" s="1"/>
      <x:c r="K800" s="1"/>
      <x:c r="L800" s="1"/>
      <x:c r="M800" s="1"/>
      <x:c r="N800" s="1"/>
    </x:row>
    <x:row r="801" ht="22" customHeight="1">
      <x:c r="A801" s="1" t="n">
        <x:v>785</x:v>
      </x:c>
      <x:c r="B801" s="16" t="n">
        <x:v>-0.68219969470579</x:v>
      </x:c>
      <x:c r="C801" s="16" t="n">
        <x:f>$B$12+$D$12*B801</x:f>
        <x:v>-0.008526867656490758</x:v>
      </x:c>
      <x:c r="D801" s="12" t="n">
        <x:f>D800*EXP(C801)</x:f>
        <x:v>167.63050514288904</x:v>
      </x:c>
      <x:c r="E801" s="16" t="n">
        <x:f>ABS(C801)</x:f>
        <x:v>0.008526867656490758</x:v>
      </x:c>
      <x:c r="F801" s="16" t="n">
        <x:f>C801^2</x:f>
        <x:v>0.00007270747203130819</x:v>
      </x:c>
      <x:c r="G801" s="1"/>
      <x:c r="H801" s="1"/>
      <x:c r="I801" s="1"/>
      <x:c r="J801" s="1"/>
      <x:c r="K801" s="1"/>
      <x:c r="L801" s="1"/>
      <x:c r="M801" s="1"/>
      <x:c r="N801" s="1"/>
    </x:row>
    <x:row r="802" ht="22" customHeight="1">
      <x:c r="A802" s="1" t="n">
        <x:v>786</x:v>
      </x:c>
      <x:c r="B802" s="16" t="n">
        <x:v>-0.4930597643314598</x:v>
      </x:c>
      <x:c r="C802" s="16" t="n">
        <x:f>$B$12+$D$12*B802</x:f>
        <x:v>-0.006026187040187862</x:v>
      </x:c>
      <x:c r="D802" s="12" t="n">
        <x:f>D801*EXP(C802)</x:f>
        <x:v>166.6233700054483</x:v>
      </x:c>
      <x:c r="E802" s="16" t="n">
        <x:f>ABS(C802)</x:f>
        <x:v>0.006026187040187862</x:v>
      </x:c>
      <x:c r="F802" s="16" t="n">
        <x:f>C802^2</x:f>
        <x:v>0.000036314930243328146</x:v>
      </x:c>
      <x:c r="G802" s="1"/>
      <x:c r="H802" s="1"/>
      <x:c r="I802" s="1"/>
      <x:c r="J802" s="1"/>
      <x:c r="K802" s="1"/>
      <x:c r="L802" s="1"/>
      <x:c r="M802" s="1"/>
      <x:c r="N802" s="1"/>
    </x:row>
    <x:row r="803" ht="22" customHeight="1">
      <x:c r="A803" s="1" t="n">
        <x:v>787</x:v>
      </x:c>
      <x:c r="B803" s="16" t="n">
        <x:v>0.07986401847411748</x:v>
      </x:c>
      <x:c r="C803" s="16" t="n">
        <x:f>$B$12+$D$12*B803</x:f>
        <x:v>0.001548624875230292</x:v>
      </x:c>
      <x:c r="D803" s="12" t="n">
        <x:f>D802*EXP(C803)</x:f>
        <x:v>166.88160700554496</x:v>
      </x:c>
      <x:c r="E803" s="16" t="n">
        <x:f>ABS(C803)</x:f>
        <x:v>0.001548624875230292</x:v>
      </x:c>
      <x:c r="F803" s="16" t="n">
        <x:f>C803^2</x:f>
        <x:v>0.0000023982390041820378</x:v>
      </x:c>
      <x:c r="G803" s="1"/>
      <x:c r="H803" s="1"/>
      <x:c r="I803" s="1"/>
      <x:c r="J803" s="1"/>
      <x:c r="K803" s="1"/>
      <x:c r="L803" s="1"/>
      <x:c r="M803" s="1"/>
      <x:c r="N803" s="1"/>
    </x:row>
    <x:row r="804" ht="22" customHeight="1">
      <x:c r="A804" s="1" t="n">
        <x:v>788</x:v>
      </x:c>
      <x:c r="B804" s="16" t="n">
        <x:v>1.0732193870635853</x:v>
      </x:c>
      <x:c r="C804" s="16" t="n">
        <x:f>$B$12+$D$12*B804</x:f>
        <x:v>0.014682099707413231</x:v>
      </x:c>
      <x:c r="D804" s="12" t="n">
        <x:f>D803*EXP(C804)</x:f>
        <x:v>169.34985458886598</x:v>
      </x:c>
      <x:c r="E804" s="16" t="n">
        <x:f>ABS(C804)</x:f>
        <x:v>0.014682099707413231</x:v>
      </x:c>
      <x:c r="F804" s="16" t="n">
        <x:f>C804^2</x:f>
        <x:v>0.0002155640518184237</x:v>
      </x:c>
      <x:c r="G804" s="1"/>
      <x:c r="H804" s="1"/>
      <x:c r="I804" s="1"/>
      <x:c r="J804" s="1"/>
      <x:c r="K804" s="1"/>
      <x:c r="L804" s="1"/>
      <x:c r="M804" s="1"/>
      <x:c r="N804" s="1"/>
    </x:row>
    <x:row r="805" ht="22" customHeight="1">
      <x:c r="A805" s="1" t="n">
        <x:v>789</x:v>
      </x:c>
      <x:c r="B805" s="16" t="n">
        <x:v>-0.5440740534553359</x:v>
      </x:c>
      <x:c r="C805" s="16" t="n">
        <x:f>$B$12+$D$12*B805</x:f>
        <x:v>-0.006700663570416416</x:v>
      </x:c>
      <x:c r="D805" s="12" t="n">
        <x:f>D804*EXP(C805)</x:f>
        <x:v>168.2188915206616</x:v>
      </x:c>
      <x:c r="E805" s="16" t="n">
        <x:f>ABS(C805)</x:f>
        <x:v>0.006700663570416416</x:v>
      </x:c>
      <x:c r="F805" s="16" t="n">
        <x:f>C805^2</x:f>
        <x:v>0.000044898892283905674</x:v>
      </x:c>
      <x:c r="G805" s="1"/>
      <x:c r="H805" s="1"/>
      <x:c r="I805" s="1"/>
      <x:c r="J805" s="1"/>
      <x:c r="K805" s="1"/>
      <x:c r="L805" s="1"/>
      <x:c r="M805" s="1"/>
      <x:c r="N805" s="1"/>
    </x:row>
    <x:row r="806" ht="22" customHeight="1">
      <x:c r="A806" s="1" t="n">
        <x:v>790</x:v>
      </x:c>
      <x:c r="B806" s="16" t="n">
        <x:v>0.2971774938855634</x:v>
      </x:c>
      <x:c r="C806" s="16" t="n">
        <x:f>$B$12+$D$12*B806</x:f>
        <x:v>0.004421797105691112</x:v>
      </x:c>
      <x:c r="D806" s="12" t="n">
        <x:f>D805*EXP(C806)</x:f>
        <x:v>168.96436828716674</x:v>
      </x:c>
      <x:c r="E806" s="16" t="n">
        <x:f>ABS(C806)</x:f>
        <x:v>0.004421797105691112</x:v>
      </x:c>
      <x:c r="F806" s="16" t="n">
        <x:f>C806^2</x:f>
        <x:v>0.000019552289643898294</x:v>
      </x:c>
      <x:c r="G806" s="1"/>
      <x:c r="H806" s="1"/>
      <x:c r="I806" s="1"/>
      <x:c r="J806" s="1"/>
      <x:c r="K806" s="1"/>
      <x:c r="L806" s="1"/>
      <x:c r="M806" s="1"/>
      <x:c r="N806" s="1"/>
    </x:row>
    <x:row r="807" ht="22" customHeight="1">
      <x:c r="A807" s="1" t="n">
        <x:v>791</x:v>
      </x:c>
      <x:c r="B807" s="16" t="n">
        <x:v>1.4378559587888564</x:v>
      </x:c>
      <x:c r="C807" s="16" t="n">
        <x:f>$B$12+$D$12*B807</x:f>
        <x:v>0.019503078572658067</x:v>
      </x:c>
      <x:c r="D807" s="12" t="n">
        <x:f>D806*EXP(C807)</x:f>
        <x:v>172.29203806222986</x:v>
      </x:c>
      <x:c r="E807" s="16" t="n">
        <x:f>ABS(C807)</x:f>
        <x:v>0.019503078572658067</x:v>
      </x:c>
      <x:c r="F807" s="16" t="n">
        <x:f>C807^2</x:f>
        <x:v>0.0003803700738112742</x:v>
      </x:c>
      <x:c r="G807" s="1"/>
      <x:c r="H807" s="1"/>
      <x:c r="I807" s="1"/>
      <x:c r="J807" s="1"/>
      <x:c r="K807" s="1"/>
      <x:c r="L807" s="1"/>
      <x:c r="M807" s="1"/>
      <x:c r="N807" s="1"/>
    </x:row>
    <x:row r="808" ht="22" customHeight="1">
      <x:c r="A808" s="1" t="n">
        <x:v>792</x:v>
      </x:c>
      <x:c r="B808" s="16" t="n">
        <x:v>-1.0810933704684975</x:v>
      </x:c>
      <x:c r="C808" s="16" t="n">
        <x:f>$B$12+$D$12*B808</x:f>
        <x:v>-0.013800770850657283</x:v>
      </x:c>
      <x:c r="D808" s="12" t="n">
        <x:f>D807*EXP(C808)</x:f>
        <x:v>169.930607387325</x:v>
      </x:c>
      <x:c r="E808" s="16" t="n">
        <x:f>ABS(C808)</x:f>
        <x:v>0.013800770850657283</x:v>
      </x:c>
      <x:c r="F808" s="16" t="n">
        <x:f>C808^2</x:f>
        <x:v>0.00019046127607235175</x:v>
      </x:c>
      <x:c r="G808" s="1"/>
      <x:c r="H808" s="1"/>
      <x:c r="I808" s="1"/>
      <x:c r="J808" s="1"/>
      <x:c r="K808" s="1"/>
      <x:c r="L808" s="1"/>
      <x:c r="M808" s="1"/>
      <x:c r="N808" s="1"/>
    </x:row>
    <x:row r="809" ht="22" customHeight="1">
      <x:c r="A809" s="1" t="n">
        <x:v>793</x:v>
      </x:c>
      <x:c r="B809" s="16" t="n">
        <x:v>1.800329055019378</x:v>
      </x:c>
      <x:c r="C809" s="16" t="n">
        <x:f>$B$12+$D$12*B809</x:f>
        <x:v>0.024295453423812067</x:v>
      </x:c>
      <x:c r="D809" s="12" t="n">
        <x:f>D808*EXP(C809)</x:f>
        <x:v>174.10970957141413</x:v>
      </x:c>
      <x:c r="E809" s="16" t="n">
        <x:f>ABS(C809)</x:f>
        <x:v>0.024295453423812067</x:v>
      </x:c>
      <x:c r="F809" s="16" t="n">
        <x:f>C809^2</x:f>
        <x:v>0.0005902690570686215</x:v>
      </x:c>
      <x:c r="G809" s="1"/>
      <x:c r="H809" s="1"/>
      <x:c r="I809" s="1"/>
      <x:c r="J809" s="1"/>
      <x:c r="K809" s="1"/>
      <x:c r="L809" s="1"/>
      <x:c r="M809" s="1"/>
      <x:c r="N809" s="1"/>
    </x:row>
    <x:row r="810" ht="22" customHeight="1">
      <x:c r="A810" s="1" t="n">
        <x:v>794</x:v>
      </x:c>
      <x:c r="B810" s="16" t="n">
        <x:v>-0.9159218246369119</x:v>
      </x:c>
      <x:c r="C810" s="16" t="n">
        <x:f>$B$12+$D$12*B810</x:f>
        <x:v>-0.011616984052130002</x:v>
      </x:c>
      <x:c r="D810" s="12" t="n">
        <x:f>D809*EXP(C810)</x:f>
        <x:v>172.0987829186484</x:v>
      </x:c>
      <x:c r="E810" s="16" t="n">
        <x:f>ABS(C810)</x:f>
        <x:v>0.011616984052130002</x:v>
      </x:c>
      <x:c r="F810" s="16" t="n">
        <x:f>C810^2</x:f>
        <x:v>0.0001349543184674428</x:v>
      </x:c>
      <x:c r="G810" s="1"/>
      <x:c r="H810" s="1"/>
      <x:c r="I810" s="1"/>
      <x:c r="J810" s="1"/>
      <x:c r="K810" s="1"/>
      <x:c r="L810" s="1"/>
      <x:c r="M810" s="1"/>
      <x:c r="N810" s="1"/>
    </x:row>
    <x:row r="811" ht="22" customHeight="1">
      <x:c r="A811" s="1" t="n">
        <x:v>795</x:v>
      </x:c>
      <x:c r="B811" s="16" t="n">
        <x:v>1.384708991082004</x:v>
      </x:c>
      <x:c r="C811" s="16" t="n">
        <x:f>$B$12+$D$12*B811</x:f>
        <x:v>0.018800405204338802</x:v>
      </x:c>
      <x:c r="D811" s="12" t="n">
        <x:f>D810*EXP(C811)</x:f>
        <x:v>175.36491588219243</x:v>
      </x:c>
      <x:c r="E811" s="16" t="n">
        <x:f>ABS(C811)</x:f>
        <x:v>0.018800405204338802</x:v>
      </x:c>
      <x:c r="F811" s="16" t="n">
        <x:f>C811^2</x:f>
        <x:v>0.00035345523584732954</x:v>
      </x:c>
      <x:c r="G811" s="1"/>
      <x:c r="H811" s="1"/>
      <x:c r="I811" s="1"/>
      <x:c r="J811" s="1"/>
      <x:c r="K811" s="1"/>
      <x:c r="L811" s="1"/>
      <x:c r="M811" s="1"/>
      <x:c r="N811" s="1"/>
    </x:row>
    <x:row r="812" ht="22" customHeight="1">
      <x:c r="A812" s="1" t="n">
        <x:v>796</x:v>
      </x:c>
      <x:c r="B812" s="16" t="n">
        <x:v>-0.2849871920414267</x:v>
      </x:c>
      <x:c r="C812" s="16" t="n">
        <x:f>$B$12+$D$12*B812</x:f>
        <x:v>-0.00327519179936173</x:v>
      </x:c>
      <x:c r="D812" s="12" t="n">
        <x:f>D811*EXP(C812)</x:f>
        <x:v>174.79150168112255</x:v>
      </x:c>
      <x:c r="E812" s="16" t="n">
        <x:f>ABS(C812)</x:f>
        <x:v>0.00327519179936173</x:v>
      </x:c>
      <x:c r="F812" s="16" t="n">
        <x:f>C812^2</x:f>
        <x:v>0.000010726881322606325</x:v>
      </x:c>
      <x:c r="G812" s="1"/>
      <x:c r="H812" s="1"/>
      <x:c r="I812" s="1"/>
      <x:c r="J812" s="1"/>
      <x:c r="K812" s="1"/>
      <x:c r="L812" s="1"/>
      <x:c r="M812" s="1"/>
      <x:c r="N812" s="1"/>
    </x:row>
    <x:row r="813" ht="22" customHeight="1">
      <x:c r="A813" s="1" t="n">
        <x:v>797</x:v>
      </x:c>
      <x:c r="B813" s="16" t="n">
        <x:v>0.8685698231775448</x:v>
      </x:c>
      <x:c r="C813" s="16" t="n">
        <x:f>$B$12+$D$12*B813</x:f>
        <x:v>0.011976361175460604</x:v>
      </x:c>
      <x:c r="D813" s="12" t="n">
        <x:f>D812*EXP(C813)</x:f>
        <x:v>176.89745348346318</x:v>
      </x:c>
      <x:c r="E813" s="16" t="n">
        <x:f>ABS(C813)</x:f>
        <x:v>0.011976361175460604</x:v>
      </x:c>
      <x:c r="F813" s="16" t="n">
        <x:f>C813^2</x:f>
        <x:v>0.0001434332270050801</x:v>
      </x:c>
      <x:c r="G813" s="1"/>
      <x:c r="H813" s="1"/>
      <x:c r="I813" s="1"/>
      <x:c r="J813" s="1"/>
      <x:c r="K813" s="1"/>
      <x:c r="L813" s="1"/>
      <x:c r="M813" s="1"/>
      <x:c r="N813" s="1"/>
    </x:row>
    <x:row r="814" ht="22" customHeight="1">
      <x:c r="A814" s="1" t="n">
        <x:v>798</x:v>
      </x:c>
      <x:c r="B814" s="16" t="n">
        <x:v>1.2980208393186303</x:v>
      </x:c>
      <x:c r="C814" s="16" t="n">
        <x:f>$B$12+$D$12*B814</x:f>
        <x:v>0.017654272918317757</x:v>
      </x:c>
      <x:c r="D814" s="12" t="n">
        <x:f>D813*EXP(C814)</x:f>
        <x:v>180.0481794612817</x:v>
      </x:c>
      <x:c r="E814" s="16" t="n">
        <x:f>ABS(C814)</x:f>
        <x:v>0.017654272918317757</x:v>
      </x:c>
      <x:c r="F814" s="16" t="n">
        <x:f>C814^2</x:f>
        <x:v>0.0003116733522744478</x:v>
      </x:c>
      <x:c r="G814" s="1"/>
      <x:c r="H814" s="1"/>
      <x:c r="I814" s="1"/>
      <x:c r="J814" s="1"/>
      <x:c r="K814" s="1"/>
      <x:c r="L814" s="1"/>
      <x:c r="M814" s="1"/>
      <x:c r="N814" s="1"/>
    </x:row>
    <x:row r="815" ht="22" customHeight="1">
      <x:c r="A815" s="1" t="n">
        <x:v>799</x:v>
      </x:c>
      <x:c r="B815" s="16" t="n">
        <x:v>0.10920638731299301</x:v>
      </x:c>
      <x:c r="C815" s="16" t="n">
        <x:f>$B$12+$D$12*B815</x:f>
        <x:v>0.0019365698895198002</x:v>
      </x:c>
      <x:c r="D815" s="12" t="n">
        <x:f>D814*EXP(C815)</x:f>
        <x:v>180.39719317994297</x:v>
      </x:c>
      <x:c r="E815" s="16" t="n">
        <x:f>ABS(C815)</x:f>
        <x:v>0.0019365698895198002</x:v>
      </x:c>
      <x:c r="F815" s="16" t="n">
        <x:f>C815^2</x:f>
        <x:v>0.0000037503029369947313</x:v>
      </x:c>
      <x:c r="G815" s="1"/>
      <x:c r="H815" s="1"/>
      <x:c r="I815" s="1"/>
      <x:c r="J815" s="1"/>
      <x:c r="K815" s="1"/>
      <x:c r="L815" s="1"/>
      <x:c r="M815" s="1"/>
      <x:c r="N815" s="1"/>
    </x:row>
    <x:row r="816" ht="22" customHeight="1">
      <x:c r="A816" s="1" t="n">
        <x:v>800</x:v>
      </x:c>
      <x:c r="B816" s="16" t="n">
        <x:v>-0.3460463570794799</x:v>
      </x:c>
      <x:c r="C816" s="16" t="n">
        <x:f>$B$12+$D$12*B816</x:f>
        <x:v>-0.004082474905346323</x:v>
      </x:c>
      <x:c r="D816" s="12" t="n">
        <x:f>D815*EXP(C816)</x:f>
        <x:v>179.66222742619541</x:v>
      </x:c>
      <x:c r="E816" s="16" t="n">
        <x:f>ABS(C816)</x:f>
        <x:v>0.004082474905346323</x:v>
      </x:c>
      <x:c r="F816" s="16" t="n">
        <x:f>C816^2</x:f>
        <x:v>0.00001666660135278247</x:v>
      </x:c>
      <x:c r="G816" s="1"/>
      <x:c r="H816" s="1"/>
      <x:c r="I816" s="1"/>
      <x:c r="J816" s="1"/>
      <x:c r="K816" s="1"/>
      <x:c r="L816" s="1"/>
      <x:c r="M816" s="1"/>
      <x:c r="N816" s="1"/>
    </x:row>
    <x:row r="817" ht="22" customHeight="1">
      <x:c r="A817" s="1" t="n">
        <x:v>801</x:v>
      </x:c>
      <x:c r="B817" s="16" t="n">
        <x:v>-0.49708161372095744</x:v>
      </x:c>
      <x:c r="C817" s="16" t="n">
        <x:f>$B$12+$D$12*B817</x:f>
        <x:v>-0.006079361220754079</x:v>
      </x:c>
      <x:c r="D817" s="12" t="n">
        <x:f>D816*EXP(C817)</x:f>
        <x:v>178.573309165412</x:v>
      </x:c>
      <x:c r="E817" s="16" t="n">
        <x:f>ABS(C817)</x:f>
        <x:v>0.006079361220754079</x:v>
      </x:c>
      <x:c r="F817" s="16" t="n">
        <x:f>C817^2</x:f>
        <x:v>0.000036958632852408526</x:v>
      </x:c>
      <x:c r="G817" s="1"/>
      <x:c r="H817" s="1"/>
      <x:c r="I817" s="1"/>
      <x:c r="J817" s="1"/>
      <x:c r="K817" s="1"/>
      <x:c r="L817" s="1"/>
      <x:c r="M817" s="1"/>
      <x:c r="N817" s="1"/>
    </x:row>
    <x:row r="818" ht="22" customHeight="1">
      <x:c r="A818" s="1" t="n">
        <x:v>802</x:v>
      </x:c>
      <x:c r="B818" s="16" t="n">
        <x:v>0.15188527145287514</x:v>
      </x:c>
      <x:c r="C818" s="16" t="n">
        <x:f>$B$12+$D$12*B818</x:f>
        <x:v>0.0025008413158802544</x:v>
      </x:c>
      <x:c r="D818" s="12" t="n">
        <x:f>D817*EXP(C818)</x:f>
        <x:v>179.02045155792754</x:v>
      </x:c>
      <x:c r="E818" s="16" t="n">
        <x:f>ABS(C818)</x:f>
        <x:v>0.0025008413158802544</x:v>
      </x:c>
      <x:c r="F818" s="16" t="n">
        <x:f>C818^2</x:f>
        <x:v>0.000006254207287213683</x:v>
      </x:c>
      <x:c r="G818" s="1"/>
      <x:c r="H818" s="1"/>
      <x:c r="I818" s="1"/>
      <x:c r="J818" s="1"/>
      <x:c r="K818" s="1"/>
      <x:c r="L818" s="1"/>
      <x:c r="M818" s="1"/>
      <x:c r="N818" s="1"/>
    </x:row>
    <x:row r="819" ht="22" customHeight="1">
      <x:c r="A819" s="1" t="n">
        <x:v>803</x:v>
      </x:c>
      <x:c r="B819" s="16" t="n">
        <x:v>-2.5064476282747274</x:v>
      </x:c>
      <x:c r="C819" s="16" t="n">
        <x:f>$B$12+$D$12*B819</x:f>
        <x:v>-0.03264584368539164</x:v>
      </x:c>
      <x:c r="D819" s="12" t="n">
        <x:f>D818*EXP(C819)</x:f>
        <x:v>173.27054382947497</x:v>
      </x:c>
      <x:c r="E819" s="16" t="n">
        <x:f>ABS(C819)</x:f>
        <x:v>0.03264584368539164</x:v>
      </x:c>
      <x:c r="F819" s="16" t="n">
        <x:f>C819^2</x:f>
        <x:v>0.0010657511099310252</x:v>
      </x:c>
      <x:c r="G819" s="1"/>
      <x:c r="H819" s="1"/>
      <x:c r="I819" s="1"/>
      <x:c r="J819" s="1"/>
      <x:c r="K819" s="1"/>
      <x:c r="L819" s="1"/>
      <x:c r="M819" s="1"/>
      <x:c r="N819" s="1"/>
    </x:row>
    <x:row r="820" ht="22" customHeight="1">
      <x:c r="A820" s="1" t="n">
        <x:v>804</x:v>
      </x:c>
      <x:c r="B820" s="16" t="n">
        <x:v>2.049394221785933</x:v>
      </x:c>
      <x:c r="C820" s="16" t="n">
        <x:f>$B$12+$D$12*B820</x:f>
        <x:v>0.02758842510618878</x:v>
      </x:c>
      <x:c r="D820" s="12" t="n">
        <x:f>D819*EXP(C820)</x:f>
        <x:v>178.11735579172347</x:v>
      </x:c>
      <x:c r="E820" s="16" t="n">
        <x:f>ABS(C820)</x:f>
        <x:v>0.02758842510618878</x:v>
      </x:c>
      <x:c r="F820" s="16" t="n">
        <x:f>C820^2</x:f>
        <x:v>0.0007611211998397874</x:v>
      </x:c>
      <x:c r="G820" s="1"/>
      <x:c r="H820" s="1"/>
      <x:c r="I820" s="1"/>
      <x:c r="J820" s="1"/>
      <x:c r="K820" s="1"/>
      <x:c r="L820" s="1"/>
      <x:c r="M820" s="1"/>
      <x:c r="N820" s="1"/>
    </x:row>
    <x:row r="821" ht="22" customHeight="1">
      <x:c r="A821" s="1" t="n">
        <x:v>805</x:v>
      </x:c>
      <x:c r="B821" s="16" t="n">
        <x:v>-0.8716581911306549</x:v>
      </x:c>
      <x:c r="C821" s="16" t="n">
        <x:f>$B$12+$D$12*B821</x:f>
        <x:v>-0.011031760138294542</x:v>
      </x:c>
      <x:c r="D821" s="12" t="n">
        <x:f>D820*EXP(C821)</x:f>
        <x:v>176.16320651744275</x:v>
      </x:c>
      <x:c r="E821" s="16" t="n">
        <x:f>ABS(C821)</x:f>
        <x:v>0.011031760138294542</x:v>
      </x:c>
      <x:c r="F821" s="16" t="n">
        <x:f>C821^2</x:f>
        <x:v>0.00012169973174886443</x:v>
      </x:c>
      <x:c r="G821" s="1"/>
      <x:c r="H821" s="1"/>
      <x:c r="I821" s="1"/>
      <x:c r="J821" s="1"/>
      <x:c r="K821" s="1"/>
      <x:c r="L821" s="1"/>
      <x:c r="M821" s="1"/>
      <x:c r="N821" s="1"/>
    </x:row>
    <x:row r="822" ht="22" customHeight="1">
      <x:c r="A822" s="1" t="n">
        <x:v>806</x:v>
      </x:c>
      <x:c r="B822" s="16" t="n">
        <x:v>0.8171809245444339</x:v>
      </x:c>
      <x:c r="C822" s="16" t="n">
        <x:f>$B$12+$D$12*B822</x:f>
        <x:v>0.011296931810912125</x:v>
      </x:c>
      <x:c r="D822" s="12" t="n">
        <x:f>D821*EXP(C822)</x:f>
        <x:v>178.16459373168598</x:v>
      </x:c>
      <x:c r="E822" s="16" t="n">
        <x:f>ABS(C822)</x:f>
        <x:v>0.011296931810912125</x:v>
      </x:c>
      <x:c r="F822" s="16" t="n">
        <x:f>C822^2</x:f>
        <x:v>0.0001276206683403983</x:v>
      </x:c>
      <x:c r="G822" s="1"/>
      <x:c r="H822" s="1"/>
      <x:c r="I822" s="1"/>
      <x:c r="J822" s="1"/>
      <x:c r="K822" s="1"/>
      <x:c r="L822" s="1"/>
      <x:c r="M822" s="1"/>
      <x:c r="N822" s="1"/>
    </x:row>
    <x:row r="823" ht="22" customHeight="1">
      <x:c r="A823" s="1" t="n">
        <x:v>807</x:v>
      </x:c>
      <x:c r="B823" s="16" t="n">
        <x:v>0.22269080769876273</x:v>
      </x:c>
      <x:c r="C823" s="16" t="n">
        <x:f>$B$12+$D$12*B823</x:f>
        <x:v>0.003436984369684898</x:v>
      </x:c>
      <x:c r="D823" s="12" t="n">
        <x:f>D822*EXP(C823)</x:f>
        <x:v>178.7779961790486</x:v>
      </x:c>
      <x:c r="E823" s="16" t="n">
        <x:f>ABS(C823)</x:f>
        <x:v>0.003436984369684898</x:v>
      </x:c>
      <x:c r="F823" s="16" t="n">
        <x:f>C823^2</x:f>
        <x:v>0.000011812861557458295</x:v>
      </x:c>
      <x:c r="G823" s="1"/>
      <x:c r="H823" s="1"/>
      <x:c r="I823" s="1"/>
      <x:c r="J823" s="1"/>
      <x:c r="K823" s="1"/>
      <x:c r="L823" s="1"/>
      <x:c r="M823" s="1"/>
      <x:c r="N823" s="1"/>
    </x:row>
    <x:row r="824" ht="22" customHeight="1">
      <x:c r="A824" s="1" t="n">
        <x:v>808</x:v>
      </x:c>
      <x:c r="B824" s="16" t="n">
        <x:v>-0.774300198623288</x:v>
      </x:c>
      <x:c r="C824" s="16" t="n">
        <x:f>$B$12+$D$12*B824</x:f>
        <x:v>-0.009744558412971411</x:v>
      </x:c>
      <x:c r="D824" s="12" t="n">
        <x:f>D823*EXP(C824)</x:f>
        <x:v>177.04434410769406</x:v>
      </x:c>
      <x:c r="E824" s="16" t="n">
        <x:f>ABS(C824)</x:f>
        <x:v>0.009744558412971411</x:v>
      </x:c>
      <x:c r="F824" s="16" t="n">
        <x:f>C824^2</x:f>
        <x:v>0.0000949564186638119</x:v>
      </x:c>
      <x:c r="G824" s="1"/>
      <x:c r="H824" s="1"/>
      <x:c r="I824" s="1"/>
      <x:c r="J824" s="1"/>
      <x:c r="K824" s="1"/>
      <x:c r="L824" s="1"/>
      <x:c r="M824" s="1"/>
      <x:c r="N824" s="1"/>
    </x:row>
    <x:row r="825" ht="22" customHeight="1">
      <x:c r="A825" s="1" t="n">
        <x:v>809</x:v>
      </x:c>
      <x:c r="B825" s="16" t="n">
        <x:v>2.2009480863212834</x:v>
      </x:c>
      <x:c r="C825" s="16" t="n">
        <x:f>$B$12+$D$12*B825</x:f>
        <x:v>0.029592168105455424</x:v>
      </x:c>
      <x:c r="D825" s="12" t="n">
        <x:f>D824*EXP(C825)</x:f>
        <x:v>182.36175898704903</x:v>
      </x:c>
      <x:c r="E825" s="16" t="n">
        <x:f>ABS(C825)</x:f>
        <x:v>0.029592168105455424</x:v>
      </x:c>
      <x:c r="F825" s="16" t="n">
        <x:f>C825^2</x:f>
        <x:v>0.0008756964131815333</x:v>
      </x:c>
      <x:c r="G825" s="1"/>
      <x:c r="H825" s="1"/>
      <x:c r="I825" s="1"/>
      <x:c r="J825" s="1"/>
      <x:c r="K825" s="1"/>
      <x:c r="L825" s="1"/>
      <x:c r="M825" s="1"/>
      <x:c r="N825" s="1"/>
    </x:row>
    <x:row r="826" ht="22" customHeight="1">
      <x:c r="A826" s="1" t="n">
        <x:v>810</x:v>
      </x:c>
      <x:c r="B826" s="16" t="n">
        <x:v>-1.7471831749068902</x:v>
      </x:c>
      <x:c r="C826" s="16" t="n">
        <x:f>$B$12+$D$12*B826</x:f>
        <x:v>-0.022607361079275332</x:v>
      </x:c>
      <x:c r="D826" s="12" t="n">
        <x:f>D825*EXP(C826)</x:f>
        <x:v>178.28529353727643</x:v>
      </x:c>
      <x:c r="E826" s="16" t="n">
        <x:f>ABS(C826)</x:f>
        <x:v>0.022607361079275332</x:v>
      </x:c>
      <x:c r="F826" s="16" t="n">
        <x:f>C826^2</x:f>
        <x:v>0.0005110927749687332</x:v>
      </x:c>
      <x:c r="G826" s="1"/>
      <x:c r="H826" s="1"/>
      <x:c r="I826" s="1"/>
      <x:c r="J826" s="1"/>
      <x:c r="K826" s="1"/>
      <x:c r="L826" s="1"/>
      <x:c r="M826" s="1"/>
      <x:c r="N826" s="1"/>
    </x:row>
    <x:row r="827" ht="22" customHeight="1">
      <x:c r="A827" s="1" t="n">
        <x:v>811</x:v>
      </x:c>
      <x:c r="B827" s="16" t="n">
        <x:v>-0.2514940368053515</x:v>
      </x:c>
      <x:c r="C827" s="16" t="n">
        <x:f>$B$12+$D$12*B827</x:f>
        <x:v>-0.0028323678863365173</x:v>
      </x:c>
      <x:c r="D827" s="12" t="n">
        <x:f>D826*EXP(C827)</x:f>
        <x:v>177.78103845231738</x:v>
      </x:c>
      <x:c r="E827" s="16" t="n">
        <x:f>ABS(C827)</x:f>
        <x:v>0.0028323678863365173</x:v>
      </x:c>
      <x:c r="F827" s="16" t="n">
        <x:f>C827^2</x:f>
        <x:v>0.00000802230784355039</x:v>
      </x:c>
      <x:c r="G827" s="1"/>
      <x:c r="H827" s="1"/>
      <x:c r="I827" s="1"/>
      <x:c r="J827" s="1"/>
      <x:c r="K827" s="1"/>
      <x:c r="L827" s="1"/>
      <x:c r="M827" s="1"/>
      <x:c r="N827" s="1"/>
    </x:row>
    <x:row r="828" ht="22" customHeight="1">
      <x:c r="A828" s="1" t="n">
        <x:v>812</x:v>
      </x:c>
      <x:c r="B828" s="16" t="n">
        <x:v>2.1793601939374487</x:v>
      </x:c>
      <x:c r="C828" s="16" t="n">
        <x:f>$B$12+$D$12*B828</x:f>
        <x:v>0.029306747549762893</x:v>
      </x:c>
      <x:c r="D828" s="12" t="n">
        <x:f>D827*EXP(C828)</x:f>
        <x:v>183.06832056097562</x:v>
      </x:c>
      <x:c r="E828" s="16" t="n">
        <x:f>ABS(C828)</x:f>
        <x:v>0.029306747549762893</x:v>
      </x:c>
      <x:c r="F828" s="16" t="n">
        <x:f>C828^2</x:f>
        <x:v>0.0008588854519455333</x:v>
      </x:c>
      <x:c r="G828" s="1"/>
      <x:c r="H828" s="1"/>
      <x:c r="I828" s="1"/>
      <x:c r="J828" s="1"/>
      <x:c r="K828" s="1"/>
      <x:c r="L828" s="1"/>
      <x:c r="M828" s="1"/>
      <x:c r="N828" s="1"/>
    </x:row>
    <x:row r="829" ht="22" customHeight="1">
      <x:c r="A829" s="1" t="n">
        <x:v>813</x:v>
      </x:c>
      <x:c r="B829" s="16" t="n">
        <x:v>-0.436313359418351</x:v>
      </x:c>
      <x:c r="C829" s="16" t="n">
        <x:f>$B$12+$D$12*B829</x:f>
        <x:v>-0.0052759243403431464</x:v>
      </x:c>
      <x:c r="D829" s="12" t="n">
        <x:f>D828*EXP(C829)</x:f>
        <x:v>182.10500936558364</x:v>
      </x:c>
      <x:c r="E829" s="16" t="n">
        <x:f>ABS(C829)</x:f>
        <x:v>0.0052759243403431464</x:v>
      </x:c>
      <x:c r="F829" s="16" t="n">
        <x:f>C829^2</x:f>
        <x:v>0.000027835377645025264</x:v>
      </x:c>
      <x:c r="G829" s="1"/>
      <x:c r="H829" s="1"/>
      <x:c r="I829" s="1"/>
      <x:c r="J829" s="1"/>
      <x:c r="K829" s="1"/>
      <x:c r="L829" s="1"/>
      <x:c r="M829" s="1"/>
      <x:c r="N829" s="1"/>
    </x:row>
    <x:row r="830" ht="22" customHeight="1">
      <x:c r="A830" s="1" t="n">
        <x:v>814</x:v>
      </x:c>
      <x:c r="B830" s="16" t="n">
        <x:v>-1.016922521885889</x:v>
      </x:c>
      <x:c r="C830" s="16" t="n">
        <x:f>$B$12+$D$12*B830</x:f>
        <x:v>-0.01295234716315435</x:v>
      </x:c>
      <x:c r="D830" s="12" t="n">
        <x:f>D829*EXP(C830)</x:f>
        <x:v>179.76153159532737</x:v>
      </x:c>
      <x:c r="E830" s="16" t="n">
        <x:f>ABS(C830)</x:f>
        <x:v>0.01295234716315435</x:v>
      </x:c>
      <x:c r="F830" s="16" t="n">
        <x:f>C830^2</x:f>
        <x:v>0.00016776329703487256</x:v>
      </x:c>
      <x:c r="G830" s="1"/>
      <x:c r="H830" s="1"/>
      <x:c r="I830" s="1"/>
      <x:c r="J830" s="1"/>
      <x:c r="K830" s="1"/>
      <x:c r="L830" s="1"/>
      <x:c r="M830" s="1"/>
      <x:c r="N830" s="1"/>
    </x:row>
    <x:row r="831" ht="22" customHeight="1">
      <x:c r="A831" s="1" t="n">
        <x:v>815</x:v>
      </x:c>
      <x:c r="B831" s="16" t="n">
        <x:v>0.5955466342657669</x:v>
      </x:c>
      <x:c r="C831" s="16" t="n">
        <x:f>$B$12+$D$12*B831</x:f>
        <x:v>0.008366632679940615</x:v>
      </x:c>
      <x:c r="D831" s="12" t="n">
        <x:f>D830*EXP(C831)</x:f>
        <x:v>181.27183958607716</x:v>
      </x:c>
      <x:c r="E831" s="16" t="n">
        <x:f>ABS(C831)</x:f>
        <x:v>0.008366632679940615</x:v>
      </x:c>
      <x:c r="F831" s="16" t="n">
        <x:f>C831^2</x:f>
        <x:v>0.00007000054240105027</x:v>
      </x:c>
      <x:c r="G831" s="1"/>
      <x:c r="H831" s="1"/>
      <x:c r="I831" s="1"/>
      <x:c r="J831" s="1"/>
      <x:c r="K831" s="1"/>
      <x:c r="L831" s="1"/>
      <x:c r="M831" s="1"/>
      <x:c r="N831" s="1"/>
    </x:row>
    <x:row r="832" ht="22" customHeight="1">
      <x:c r="A832" s="1" t="n">
        <x:v>816</x:v>
      </x:c>
      <x:c r="B832" s="16" t="n">
        <x:v>-1.4535805416101637</x:v>
      </x:c>
      <x:c r="C832" s="16" t="n">
        <x:f>$B$12+$D$12*B832</x:f>
        <x:v>-0.018725545047475332</x:v>
      </x:c>
      <x:c r="D832" s="12" t="n">
        <x:f>D831*EXP(C832)</x:f>
        <x:v>177.9090092664079</x:v>
      </x:c>
      <x:c r="E832" s="16" t="n">
        <x:f>ABS(C832)</x:f>
        <x:v>0.018725545047475332</x:v>
      </x:c>
      <x:c r="F832" s="16" t="n">
        <x:f>C832^2</x:f>
        <x:v>0.000350646037325028</x:v>
      </x:c>
      <x:c r="G832" s="1"/>
      <x:c r="H832" s="1"/>
      <x:c r="I832" s="1"/>
      <x:c r="J832" s="1"/>
      <x:c r="K832" s="1"/>
      <x:c r="L832" s="1"/>
      <x:c r="M832" s="1"/>
      <x:c r="N832" s="1"/>
    </x:row>
    <x:row r="833" ht="22" customHeight="1">
      <x:c r="A833" s="1" t="n">
        <x:v>817</x:v>
      </x:c>
      <x:c r="B833" s="16" t="n">
        <x:v>0.6884136334925937</x:v>
      </x:c>
      <x:c r="C833" s="16" t="n">
        <x:f>$B$12+$D$12*B833</x:f>
        <x:v>0.009594457520528902</x:v>
      </x:c>
      <x:c r="D833" s="12" t="n">
        <x:f>D832*EXP(C833)</x:f>
        <x:v>179.62416453334197</x:v>
      </x:c>
      <x:c r="E833" s="16" t="n">
        <x:f>ABS(C833)</x:f>
        <x:v>0.009594457520528902</x:v>
      </x:c>
      <x:c r="F833" s="16" t="n">
        <x:f>C833^2</x:f>
        <x:v>0.0000920536151132336</x:v>
      </x:c>
      <x:c r="G833" s="1"/>
      <x:c r="H833" s="1"/>
      <x:c r="I833" s="1"/>
      <x:c r="J833" s="1"/>
      <x:c r="K833" s="1"/>
      <x:c r="L833" s="1"/>
      <x:c r="M833" s="1"/>
      <x:c r="N833" s="1"/>
    </x:row>
    <x:row r="834" ht="22" customHeight="1">
      <x:c r="A834" s="1" t="n">
        <x:v>818</x:v>
      </x:c>
      <x:c r="B834" s="16" t="n">
        <x:v>-1.1773228442125472</x:v>
      </x:c>
      <x:c r="C834" s="16" t="n">
        <x:f>$B$12+$D$12*B834</x:f>
        <x:v>-0.015073052061888144</x:v>
      </x:c>
      <x:c r="D834" s="12" t="n">
        <x:f>D833*EXP(C834)</x:f>
        <x:v>176.9369830394521</x:v>
      </x:c>
      <x:c r="E834" s="16" t="n">
        <x:f>ABS(C834)</x:f>
        <x:v>0.015073052061888144</x:v>
      </x:c>
      <x:c r="F834" s="16" t="n">
        <x:f>C834^2</x:f>
        <x:v>0.00022719689846039043</x:v>
      </x:c>
      <x:c r="G834" s="1"/>
      <x:c r="H834" s="1"/>
      <x:c r="I834" s="1"/>
      <x:c r="J834" s="1"/>
      <x:c r="K834" s="1"/>
      <x:c r="L834" s="1"/>
      <x:c r="M834" s="1"/>
      <x:c r="N834" s="1"/>
    </x:row>
    <x:row r="835" ht="22" customHeight="1">
      <x:c r="A835" s="1" t="n">
        <x:v>819</x:v>
      </x:c>
      <x:c r="B835" s="16" t="n">
        <x:v>1.5213741791258166</x:v>
      </x:c>
      <x:c r="C835" s="16" t="n">
        <x:f>$B$12+$D$12*B835</x:f>
        <x:v>0.020607300162945253</x:v>
      </x:c>
      <x:c r="D835" s="12" t="n">
        <x:f>D834*EXP(C835)</x:f>
        <x:v>180.62100506195597</x:v>
      </x:c>
      <x:c r="E835" s="16" t="n">
        <x:f>ABS(C835)</x:f>
        <x:v>0.020607300162945253</x:v>
      </x:c>
      <x:c r="F835" s="16" t="n">
        <x:f>C835^2</x:f>
        <x:v>0.00042466082000572347</x:v>
      </x:c>
      <x:c r="G835" s="1"/>
      <x:c r="H835" s="1"/>
      <x:c r="I835" s="1"/>
      <x:c r="J835" s="1"/>
      <x:c r="K835" s="1"/>
      <x:c r="L835" s="1"/>
      <x:c r="M835" s="1"/>
      <x:c r="N835" s="1"/>
    </x:row>
    <x:row r="836" ht="22" customHeight="1">
      <x:c r="A836" s="1" t="n">
        <x:v>820</x:v>
      </x:c>
      <x:c r="B836" s="16" t="n">
        <x:v>-1.2139403090141176</x:v>
      </x:c>
      <x:c r="C836" s="16" t="n">
        <x:f>$B$12+$D$12*B836</x:f>
        <x:v>-0.015557183489166432</x:v>
      </x:c>
      <x:c r="D836" s="12" t="n">
        <x:f>D835*EXP(C836)</x:f>
        <x:v>177.83279552261132</x:v>
      </x:c>
      <x:c r="E836" s="16" t="n">
        <x:f>ABS(C836)</x:f>
        <x:v>0.015557183489166432</x:v>
      </x:c>
      <x:c r="F836" s="16" t="n">
        <x:f>C836^2</x:f>
        <x:v>0.00024202595811559263</x:v>
      </x:c>
      <x:c r="G836" s="1"/>
      <x:c r="H836" s="1"/>
      <x:c r="I836" s="1"/>
      <x:c r="J836" s="1"/>
      <x:c r="K836" s="1"/>
      <x:c r="L836" s="1"/>
      <x:c r="M836" s="1"/>
      <x:c r="N836" s="1"/>
    </x:row>
    <x:row r="837" ht="22" customHeight="1">
      <x:c r="A837" s="1" t="n">
        <x:v>821</x:v>
      </x:c>
      <x:c r="B837" s="16" t="n">
        <x:v>-0.032473421444200415</x:v>
      </x:c>
      <x:c r="C837" s="16" t="n">
        <x:f>$B$12+$D$12*B837</x:f>
        <x:v>0.00006337499736021633</x:v>
      </x:c>
      <x:c r="D837" s="12" t="n">
        <x:f>D836*EXP(C837)</x:f>
        <x:v>177.84406603268863</x:v>
      </x:c>
      <x:c r="E837" s="16" t="n">
        <x:f>ABS(C837)</x:f>
        <x:v>0.00006337499736021633</x:v>
      </x:c>
      <x:c r="F837" s="16" t="n">
        <x:f>C837^2</x:f>
        <x:v>4.016390290407426e-9</x:v>
      </x:c>
      <x:c r="G837" s="1"/>
      <x:c r="H837" s="1"/>
      <x:c r="I837" s="1"/>
      <x:c r="J837" s="1"/>
      <x:c r="K837" s="1"/>
      <x:c r="L837" s="1"/>
      <x:c r="M837" s="1"/>
      <x:c r="N837" s="1"/>
    </x:row>
    <x:row r="838" ht="22" customHeight="1">
      <x:c r="A838" s="1" t="n">
        <x:v>822</x:v>
      </x:c>
      <x:c r="B838" s="16" t="n">
        <x:v>-0.3259052283980037</x:v>
      </x:c>
      <x:c r="C838" s="16" t="n">
        <x:f>$B$12+$D$12*B838</x:f>
        <x:v>-0.0038161824837273208</x:v>
      </x:c>
      <x:c r="D838" s="12" t="n">
        <x:f>D837*EXP(C838)</x:f>
        <x:v>177.1666739710056</x:v>
      </x:c>
      <x:c r="E838" s="16" t="n">
        <x:f>ABS(C838)</x:f>
        <x:v>0.0038161824837273208</x:v>
      </x:c>
      <x:c r="F838" s="16" t="n">
        <x:f>C838^2</x:f>
        <x:v>0.000014563248749107224</x:v>
      </x:c>
      <x:c r="G838" s="1"/>
      <x:c r="H838" s="1"/>
      <x:c r="I838" s="1"/>
      <x:c r="J838" s="1"/>
      <x:c r="K838" s="1"/>
      <x:c r="L838" s="1"/>
      <x:c r="M838" s="1"/>
      <x:c r="N838" s="1"/>
    </x:row>
    <x:row r="839" ht="22" customHeight="1">
      <x:c r="A839" s="1" t="n">
        <x:v>823</x:v>
      </x:c>
      <x:c r="B839" s="16" t="n">
        <x:v>0.46126975801772613</x:v>
      </x:c>
      <x:c r="C839" s="16" t="n">
        <x:f>$B$12+$D$12*B839</x:f>
        <x:v>0.006591314369382804</x:v>
      </x:c>
      <x:c r="D839" s="12" t="n">
        <x:f>D838*EXP(C839)</x:f>
        <x:v>178.33829222525907</x:v>
      </x:c>
      <x:c r="E839" s="16" t="n">
        <x:f>ABS(C839)</x:f>
        <x:v>0.006591314369382804</x:v>
      </x:c>
      <x:c r="F839" s="16" t="n">
        <x:f>C839^2</x:f>
        <x:v>0.00004344542511603223</x:v>
      </x:c>
      <x:c r="G839" s="1"/>
      <x:c r="H839" s="1"/>
      <x:c r="I839" s="1"/>
      <x:c r="J839" s="1"/>
      <x:c r="K839" s="1"/>
      <x:c r="L839" s="1"/>
      <x:c r="M839" s="1"/>
      <x:c r="N839" s="1"/>
    </x:row>
    <x:row r="840" ht="22" customHeight="1">
      <x:c r="A840" s="1" t="n">
        <x:v>824</x:v>
      </x:c>
      <x:c r="B840" s="16" t="n">
        <x:v>-0.12904939484118672</x:v>
      </x:c>
      <x:c r="C840" s="16" t="n">
        <x:f>$B$12+$D$12*B840</x:f>
        <x:v>-0.0012134873986259695</x:v>
      </x:c>
      <x:c r="D840" s="12" t="n">
        <x:f>D839*EXP(C840)</x:f>
        <x:v>178.12201220802928</x:v>
      </x:c>
      <x:c r="E840" s="16" t="n">
        <x:f>ABS(C840)</x:f>
        <x:v>0.0012134873986259695</x:v>
      </x:c>
      <x:c r="F840" s="16" t="n">
        <x:f>C840^2</x:f>
        <x:v>0.0000014725516666240226</x:v>
      </x:c>
      <x:c r="G840" s="1"/>
      <x:c r="H840" s="1"/>
      <x:c r="I840" s="1"/>
      <x:c r="J840" s="1"/>
      <x:c r="K840" s="1"/>
      <x:c r="L840" s="1"/>
      <x:c r="M840" s="1"/>
      <x:c r="N840" s="1"/>
    </x:row>
    <x:row r="841" ht="22" customHeight="1">
      <x:c r="A841" s="1" t="n">
        <x:v>825</x:v>
      </x:c>
      <x:c r="B841" s="16" t="n">
        <x:v>0.28703072175593886</x:v>
      </x:c>
      <x:c r="C841" s="16" t="n">
        <x:f>$B$12+$D$12*B841</x:f>
        <x:v>0.004287643326886304</x:v>
      </x:c>
      <x:c r="D841" s="12" t="n">
        <x:f>D840*EXP(C841)</x:f>
        <x:v>178.88737549491051</x:v>
      </x:c>
      <x:c r="E841" s="16" t="n">
        <x:f>ABS(C841)</x:f>
        <x:v>0.004287643326886304</x:v>
      </x:c>
      <x:c r="F841" s="16" t="n">
        <x:f>C841^2</x:f>
        <x:v>0.000018383885298592657</x:v>
      </x:c>
      <x:c r="G841" s="1"/>
      <x:c r="H841" s="1"/>
      <x:c r="I841" s="1"/>
      <x:c r="J841" s="1"/>
      <x:c r="K841" s="1"/>
      <x:c r="L841" s="1"/>
      <x:c r="M841" s="1"/>
      <x:c r="N841" s="1"/>
    </x:row>
    <x:row r="842" ht="22" customHeight="1">
      <x:c r="A842" s="1" t="n">
        <x:v>826</x:v>
      </x:c>
      <x:c r="B842" s="16" t="n">
        <x:v>0.11727640392943486</x:v>
      </x:c>
      <x:c r="C842" s="16" t="n">
        <x:f>$B$12+$D$12*B842</x:f>
        <x:v>0.0020432662073519934</x:v>
      </x:c>
      <x:c r="D842" s="12" t="n">
        <x:f>D841*EXP(C842)</x:f>
        <x:v>179.25326370038746</x:v>
      </x:c>
      <x:c r="E842" s="16" t="n">
        <x:f>ABS(C842)</x:f>
        <x:v>0.0020432662073519934</x:v>
      </x:c>
      <x:c r="F842" s="16" t="n">
        <x:f>C842^2</x:f>
        <x:v>0.000004174936794106599</x:v>
      </x:c>
      <x:c r="G842" s="1"/>
      <x:c r="H842" s="1"/>
      <x:c r="I842" s="1"/>
      <x:c r="J842" s="1"/>
      <x:c r="K842" s="1"/>
      <x:c r="L842" s="1"/>
      <x:c r="M842" s="1"/>
      <x:c r="N842" s="1"/>
    </x:row>
    <x:row r="843" ht="22" customHeight="1">
      <x:c r="A843" s="1" t="n">
        <x:v>827</x:v>
      </x:c>
      <x:c r="B843" s="16" t="n">
        <x:v>0.40604072014875287</x:v>
      </x:c>
      <x:c r="C843" s="16" t="n">
        <x:f>$B$12+$D$12*B843</x:f>
        <x:v>0.005861113273386503</x:v>
      </x:c>
      <x:c r="D843" s="12" t="n">
        <x:f>D842*EXP(C843)</x:f>
        <x:v>180.30697231987585</x:v>
      </x:c>
      <x:c r="E843" s="16" t="n">
        <x:f>ABS(C843)</x:f>
        <x:v>0.005861113273386503</x:v>
      </x:c>
      <x:c r="F843" s="16" t="n">
        <x:f>C843^2</x:f>
        <x:v>0.000034352648803467446</x:v>
      </x:c>
      <x:c r="G843" s="1"/>
      <x:c r="H843" s="1"/>
      <x:c r="I843" s="1"/>
      <x:c r="J843" s="1"/>
      <x:c r="K843" s="1"/>
      <x:c r="L843" s="1"/>
      <x:c r="M843" s="1"/>
      <x:c r="N843" s="1"/>
    </x:row>
    <x:row r="844" ht="22" customHeight="1">
      <x:c r="A844" s="1" t="n">
        <x:v>828</x:v>
      </x:c>
      <x:c r="B844" s="16" t="n">
        <x:v>1.218987227117497</x:v>
      </x:c>
      <x:c r="C844" s="16" t="n">
        <x:f>$B$12+$D$12*B844</x:f>
        <x:v>0.016609343792687727</x:v>
      </x:c>
      <x:c r="D844" s="12" t="n">
        <x:f>D843*EXP(C844)</x:f>
        <x:v>183.3267617495658</x:v>
      </x:c>
      <x:c r="E844" s="16" t="n">
        <x:f>ABS(C844)</x:f>
        <x:v>0.016609343792687727</x:v>
      </x:c>
      <x:c r="F844" s="16" t="n">
        <x:f>C844^2</x:f>
        <x:v>0.0002758703012236943</x:v>
      </x:c>
      <x:c r="G844" s="1"/>
      <x:c r="H844" s="1"/>
      <x:c r="I844" s="1"/>
      <x:c r="J844" s="1"/>
      <x:c r="K844" s="1"/>
      <x:c r="L844" s="1"/>
      <x:c r="M844" s="1"/>
      <x:c r="N844" s="1"/>
    </x:row>
    <x:row r="845" ht="22" customHeight="1">
      <x:c r="A845" s="1" t="n">
        <x:v>829</x:v>
      </x:c>
      <x:c r="B845" s="16" t="n">
        <x:v>-1.0051766009943304</x:v>
      </x:c>
      <x:c r="C845" s="16" t="n">
        <x:f>$B$12+$D$12*B845</x:f>
        <x:v>-0.012797050517776425</x:v>
      </x:c>
      <x:c r="D845" s="12" t="n">
        <x:f>D844*EXP(C845)</x:f>
        <x:v>180.99566729738603</x:v>
      </x:c>
      <x:c r="E845" s="16" t="n">
        <x:f>ABS(C845)</x:f>
        <x:v>0.012797050517776425</x:v>
      </x:c>
      <x:c r="F845" s="16" t="n">
        <x:f>C845^2</x:f>
        <x:v>0.00016376450195452187</x:v>
      </x:c>
      <x:c r="G845" s="1"/>
      <x:c r="H845" s="1"/>
      <x:c r="I845" s="1"/>
      <x:c r="J845" s="1"/>
      <x:c r="K845" s="1"/>
      <x:c r="L845" s="1"/>
      <x:c r="M845" s="1"/>
      <x:c r="N845" s="1"/>
    </x:row>
    <x:row r="846" ht="22" customHeight="1">
      <x:c r="A846" s="1" t="n">
        <x:v>830</x:v>
      </x:c>
      <x:c r="B846" s="16" t="n">
        <x:v>-1.4918289814401051</x:v>
      </x:c>
      <x:c r="C846" s="16" t="n">
        <x:f>$B$12+$D$12*B846</x:f>
        <x:v>-0.019231240126760096</x:v>
      </x:c>
      <x:c r="D846" s="12" t="n">
        <x:f>D845*EXP(C846)</x:f>
        <x:v>177.54815240299965</x:v>
      </x:c>
      <x:c r="E846" s="16" t="n">
        <x:f>ABS(C846)</x:f>
        <x:v>0.019231240126760096</x:v>
      </x:c>
      <x:c r="F846" s="16" t="n">
        <x:f>C846^2</x:f>
        <x:v>0.00036984059681310764</x:v>
      </x:c>
      <x:c r="G846" s="1"/>
      <x:c r="H846" s="1"/>
      <x:c r="I846" s="1"/>
      <x:c r="J846" s="1"/>
      <x:c r="K846" s="1"/>
      <x:c r="L846" s="1"/>
      <x:c r="M846" s="1"/>
      <x:c r="N846" s="1"/>
    </x:row>
    <x:row r="847" ht="22" customHeight="1">
      <x:c r="A847" s="1" t="n">
        <x:v>831</x:v>
      </x:c>
      <x:c r="B847" s="16" t="n">
        <x:v>0.09840915066978086</x:v>
      </x:c>
      <x:c r="C847" s="16" t="n">
        <x:f>$B$12+$D$12*B847</x:f>
        <x:v>0.0017938161075453703</x:v>
      </x:c>
      <x:c r="D847" s="12" t="n">
        <x:f>D846*EXP(C847)</x:f>
        <x:v>177.86692696463797</x:v>
      </x:c>
      <x:c r="E847" s="16" t="n">
        <x:f>ABS(C847)</x:f>
        <x:v>0.0017938161075453703</x:v>
      </x:c>
      <x:c r="F847" s="16" t="n">
        <x:f>C847^2</x:f>
        <x:v>0.0000032177762276892237</x:v>
      </x:c>
      <x:c r="G847" s="1"/>
      <x:c r="H847" s="1"/>
      <x:c r="I847" s="1"/>
      <x:c r="J847" s="1"/>
      <x:c r="K847" s="1"/>
      <x:c r="L847" s="1"/>
      <x:c r="M847" s="1"/>
      <x:c r="N847" s="1"/>
    </x:row>
    <x:row r="848" ht="22" customHeight="1">
      <x:c r="A848" s="1" t="n">
        <x:v>832</x:v>
      </x:c>
      <x:c r="B848" s="16" t="n">
        <x:v>0.5158320027962574</x:v>
      </x:c>
      <x:c r="C848" s="16" t="n">
        <x:f>$B$12+$D$12*B848</x:f>
        <x:v>0.007312699576777195</x:v>
      </x:c>
      <x:c r="D848" s="12" t="n">
        <x:f>D847*EXP(C848)</x:f>
        <x:v>179.1723817480056</x:v>
      </x:c>
      <x:c r="E848" s="16" t="n">
        <x:f>ABS(C848)</x:f>
        <x:v>0.007312699576777195</x:v>
      </x:c>
      <x:c r="F848" s="16" t="n">
        <x:f>C848^2</x:f>
        <x:v>0.00005347557510019737</x:v>
      </x:c>
      <x:c r="G848" s="1"/>
      <x:c r="H848" s="1"/>
      <x:c r="I848" s="1"/>
      <x:c r="J848" s="1"/>
      <x:c r="K848" s="1"/>
      <x:c r="L848" s="1"/>
      <x:c r="M848" s="1"/>
      <x:c r="N848" s="1"/>
    </x:row>
    <x:row r="849" ht="22" customHeight="1">
      <x:c r="A849" s="1" t="n">
        <x:v>833</x:v>
      </x:c>
      <x:c r="B849" s="16" t="n">
        <x:v>0.679358728908976</x:v>
      </x:c>
      <x:c r="C849" s="16" t="n">
        <x:f>$B$12+$D$12*B849</x:f>
        <x:v>0.009474739678136177</x:v>
      </x:c>
      <x:c r="D849" s="12" t="n">
        <x:f>D848*EXP(C849)</x:f>
        <x:v>180.87806109649804</x:v>
      </x:c>
      <x:c r="E849" s="16" t="n">
        <x:f>ABS(C849)</x:f>
        <x:v>0.009474739678136177</x:v>
      </x:c>
      <x:c r="F849" s="16" t="n">
        <x:f>C849^2</x:f>
        <x:v>0.00008977069196844803</x:v>
      </x:c>
      <x:c r="G849" s="1"/>
      <x:c r="H849" s="1"/>
      <x:c r="I849" s="1"/>
      <x:c r="J849" s="1"/>
      <x:c r="K849" s="1"/>
      <x:c r="L849" s="1"/>
      <x:c r="M849" s="1"/>
      <x:c r="N849" s="1"/>
    </x:row>
    <x:row r="850" ht="22" customHeight="1">
      <x:c r="A850" s="1" t="n">
        <x:v>834</x:v>
      </x:c>
      <x:c r="B850" s="16" t="n">
        <x:v>-1.2629439887562226</x:v>
      </x:c>
      <x:c r="C850" s="16" t="n">
        <x:f>$B$12+$D$12*B850</x:f>
        <x:v>-0.01620507709796744</x:v>
      </x:c>
      <x:c r="D850" s="12" t="n">
        <x:f>D849*EXP(C850)</x:f>
        <x:v>177.97054009913035</x:v>
      </x:c>
      <x:c r="E850" s="16" t="n">
        <x:f>ABS(C850)</x:f>
        <x:v>0.01620507709796744</x:v>
      </x:c>
      <x:c r="F850" s="16" t="n">
        <x:f>C850^2</x:f>
        <x:v>0.0002626045237510689</x:v>
      </x:c>
      <x:c r="G850" s="1"/>
      <x:c r="H850" s="1"/>
      <x:c r="I850" s="1"/>
      <x:c r="J850" s="1"/>
      <x:c r="K850" s="1"/>
      <x:c r="L850" s="1"/>
      <x:c r="M850" s="1"/>
      <x:c r="N850" s="1"/>
    </x:row>
    <x:row r="851" ht="22" customHeight="1">
      <x:c r="A851" s="1" t="n">
        <x:v>835</x:v>
      </x:c>
      <x:c r="B851" s="16" t="n">
        <x:v>-0.8346596296663564</x:v>
      </x:c>
      <x:c r="C851" s="16" t="n">
        <x:f>$B$12+$D$12*B851</x:f>
        <x:v>-0.010542590107927335</x:v>
      </x:c>
      <x:c r="D851" s="12" t="n">
        <x:f>D850*EXP(C851)</x:f>
        <x:v>176.10412535344085</x:v>
      </x:c>
      <x:c r="E851" s="16" t="n">
        <x:f>ABS(C851)</x:f>
        <x:v>0.010542590107927335</x:v>
      </x:c>
      <x:c r="F851" s="16" t="n">
        <x:f>C851^2</x:f>
        <x:v>0.0001111462061837673</x:v>
      </x:c>
      <x:c r="G851" s="1"/>
      <x:c r="H851" s="1"/>
      <x:c r="I851" s="1"/>
      <x:c r="J851" s="1"/>
      <x:c r="K851" s="1"/>
      <x:c r="L851" s="1"/>
      <x:c r="M851" s="1"/>
      <x:c r="N851" s="1"/>
    </x:row>
    <x:row r="852" ht="22" customHeight="1">
      <x:c r="A852" s="1" t="n">
        <x:v>836</x:v>
      </x:c>
      <x:c r="B852" s="16" t="n">
        <x:v>-1.0458625286101824</x:v>
      </x:c>
      <x:c r="C852" s="16" t="n">
        <x:f>$B$12+$D$12*B852</x:f>
        <x:v>-0.0133349724168905</x:v>
      </x:c>
      <x:c r="D852" s="12" t="n">
        <x:f>D851*EXP(C852)</x:f>
        <x:v>173.7713698820207</x:v>
      </x:c>
      <x:c r="E852" s="16" t="n">
        <x:f>ABS(C852)</x:f>
        <x:v>0.0133349724168905</x:v>
      </x:c>
      <x:c r="F852" s="16" t="n">
        <x:f>C852^2</x:f>
        <x:v>0.00017782148935923046</x:v>
      </x:c>
      <x:c r="G852" s="1"/>
      <x:c r="H852" s="1"/>
      <x:c r="I852" s="1"/>
      <x:c r="J852" s="1"/>
      <x:c r="K852" s="1"/>
      <x:c r="L852" s="1"/>
      <x:c r="M852" s="1"/>
      <x:c r="N852" s="1"/>
    </x:row>
    <x:row r="853" ht="22" customHeight="1">
      <x:c r="A853" s="1" t="n">
        <x:v>837</x:v>
      </x:c>
      <x:c r="B853" s="16" t="n">
        <x:v>-0.21379390054829103</x:v>
      </x:c>
      <x:c r="C853" s="16" t="n">
        <x:f>$B$12+$D$12*B853</x:f>
        <x:v>-0.0023339221071537416</x:v>
      </x:c>
      <x:c r="D853" s="12" t="n">
        <x:f>D852*EXP(C853)</x:f>
        <x:v>173.36627395531835</x:v>
      </x:c>
      <x:c r="E853" s="16" t="n">
        <x:f>ABS(C853)</x:f>
        <x:v>0.0023339221071537416</x:v>
      </x:c>
      <x:c r="F853" s="16" t="n">
        <x:f>C853^2</x:f>
        <x:v>0.000005447192402260961</x:v>
      </x:c>
      <x:c r="G853" s="1"/>
      <x:c r="H853" s="1"/>
      <x:c r="I853" s="1"/>
      <x:c r="J853" s="1"/>
      <x:c r="K853" s="1"/>
      <x:c r="L853" s="1"/>
      <x:c r="M853" s="1"/>
      <x:c r="N853" s="1"/>
    </x:row>
    <x:row r="854" ht="22" customHeight="1">
      <x:c r="A854" s="1" t="n">
        <x:v>838</x:v>
      </x:c>
      <x:c r="B854" s="16" t="n">
        <x:v>1.0751917507081687</x:v>
      </x:c>
      <x:c r="C854" s="16" t="n">
        <x:f>$B$12+$D$12*B854</x:f>
        <x:v>0.014708176969494002</x:v>
      </x:c>
      <x:c r="D854" s="12" t="n">
        <x:f>D853*EXP(C854)</x:f>
        <x:v>175.93502027290148</x:v>
      </x:c>
      <x:c r="E854" s="16" t="n">
        <x:f>ABS(C854)</x:f>
        <x:v>0.014708176969494002</x:v>
      </x:c>
      <x:c r="F854" s="16" t="n">
        <x:f>C854^2</x:f>
        <x:v>0.00021633046976595377</x:v>
      </x:c>
      <x:c r="G854" s="1"/>
      <x:c r="H854" s="1"/>
      <x:c r="I854" s="1"/>
      <x:c r="J854" s="1"/>
      <x:c r="K854" s="1"/>
      <x:c r="L854" s="1"/>
      <x:c r="M854" s="1"/>
      <x:c r="N854" s="1"/>
    </x:row>
    <x:row r="855" ht="22" customHeight="1">
      <x:c r="A855" s="1" t="n">
        <x:v>839</x:v>
      </x:c>
      <x:c r="B855" s="16" t="n">
        <x:v>-0.9094444153017059</x:v>
      </x:c>
      <x:c r="C855" s="16" t="n">
        <x:f>$B$12+$D$12*B855</x:f>
        <x:v>-0.011531344113824267</x:v>
      </x:c>
      <x:c r="D855" s="12" t="n">
        <x:f>D854*EXP(C855)</x:f>
        <x:v>173.91790538697856</x:v>
      </x:c>
      <x:c r="E855" s="16" t="n">
        <x:f>ABS(C855)</x:f>
        <x:v>0.011531344113824267</x:v>
      </x:c>
      <x:c r="F855" s="16" t="n">
        <x:f>C855^2</x:f>
        <x:v>0.00013297189707142955</x:v>
      </x:c>
      <x:c r="G855" s="1"/>
      <x:c r="H855" s="1"/>
      <x:c r="I855" s="1"/>
      <x:c r="J855" s="1"/>
      <x:c r="K855" s="1"/>
      <x:c r="L855" s="1"/>
      <x:c r="M855" s="1"/>
      <x:c r="N855" s="1"/>
    </x:row>
    <x:row r="856" ht="22" customHeight="1">
      <x:c r="A856" s="1" t="n">
        <x:v>840</x:v>
      </x:c>
      <x:c r="B856" s="16" t="n">
        <x:v>-0.5549557574797687</x:v>
      </x:c>
      <x:c r="C856" s="16" t="n">
        <x:f>$B$12+$D$12*B856</x:f>
        <x:v>-0.006844534123146288</x:v>
      </x:c>
      <x:c r="D856" s="12" t="n">
        <x:f>D855*EXP(C856)</x:f>
        <x:v>172.73158289269242</x:v>
      </x:c>
      <x:c r="E856" s="16" t="n">
        <x:f>ABS(C856)</x:f>
        <x:v>0.006844534123146288</x:v>
      </x:c>
      <x:c r="F856" s="16" t="n">
        <x:f>C856^2</x:f>
        <x:v>0.00004684764736291392</x:v>
      </x:c>
      <x:c r="G856" s="1"/>
      <x:c r="H856" s="1"/>
      <x:c r="I856" s="1"/>
      <x:c r="J856" s="1"/>
      <x:c r="K856" s="1"/>
      <x:c r="L856" s="1"/>
      <x:c r="M856" s="1"/>
      <x:c r="N856" s="1"/>
    </x:row>
    <x:row r="857" ht="22" customHeight="1">
      <x:c r="A857" s="1" t="n">
        <x:v>841</x:v>
      </x:c>
      <x:c r="B857" s="16" t="n">
        <x:v>0.097503872997814</x:v>
      </x:c>
      <x:c r="C857" s="16" t="n">
        <x:f>$B$12+$D$12*B857</x:f>
        <x:v>0.001781847136624323</x:v>
      </x:c>
      <x:c r="D857" s="12" t="n">
        <x:f>D856*EXP(C857)</x:f>
        <x:v>173.03963854160648</x:v>
      </x:c>
      <x:c r="E857" s="16" t="n">
        <x:f>ABS(C857)</x:f>
        <x:v>0.001781847136624323</x:v>
      </x:c>
      <x:c r="F857" s="16" t="n">
        <x:f>C857^2</x:f>
        <x:v>0.0000031749792182962988</x:v>
      </x:c>
      <x:c r="G857" s="1"/>
      <x:c r="H857" s="1"/>
      <x:c r="I857" s="1"/>
      <x:c r="J857" s="1"/>
      <x:c r="K857" s="1"/>
      <x:c r="L857" s="1"/>
      <x:c r="M857" s="1"/>
      <x:c r="N857" s="1"/>
    </x:row>
    <x:row r="858" ht="22" customHeight="1">
      <x:c r="A858" s="1" t="n">
        <x:v>842</x:v>
      </x:c>
      <x:c r="B858" s="16" t="n">
        <x:v>-0.3584637357469174</x:v>
      </x:c>
      <x:c r="C858" s="16" t="n">
        <x:f>$B$12+$D$12*B858</x:f>
        <x:v>-0.004246649112651458</x:v>
      </x:c>
      <x:c r="D858" s="12" t="n">
        <x:f>D857*EXP(C858)</x:f>
        <x:v>172.3063580087023</x:v>
      </x:c>
      <x:c r="E858" s="16" t="n">
        <x:f>ABS(C858)</x:f>
        <x:v>0.004246649112651458</x:v>
      </x:c>
      <x:c r="F858" s="16" t="n">
        <x:f>C858^2</x:f>
        <x:v>0.00001803402868598342</x:v>
      </x:c>
      <x:c r="G858" s="1"/>
      <x:c r="H858" s="1"/>
      <x:c r="I858" s="1"/>
      <x:c r="J858" s="1"/>
      <x:c r="K858" s="1"/>
      <x:c r="L858" s="1"/>
      <x:c r="M858" s="1"/>
      <x:c r="N858" s="1"/>
    </x:row>
    <x:row r="859" ht="22" customHeight="1">
      <x:c r="A859" s="1" t="n">
        <x:v>843</x:v>
      </x:c>
      <x:c r="B859" s="16" t="n">
        <x:v>0.14618761618231824</x:v>
      </x:c>
      <x:c r="C859" s="16" t="n">
        <x:f>$B$12+$D$12*B859</x:f>
        <x:v>0.0024255107600041938</x:v>
      </x:c>
      <x:c r="D859" s="12" t="n">
        <x:f>D858*EXP(C859)</x:f>
        <x:v>172.72479619208477</x:v>
      </x:c>
      <x:c r="E859" s="16" t="n">
        <x:f>ABS(C859)</x:f>
        <x:v>0.0024255107600041938</x:v>
      </x:c>
      <x:c r="F859" s="16" t="n">
        <x:f>C859^2</x:f>
        <x:v>0.000005883102446896121</x:v>
      </x:c>
      <x:c r="G859" s="1"/>
      <x:c r="H859" s="1"/>
      <x:c r="I859" s="1"/>
      <x:c r="J859" s="1"/>
      <x:c r="K859" s="1"/>
      <x:c r="L859" s="1"/>
      <x:c r="M859" s="1"/>
      <x:c r="N859" s="1"/>
    </x:row>
    <x:row r="860" ht="22" customHeight="1">
      <x:c r="A860" s="1" t="n">
        <x:v>844</x:v>
      </x:c>
      <x:c r="B860" s="16" t="n">
        <x:v>0.045047650519942334</x:v>
      </x:c>
      <x:c r="C860" s="16" t="n">
        <x:f>$B$12+$D$12*B860</x:f>
        <x:v>0.0010883063359310341</x:v>
      </x:c>
      <x:c r="D860" s="12" t="n">
        <x:f>D859*EXP(C860)</x:f>
        <x:v>172.91287600781692</x:v>
      </x:c>
      <x:c r="E860" s="16" t="n">
        <x:f>ABS(C860)</x:f>
        <x:v>0.0010883063359310341</x:v>
      </x:c>
      <x:c r="F860" s="16" t="n">
        <x:f>C860^2</x:f>
        <x:v>0.000001184410680827633</x:v>
      </x:c>
      <x:c r="G860" s="1"/>
      <x:c r="H860" s="1"/>
      <x:c r="I860" s="1"/>
      <x:c r="J860" s="1"/>
      <x:c r="K860" s="1"/>
      <x:c r="L860" s="1"/>
      <x:c r="M860" s="1"/>
      <x:c r="N860" s="1"/>
    </x:row>
    <x:row r="861" ht="22" customHeight="1">
      <x:c r="A861" s="1" t="n">
        <x:v>845</x:v>
      </x:c>
      <x:c r="B861" s="16" t="n">
        <x:v>-0.12223391605107857</x:v>
      </x:c>
      <x:c r="C861" s="16" t="n">
        <x:f>$B$12+$D$12*B861</x:f>
        <x:v>-0.0011233777339585659</x:v>
      </x:c>
      <x:c r="D861" s="12" t="n">
        <x:f>D860*EXP(C861)</x:f>
        <x:v>172.71873859823305</x:v>
      </x:c>
      <x:c r="E861" s="16" t="n">
        <x:f>ABS(C861)</x:f>
        <x:v>0.0011233777339585659</x:v>
      </x:c>
      <x:c r="F861" s="16" t="n">
        <x:f>C861^2</x:f>
        <x:v>0.0000012619775331538825</x:v>
      </x:c>
      <x:c r="G861" s="1"/>
      <x:c r="H861" s="1"/>
      <x:c r="I861" s="1"/>
      <x:c r="J861" s="1"/>
      <x:c r="K861" s="1"/>
      <x:c r="L861" s="1"/>
      <x:c r="M861" s="1"/>
      <x:c r="N861" s="1"/>
    </x:row>
    <x:row r="862" ht="22" customHeight="1">
      <x:c r="A862" s="1" t="n">
        <x:v>846</x:v>
      </x:c>
      <x:c r="B862" s="16" t="n">
        <x:v>0.18633594158659014</x:v>
      </x:c>
      <x:c r="C862" s="16" t="n">
        <x:f>$B$12+$D$12*B862</x:f>
        <x:v>0.002956324845199129</x:v>
      </x:c>
      <x:c r="D862" s="12" t="n">
        <x:f>D861*EXP(C862)</x:f>
        <x:v>173.23010680921567</x:v>
      </x:c>
      <x:c r="E862" s="16" t="n">
        <x:f>ABS(C862)</x:f>
        <x:v>0.002956324845199129</x:v>
      </x:c>
      <x:c r="F862" s="16" t="n">
        <x:f>C862^2</x:f>
        <x:v>0.000008739856590341654</x:v>
      </x:c>
      <x:c r="G862" s="1"/>
      <x:c r="H862" s="1"/>
      <x:c r="I862" s="1"/>
      <x:c r="J862" s="1"/>
      <x:c r="K862" s="1"/>
      <x:c r="L862" s="1"/>
      <x:c r="M862" s="1"/>
      <x:c r="N862" s="1"/>
    </x:row>
    <x:row r="863" ht="22" customHeight="1">
      <x:c r="A863" s="1" t="n">
        <x:v>847</x:v>
      </x:c>
      <x:c r="B863" s="16" t="n">
        <x:v>1.6077467082662644</x:v>
      </x:c>
      <x:c r="C863" s="16" t="n">
        <x:f>$B$12+$D$12*B863</x:f>
        <x:v>0.0217492594994804</x:v>
      </x:c>
      <x:c r="D863" s="12" t="n">
        <x:f>D862*EXP(C863)</x:f>
        <x:v>177.0390035547511</x:v>
      </x:c>
      <x:c r="E863" s="16" t="n">
        <x:f>ABS(C863)</x:f>
        <x:v>0.0217492594994804</x:v>
      </x:c>
      <x:c r="F863" s="16" t="n">
        <x:f>C863^2</x:f>
        <x:v>0.0004730302887757385</x:v>
      </x:c>
      <x:c r="G863" s="1"/>
      <x:c r="H863" s="1"/>
      <x:c r="I863" s="1"/>
      <x:c r="J863" s="1"/>
      <x:c r="K863" s="1"/>
      <x:c r="L863" s="1"/>
      <x:c r="M863" s="1"/>
      <x:c r="N863" s="1"/>
    </x:row>
    <x:row r="864" ht="22" customHeight="1">
      <x:c r="A864" s="1" t="n">
        <x:v>848</x:v>
      </x:c>
      <x:c r="B864" s="16" t="n">
        <x:v>0.20747607134532653</x:v>
      </x:c>
      <x:c r="C864" s="16" t="n">
        <x:f>$B$12+$D$12*B864</x:f>
        <x:v>0.003235825385403276</x:v>
      </x:c>
      <x:c r="D864" s="12" t="n">
        <x:f>D863*EXP(C864)</x:f>
        <x:v>177.61279870645575</x:v>
      </x:c>
      <x:c r="E864" s="16" t="n">
        <x:f>ABS(C864)</x:f>
        <x:v>0.003235825385403276</x:v>
      </x:c>
      <x:c r="F864" s="16" t="n">
        <x:f>C864^2</x:f>
        <x:v>0.00001047056592482026</x:v>
      </x:c>
      <x:c r="G864" s="1"/>
      <x:c r="H864" s="1"/>
      <x:c r="I864" s="1"/>
      <x:c r="J864" s="1"/>
      <x:c r="K864" s="1"/>
      <x:c r="L864" s="1"/>
      <x:c r="M864" s="1"/>
      <x:c r="N864" s="1"/>
    </x:row>
    <x:row r="865" ht="22" customHeight="1">
      <x:c r="A865" s="1" t="n">
        <x:v>849</x:v>
      </x:c>
      <x:c r="B865" s="16" t="n">
        <x:v>-0.2240672040032019</x:v>
      </x:c>
      <x:c r="C865" s="16" t="n">
        <x:f>$B$12+$D$12*B865</x:f>
        <x:v>-0.0024697487978173637</x:v>
      </x:c>
      <x:c r="D865" s="12" t="n">
        <x:f>D864*EXP(C865)</x:f>
        <x:v>177.17468095346774</x:v>
      </x:c>
      <x:c r="E865" s="16" t="n">
        <x:f>ABS(C865)</x:f>
        <x:v>0.0024697487978173637</x:v>
      </x:c>
      <x:c r="F865" s="16" t="n">
        <x:f>C865^2</x:f>
        <x:v>0.000006099659124320314</x:v>
      </x:c>
      <x:c r="G865" s="1"/>
      <x:c r="H865" s="1"/>
      <x:c r="I865" s="1"/>
      <x:c r="J865" s="1"/>
      <x:c r="K865" s="1"/>
      <x:c r="L865" s="1"/>
      <x:c r="M865" s="1"/>
      <x:c r="N865" s="1"/>
    </x:row>
    <x:row r="866" ht="22" customHeight="1">
      <x:c r="A866" s="1" t="n">
        <x:v>850</x:v>
      </x:c>
      <x:c r="B866" s="16" t="n">
        <x:v>1.5034380165371328</x:v>
      </x:c>
      <x:c r="C866" s="16" t="n">
        <x:f>$B$12+$D$12*B866</x:f>
        <x:v>0.020370160316125967</x:v>
      </x:c>
      <x:c r="D866" s="12" t="n">
        <x:f>D865*EXP(C866)</x:f>
        <x:v>180.8207672135134</x:v>
      </x:c>
      <x:c r="E866" s="16" t="n">
        <x:f>ABS(C866)</x:f>
        <x:v>0.020370160316125967</x:v>
      </x:c>
      <x:c r="F866" s="16" t="n">
        <x:f>C866^2</x:f>
        <x:v>0.00041494343130467316</x:v>
      </x:c>
      <x:c r="G866" s="1"/>
      <x:c r="H866" s="1"/>
      <x:c r="I866" s="1"/>
      <x:c r="J866" s="1"/>
      <x:c r="K866" s="1"/>
      <x:c r="L866" s="1"/>
      <x:c r="M866" s="1"/>
      <x:c r="N866" s="1"/>
    </x:row>
    <x:row r="867" ht="22" customHeight="1">
      <x:c r="A867" s="1" t="n">
        <x:v>851</x:v>
      </x:c>
      <x:c r="B867" s="16" t="n">
        <x:v>0.6414496655441845</x:v>
      </x:c>
      <x:c r="C867" s="16" t="n">
        <x:f>$B$12+$D$12*B867</x:f>
        <x:v>0.008973531605621215</x:v>
      </x:c>
      <x:c r="D867" s="12" t="n">
        <x:f>D866*EXP(C867)</x:f>
        <x:v>182.45067013854862</x:v>
      </x:c>
      <x:c r="E867" s="16" t="n">
        <x:f>ABS(C867)</x:f>
        <x:v>0.008973531605621215</x:v>
      </x:c>
      <x:c r="F867" s="16" t="n">
        <x:f>C867^2</x:f>
        <x:v>0.00008052426947708285</x:v>
      </x:c>
      <x:c r="G867" s="1"/>
      <x:c r="H867" s="1"/>
      <x:c r="I867" s="1"/>
      <x:c r="J867" s="1"/>
      <x:c r="K867" s="1"/>
      <x:c r="L867" s="1"/>
      <x:c r="M867" s="1"/>
      <x:c r="N867" s="1"/>
    </x:row>
    <x:row r="868" ht="22" customHeight="1">
      <x:c r="A868" s="1" t="n">
        <x:v>852</x:v>
      </x:c>
      <x:c r="B868" s="16" t="n">
        <x:v>-2.646373251301901</x:v>
      </x:c>
      <x:c r="C868" s="16" t="n">
        <x:f>$B$12+$D$12*B868</x:f>
        <x:v>-0.034495845916732465</x:v>
      </x:c>
      <x:c r="D868" s="12" t="n">
        <x:f>D867*EXP(C868)</x:f>
        <x:v>176.26419720346962</x:v>
      </x:c>
      <x:c r="E868" s="16" t="n">
        <x:f>ABS(C868)</x:f>
        <x:v>0.034495845916732465</x:v>
      </x:c>
      <x:c r="F868" s="16" t="n">
        <x:f>C868^2</x:f>
        <x:v>0.0011899633855109479</x:v>
      </x:c>
      <x:c r="G868" s="1"/>
      <x:c r="H868" s="1"/>
      <x:c r="I868" s="1"/>
      <x:c r="J868" s="1"/>
      <x:c r="K868" s="1"/>
      <x:c r="L868" s="1"/>
      <x:c r="M868" s="1"/>
      <x:c r="N868" s="1"/>
    </x:row>
    <x:row r="869" ht="22" customHeight="1">
      <x:c r="A869" s="1" t="n">
        <x:v>853</x:v>
      </x:c>
      <x:c r="B869" s="16" t="n">
        <x:v>0.06969998621293863</x:v>
      </x:c>
      <x:c r="C869" s="16" t="n">
        <x:f>$B$12+$D$12*B869</x:f>
        <x:v>0.0014142428946051326</x:v>
      </x:c>
      <x:c r="D869" s="12" t="n">
        <x:f>D868*EXP(C869)</x:f>
        <x:v>176.51365394657327</x:v>
      </x:c>
      <x:c r="E869" s="16" t="n">
        <x:f>ABS(C869)</x:f>
        <x:v>0.0014142428946051326</x:v>
      </x:c>
      <x:c r="F869" s="16" t="n">
        <x:f>C869^2</x:f>
        <x:v>0.000002000082964941104</x:v>
      </x:c>
      <x:c r="G869" s="1"/>
      <x:c r="H869" s="1"/>
      <x:c r="I869" s="1"/>
      <x:c r="J869" s="1"/>
      <x:c r="K869" s="1"/>
      <x:c r="L869" s="1"/>
      <x:c r="M869" s="1"/>
      <x:c r="N869" s="1"/>
    </x:row>
    <x:row r="870" ht="22" customHeight="1">
      <x:c r="A870" s="1" t="n">
        <x:v>854</x:v>
      </x:c>
      <x:c r="B870" s="16" t="n">
        <x:v>1.662512833038926</x:v>
      </x:c>
      <x:c r="C870" s="16" t="n">
        <x:f>$B$12+$D$12*B870</x:f>
        <x:v>0.022473340270674384</x:v>
      </x:c>
      <x:c r="D870" s="12" t="n">
        <x:f>D869*EXP(C870)</x:f>
        <x:v>180.52541534975512</x:v>
      </x:c>
      <x:c r="E870" s="16" t="n">
        <x:f>ABS(C870)</x:f>
        <x:v>0.022473340270674384</x:v>
      </x:c>
      <x:c r="F870" s="16" t="n">
        <x:f>C870^2</x:f>
        <x:v>0.000505051022921515</x:v>
      </x:c>
      <x:c r="G870" s="1"/>
      <x:c r="H870" s="1"/>
      <x:c r="I870" s="1"/>
      <x:c r="J870" s="1"/>
      <x:c r="K870" s="1"/>
      <x:c r="L870" s="1"/>
      <x:c r="M870" s="1"/>
      <x:c r="N870" s="1"/>
    </x:row>
    <x:row r="871" ht="22" customHeight="1">
      <x:c r="A871" s="1" t="n">
        <x:v>855</x:v>
      </x:c>
      <x:c r="B871" s="16" t="n">
        <x:v>-0.12191833911926513</x:v>
      </x:c>
      <x:c r="C871" s="16" t="n">
        <x:f>$B$12+$D$12*B871</x:f>
        <x:v>-0.0011192053885697504</x:v>
      </x:c>
      <x:c r="D871" s="12" t="n">
        <x:f>D870*EXP(C871)</x:f>
        <x:v>180.32348335488896</x:v>
      </x:c>
      <x:c r="E871" s="16" t="n">
        <x:f>ABS(C871)</x:f>
        <x:v>0.0011192053885697504</x:v>
      </x:c>
      <x:c r="F871" s="16" t="n">
        <x:f>C871^2</x:f>
        <x:v>0.000001252620701803566</x:v>
      </x:c>
      <x:c r="G871" s="1"/>
      <x:c r="H871" s="1"/>
      <x:c r="I871" s="1"/>
      <x:c r="J871" s="1"/>
      <x:c r="K871" s="1"/>
      <x:c r="L871" s="1"/>
      <x:c r="M871" s="1"/>
      <x:c r="N871" s="1"/>
    </x:row>
    <x:row r="872" ht="22" customHeight="1">
      <x:c r="A872" s="1" t="n">
        <x:v>856</x:v>
      </x:c>
      <x:c r="B872" s="16" t="n">
        <x:v>-1.1918294613427791</x:v>
      </x:c>
      <x:c r="C872" s="16" t="n">
        <x:f>$B$12+$D$12*B872</x:f>
        <x:v>-0.015264848771308005</x:v>
      </x:c>
      <x:c r="D872" s="12" t="n">
        <x:f>D871*EXP(C872)</x:f>
        <x:v>177.59177525111954</x:v>
      </x:c>
      <x:c r="E872" s="16" t="n">
        <x:f>ABS(C872)</x:f>
        <x:v>0.015264848771308005</x:v>
      </x:c>
      <x:c r="F872" s="16" t="n">
        <x:f>C872^2</x:f>
        <x:v>0.0002330156080109035</x:v>
      </x:c>
      <x:c r="G872" s="1"/>
      <x:c r="H872" s="1"/>
      <x:c r="I872" s="1"/>
      <x:c r="J872" s="1"/>
      <x:c r="K872" s="1"/>
      <x:c r="L872" s="1"/>
      <x:c r="M872" s="1"/>
      <x:c r="N872" s="1"/>
    </x:row>
    <x:row r="873" ht="22" customHeight="1">
      <x:c r="A873" s="1" t="n">
        <x:v>857</x:v>
      </x:c>
      <x:c r="B873" s="16" t="n">
        <x:v>-0.11272285370664535</x:v>
      </x:c>
      <x:c r="C873" s="16" t="n">
        <x:f>$B$12+$D$12*B873</x:f>
        <x:v>-0.0009976288812541109</x:v>
      </x:c>
      <x:c r="D873" s="12" t="n">
        <x:f>D872*EXP(C873)</x:f>
        <x:v>177.41469291297025</x:v>
      </x:c>
      <x:c r="E873" s="16" t="n">
        <x:f>ABS(C873)</x:f>
        <x:v>0.0009976288812541109</x:v>
      </x:c>
      <x:c r="F873" s="16" t="n">
        <x:f>C873^2</x:f>
        <x:v>9.952633847123288e-7</x:v>
      </x:c>
      <x:c r="G873" s="1"/>
      <x:c r="H873" s="1"/>
      <x:c r="I873" s="1"/>
      <x:c r="J873" s="1"/>
      <x:c r="K873" s="1"/>
      <x:c r="L873" s="1"/>
      <x:c r="M873" s="1"/>
      <x:c r="N873" s="1"/>
    </x:row>
    <x:row r="874" ht="22" customHeight="1">
      <x:c r="A874" s="1" t="n">
        <x:v>858</x:v>
      </x:c>
      <x:c r="B874" s="16" t="n">
        <x:v>-0.21638810576610476</x:v>
      </x:c>
      <x:c r="C874" s="16" t="n">
        <x:f>$B$12+$D$12*B874</x:f>
        <x:v>-0.0023682209391880957</x:v>
      </x:c>
      <x:c r="D874" s="12" t="n">
        <x:f>D873*EXP(C874)</x:f>
        <x:v>176.99503284231503</x:v>
      </x:c>
      <x:c r="E874" s="16" t="n">
        <x:f>ABS(C874)</x:f>
        <x:v>0.0023682209391880957</x:v>
      </x:c>
      <x:c r="F874" s="16" t="n">
        <x:f>C874^2</x:f>
        <x:v>0.000005608470416808946</x:v>
      </x:c>
      <x:c r="G874" s="1"/>
      <x:c r="H874" s="1"/>
      <x:c r="I874" s="1"/>
      <x:c r="J874" s="1"/>
      <x:c r="K874" s="1"/>
      <x:c r="L874" s="1"/>
      <x:c r="M874" s="1"/>
      <x:c r="N874" s="1"/>
    </x:row>
    <x:row r="875" ht="22" customHeight="1">
      <x:c r="A875" s="1" t="n">
        <x:v>859</x:v>
      </x:c>
      <x:c r="B875" s="16" t="n">
        <x:v>-0.05880917296413685</x:v>
      </x:c>
      <x:c r="C875" s="16" t="n">
        <x:f>$B$12+$D$12*B875</x:f>
        <x:v>-0.0002848185501965326</x:v>
      </x:c>
      <x:c r="D875" s="12" t="n">
        <x:f>D874*EXP(C875)</x:f>
        <x:v>176.94462855204807</x:v>
      </x:c>
      <x:c r="E875" s="16" t="n">
        <x:f>ABS(C875)</x:f>
        <x:v>0.0002848185501965326</x:v>
      </x:c>
      <x:c r="F875" s="16" t="n">
        <x:f>C875^2</x:f>
        <x:v>8.112160653605476e-8</x:v>
      </x:c>
      <x:c r="G875" s="1"/>
      <x:c r="H875" s="1"/>
      <x:c r="I875" s="1"/>
      <x:c r="J875" s="1"/>
      <x:c r="K875" s="1"/>
      <x:c r="L875" s="1"/>
      <x:c r="M875" s="1"/>
      <x:c r="N875" s="1"/>
    </x:row>
    <x:row r="876" ht="22" customHeight="1">
      <x:c r="A876" s="1" t="n">
        <x:v>860</x:v>
      </x:c>
      <x:c r="B876" s="16" t="n">
        <x:v>0.03659553192966037</x:v>
      </x:c>
      <x:c r="C876" s="16" t="n">
        <x:f>$B$12+$D$12*B876</x:f>
        <x:v>0.0009765581234643131</x:v>
      </x:c>
      <x:c r="D876" s="12" t="n">
        <x:f>D875*EXP(C876)</x:f>
        <x:v>177.11750966695328</x:v>
      </x:c>
      <x:c r="E876" s="16" t="n">
        <x:f>ABS(C876)</x:f>
        <x:v>0.0009765581234643131</x:v>
      </x:c>
      <x:c r="F876" s="16" t="n">
        <x:f>C876^2</x:f>
        <x:v>9.536657685041406e-7</x:v>
      </x:c>
      <x:c r="G876" s="1"/>
      <x:c r="H876" s="1"/>
      <x:c r="I876" s="1"/>
      <x:c r="J876" s="1"/>
      <x:c r="K876" s="1"/>
      <x:c r="L876" s="1"/>
      <x:c r="M876" s="1"/>
      <x:c r="N876" s="1"/>
    </x:row>
    <x:row r="877" ht="22" customHeight="1">
      <x:c r="A877" s="1" t="n">
        <x:v>861</x:v>
      </x:c>
      <x:c r="B877" s="16" t="n">
        <x:v>-0.7041952043258619</x:v>
      </x:c>
      <x:c r="C877" s="16" t="n">
        <x:f>$B$12+$D$12*B877</x:f>
        <x:v>-0.008817677452411476</x:v>
      </x:c>
      <x:c r="D877" s="12" t="n">
        <x:f>D876*EXP(C877)</x:f>
        <x:v>175.56260997215276</x:v>
      </x:c>
      <x:c r="E877" s="16" t="n">
        <x:f>ABS(C877)</x:f>
        <x:v>0.008817677452411476</x:v>
      </x:c>
      <x:c r="F877" s="16" t="n">
        <x:f>C877^2</x:f>
        <x:v>0.00007775143565476573</x:v>
      </x:c>
      <x:c r="G877" s="1"/>
      <x:c r="H877" s="1"/>
      <x:c r="I877" s="1"/>
      <x:c r="J877" s="1"/>
      <x:c r="K877" s="1"/>
      <x:c r="L877" s="1"/>
      <x:c r="M877" s="1"/>
      <x:c r="N877" s="1"/>
    </x:row>
    <x:row r="878" ht="22" customHeight="1">
      <x:c r="A878" s="1" t="n">
        <x:v>862</x:v>
      </x:c>
      <x:c r="B878" s="16" t="n">
        <x:v>-0.26774906598498194</x:v>
      </x:c>
      <x:c r="C878" s="16" t="n">
        <x:f>$B$12+$D$12*B878</x:f>
        <x:v>-0.003047280920863343</x:v>
      </x:c>
      <x:c r="D878" s="12" t="n">
        <x:f>D877*EXP(C878)</x:f>
        <x:v>175.02843568328538</x:v>
      </x:c>
      <x:c r="E878" s="16" t="n">
        <x:f>ABS(C878)</x:f>
        <x:v>0.003047280920863343</x:v>
      </x:c>
      <x:c r="F878" s="16" t="n">
        <x:f>C878^2</x:f>
        <x:v>0.000009285921010657742</x:v>
      </x:c>
      <x:c r="G878" s="1"/>
      <x:c r="H878" s="1"/>
      <x:c r="I878" s="1"/>
      <x:c r="J878" s="1"/>
      <x:c r="K878" s="1"/>
      <x:c r="L878" s="1"/>
      <x:c r="M878" s="1"/>
      <x:c r="N878" s="1"/>
    </x:row>
    <x:row r="879" ht="22" customHeight="1">
      <x:c r="A879" s="1" t="n">
        <x:v>863</x:v>
      </x:c>
      <x:c r="B879" s="16" t="n">
        <x:v>-0.5871645957526488</x:v>
      </x:c>
      <x:c r="C879" s="16" t="n">
        <x:f>$B$12+$D$12*B879</x:f>
        <x:v>-0.007270377663340153</x:v>
      </x:c>
      <x:c r="D879" s="12" t="n">
        <x:f>D878*EXP(C879)</x:f>
        <x:v>173.7605275245829</x:v>
      </x:c>
      <x:c r="E879" s="16" t="n">
        <x:f>ABS(C879)</x:f>
        <x:v>0.007270377663340153</x:v>
      </x:c>
      <x:c r="F879" s="16" t="n">
        <x:f>C879^2</x:f>
        <x:v>0.00005285839136759543</x:v>
      </x:c>
      <x:c r="G879" s="1"/>
      <x:c r="H879" s="1"/>
      <x:c r="I879" s="1"/>
      <x:c r="J879" s="1"/>
      <x:c r="K879" s="1"/>
      <x:c r="L879" s="1"/>
      <x:c r="M879" s="1"/>
      <x:c r="N879" s="1"/>
    </x:row>
    <x:row r="880" ht="22" customHeight="1">
      <x:c r="A880" s="1" t="n">
        <x:v>864</x:v>
      </x:c>
      <x:c r="B880" s="16" t="n">
        <x:v>-0.8652468656558313</x:v>
      </x:c>
      <x:c r="C880" s="16" t="n">
        <x:f>$B$12+$D$12*B880</x:f>
        <x:v>-0.01094699391622832</x:v>
      </x:c>
      <x:c r="D880" s="12" t="n">
        <x:f>D879*EXP(C880)</x:f>
        <x:v>171.86874564130747</x:v>
      </x:c>
      <x:c r="E880" s="16" t="n">
        <x:f>ABS(C880)</x:f>
        <x:v>0.01094699391622832</x:v>
      </x:c>
      <x:c r="F880" s="16" t="n">
        <x:f>C880^2</x:f>
        <x:v>0.00011983667580193984</x:v>
      </x:c>
      <x:c r="G880" s="1"/>
      <x:c r="H880" s="1"/>
      <x:c r="I880" s="1"/>
      <x:c r="J880" s="1"/>
      <x:c r="K880" s="1"/>
      <x:c r="L880" s="1"/>
      <x:c r="M880" s="1"/>
      <x:c r="N880" s="1"/>
    </x:row>
    <x:row r="881" ht="22" customHeight="1">
      <x:c r="A881" s="1" t="n">
        <x:v>865</x:v>
      </x:c>
      <x:c r="B881" s="16" t="n">
        <x:v>0.3443241664499422</x:v>
      </x:c>
      <x:c r="C881" s="16" t="n">
        <x:f>$B$12+$D$12*B881</x:f>
        <x:v>0.005045138617827581</x:v>
      </x:c>
      <x:c r="D881" s="12" t="n">
        <x:f>D880*EXP(C881)</x:f>
        <x:v>172.73803829423468</x:v>
      </x:c>
      <x:c r="E881" s="16" t="n">
        <x:f>ABS(C881)</x:f>
        <x:v>0.005045138617827581</x:v>
      </x:c>
      <x:c r="F881" s="16" t="n">
        <x:f>C881^2</x:f>
        <x:v>0.000025453423673095195</x:v>
      </x:c>
      <x:c r="G881" s="1"/>
      <x:c r="H881" s="1"/>
      <x:c r="I881" s="1"/>
      <x:c r="J881" s="1"/>
      <x:c r="K881" s="1"/>
      <x:c r="L881" s="1"/>
      <x:c r="M881" s="1"/>
      <x:c r="N881" s="1"/>
    </x:row>
    <x:row r="882" ht="22" customHeight="1">
      <x:c r="A882" s="1" t="n">
        <x:v>866</x:v>
      </x:c>
      <x:c r="B882" s="16" t="n">
        <x:v>-0.20494620996698876</x:v>
      </x:c>
      <x:c r="C882" s="16" t="n">
        <x:f>$B$12+$D$12*B882</x:f>
        <x:v>-0.0022169439085685996</x:v>
      </x:c>
      <x:c r="D882" s="12" t="n">
        <x:f>D881*EXP(C882)</x:f>
        <x:v>172.35551192887928</x:v>
      </x:c>
      <x:c r="E882" s="16" t="n">
        <x:f>ABS(C882)</x:f>
        <x:v>0.0022169439085685996</x:v>
      </x:c>
      <x:c r="F882" s="16" t="n">
        <x:f>C882^2</x:f>
        <x:v>0.000004914840293739419</x:v>
      </x:c>
      <x:c r="G882" s="1"/>
      <x:c r="H882" s="1"/>
      <x:c r="I882" s="1"/>
      <x:c r="J882" s="1"/>
      <x:c r="K882" s="1"/>
      <x:c r="L882" s="1"/>
      <x:c r="M882" s="1"/>
      <x:c r="N882" s="1"/>
    </x:row>
    <x:row r="883" ht="22" customHeight="1">
      <x:c r="A883" s="1" t="n">
        <x:v>867</x:v>
      </x:c>
      <x:c r="B883" s="16" t="n">
        <x:v>-0.5785513675424289</x:v>
      </x:c>
      <x:c r="C883" s="16" t="n">
        <x:f>$B$12+$D$12*B883</x:f>
        <x:v>-0.007156499368119984</x:v>
      </x:c>
      <x:c r="D883" s="12" t="n">
        <x:f>D882*EXP(C883)</x:f>
        <x:v>171.1264529421655</x:v>
      </x:c>
      <x:c r="E883" s="16" t="n">
        <x:f>ABS(C883)</x:f>
        <x:v>0.007156499368119984</x:v>
      </x:c>
      <x:c r="F883" s="16" t="n">
        <x:f>C883^2</x:f>
        <x:v>0.000051215483205901734</x:v>
      </x:c>
      <x:c r="G883" s="1"/>
      <x:c r="H883" s="1"/>
      <x:c r="I883" s="1"/>
      <x:c r="J883" s="1"/>
      <x:c r="K883" s="1"/>
      <x:c r="L883" s="1"/>
      <x:c r="M883" s="1"/>
      <x:c r="N883" s="1"/>
    </x:row>
    <x:row r="884" ht="22" customHeight="1">
      <x:c r="A884" s="1" t="n">
        <x:v>868</x:v>
      </x:c>
      <x:c r="B884" s="16" t="n">
        <x:v>0.553531638161694</x:v>
      </x:c>
      <x:c r="C884" s="16" t="n">
        <x:f>$B$12+$D$12*B884</x:f>
        <x:v>0.007811138733508688</x:v>
      </x:c>
      <x:c r="D884" s="12" t="n">
        <x:f>D883*EXP(C884)</x:f>
        <x:v>172.46837957159985</x:v>
      </x:c>
      <x:c r="E884" s="16" t="n">
        <x:f>ABS(C884)</x:f>
        <x:v>0.007811138733508688</x:v>
      </x:c>
      <x:c r="F884" s="16" t="n">
        <x:f>C884^2</x:f>
        <x:v>0.00006101388831411971</x:v>
      </x:c>
      <x:c r="G884" s="1"/>
      <x:c r="H884" s="1"/>
      <x:c r="I884" s="1"/>
      <x:c r="J884" s="1"/>
      <x:c r="K884" s="1"/>
      <x:c r="L884" s="1"/>
      <x:c r="M884" s="1"/>
      <x:c r="N884" s="1"/>
    </x:row>
    <x:row r="885" ht="22" customHeight="1">
      <x:c r="A885" s="1" t="n">
        <x:v>869</x:v>
      </x:c>
      <x:c r="B885" s="16" t="n">
        <x:v>-2.2341510922648697</x:v>
      </x:c>
      <x:c r="C885" s="16" t="n">
        <x:f>$B$12+$D$12*B885</x:f>
        <x:v>-0.029045722504535538</x:v>
      </x:c>
      <x:c r="D885" s="12" t="n">
        <x:f>D884*EXP(C885)</x:f>
        <x:v>167.53096340537542</x:v>
      </x:c>
      <x:c r="E885" s="16" t="n">
        <x:f>ABS(C885)</x:f>
        <x:v>0.029045722504535538</x:v>
      </x:c>
      <x:c r="F885" s="16" t="n">
        <x:f>C885^2</x:f>
        <x:v>0.0008436539958104822</x:v>
      </x:c>
      <x:c r="G885" s="1"/>
      <x:c r="H885" s="1"/>
      <x:c r="I885" s="1"/>
      <x:c r="J885" s="1"/>
      <x:c r="K885" s="1"/>
      <x:c r="L885" s="1"/>
      <x:c r="M885" s="1"/>
      <x:c r="N885" s="1"/>
    </x:row>
    <x:row r="886" ht="22" customHeight="1">
      <x:c r="A886" s="1" t="n">
        <x:v>870</x:v>
      </x:c>
      <x:c r="B886" s="16" t="n">
        <x:v>0.6704422085128725</x:v>
      </x:c>
      <x:c r="C886" s="16" t="n">
        <x:f>$B$12+$D$12*B886</x:f>
        <x:v>0.00935685145815388</x:v>
      </x:c>
      <x:c r="D886" s="12" t="n">
        <x:f>D885*EXP(C886)</x:f>
        <x:v>169.105882395709</x:v>
      </x:c>
      <x:c r="E886" s="16" t="n">
        <x:f>ABS(C886)</x:f>
        <x:v>0.00935685145815388</x:v>
      </x:c>
      <x:c r="F886" s="16" t="n">
        <x:f>C886^2</x:f>
        <x:v>0.0000875506692099564</x:v>
      </x:c>
      <x:c r="G886" s="1"/>
      <x:c r="H886" s="1"/>
      <x:c r="I886" s="1"/>
      <x:c r="J886" s="1"/>
      <x:c r="K886" s="1"/>
      <x:c r="L886" s="1"/>
      <x:c r="M886" s="1"/>
      <x:c r="N886" s="1"/>
    </x:row>
    <x:row r="887" ht="22" customHeight="1">
      <x:c r="A887" s="1" t="n">
        <x:v>871</x:v>
      </x:c>
      <x:c r="B887" s="16" t="n">
        <x:v>2.2135739268782877</x:v>
      </x:c>
      <x:c r="C887" s="16" t="n">
        <x:f>$B$12+$D$12*B887</x:f>
        <x:v>0.029759098455291892</x:v>
      </x:c>
      <x:c r="D887" s="12" t="n">
        <x:f>D886*EXP(C887)</x:f>
        <x:v>174.2139497677265</x:v>
      </x:c>
      <x:c r="E887" s="16" t="n">
        <x:f>ABS(C887)</x:f>
        <x:v>0.029759098455291892</x:v>
      </x:c>
      <x:c r="F887" s="16" t="n">
        <x:f>C887^2</x:f>
        <x:v>0.0008856039408717563</x:v>
      </x:c>
      <x:c r="G887" s="1"/>
      <x:c r="H887" s="1"/>
      <x:c r="I887" s="1"/>
      <x:c r="J887" s="1"/>
      <x:c r="K887" s="1"/>
      <x:c r="L887" s="1"/>
      <x:c r="M887" s="1"/>
      <x:c r="N887" s="1"/>
    </x:row>
    <x:row r="888" ht="22" customHeight="1">
      <x:c r="A888" s="1" t="n">
        <x:v>872</x:v>
      </x:c>
      <x:c r="B888" s="16" t="n">
        <x:v>-0.5369965439608511</x:v>
      </x:c>
      <x:c r="C888" s="16" t="n">
        <x:f>$B$12+$D$12*B888</x:f>
        <x:v>-0.006607089512471432</x:v>
      </x:c>
      <x:c r="D888" s="12" t="n">
        <x:f>D887*EXP(C888)</x:f>
        <x:v>173.06669678235076</x:v>
      </x:c>
      <x:c r="E888" s="16" t="n">
        <x:f>ABS(C888)</x:f>
        <x:v>0.006607089512471432</x:v>
      </x:c>
      <x:c r="F888" s="16" t="n">
        <x:f>C888^2</x:f>
        <x:v>0.00004365363182580998</x:v>
      </x:c>
      <x:c r="G888" s="1"/>
      <x:c r="H888" s="1"/>
      <x:c r="I888" s="1"/>
      <x:c r="J888" s="1"/>
      <x:c r="K888" s="1"/>
      <x:c r="L888" s="1"/>
      <x:c r="M888" s="1"/>
      <x:c r="N888" s="1"/>
    </x:row>
    <x:row r="889" ht="22" customHeight="1">
      <x:c r="A889" s="1" t="n">
        <x:v>873</x:v>
      </x:c>
      <x:c r="B889" s="16" t="n">
        <x:v>-0.3470036067979384</x:v>
      </x:c>
      <x:c r="C889" s="16" t="n">
        <x:f>$B$12+$D$12*B889</x:f>
        <x:v>-0.00409513101561967</x:v>
      </x:c>
      <x:c r="D889" s="12" t="n">
        <x:f>D888*EXP(C889)</x:f>
        <x:v>172.35941517843455</x:v>
      </x:c>
      <x:c r="E889" s="16" t="n">
        <x:f>ABS(C889)</x:f>
        <x:v>0.00409513101561967</x:v>
      </x:c>
      <x:c r="F889" s="16" t="n">
        <x:f>C889^2</x:f>
        <x:v>0.000016770098035090188</x:v>
      </x:c>
      <x:c r="G889" s="1"/>
      <x:c r="H889" s="1"/>
      <x:c r="I889" s="1"/>
      <x:c r="J889" s="1"/>
      <x:c r="K889" s="1"/>
      <x:c r="L889" s="1"/>
      <x:c r="M889" s="1"/>
      <x:c r="N889" s="1"/>
    </x:row>
    <x:row r="890" ht="22" customHeight="1">
      <x:c r="A890" s="1" t="n">
        <x:v>874</x:v>
      </x:c>
      <x:c r="B890" s="16" t="n">
        <x:v>0.9906932715778738</x:v>
      </x:c>
      <x:c r="C890" s="16" t="n">
        <x:f>$B$12+$D$12*B890</x:f>
        <x:v>0.013590995058461211</x:v>
      </x:c>
      <x:c r="D890" s="12" t="n">
        <x:f>D889*EXP(C890)</x:f>
        <x:v>174.71794219841385</x:v>
      </x:c>
      <x:c r="E890" s="16" t="n">
        <x:f>ABS(C890)</x:f>
        <x:v>0.013590995058461211</x:v>
      </x:c>
      <x:c r="F890" s="16" t="n">
        <x:f>C890^2</x:f>
        <x:v>0.00018471514667911708</x:v>
      </x:c>
      <x:c r="G890" s="1"/>
      <x:c r="H890" s="1"/>
      <x:c r="I890" s="1"/>
      <x:c r="J890" s="1"/>
      <x:c r="K890" s="1"/>
      <x:c r="L890" s="1"/>
      <x:c r="M890" s="1"/>
      <x:c r="N890" s="1"/>
    </x:row>
    <x:row r="891" ht="22" customHeight="1">
      <x:c r="A891" s="1" t="n">
        <x:v>875</x:v>
      </x:c>
      <x:c r="B891" s="16" t="n">
        <x:v>0.18297835934550655</x:v>
      </x:c>
      <x:c r="C891" s="16" t="n">
        <x:f>$B$12+$D$12*B891</x:f>
        <x:v>0.002911933156932651</x:v>
      </x:c>
      <x:c r="D891" s="12" t="n">
        <x:f>D890*EXP(C891)</x:f>
        <x:v>175.22745063464185</x:v>
      </x:c>
      <x:c r="E891" s="16" t="n">
        <x:f>ABS(C891)</x:f>
        <x:v>0.002911933156932651</x:v>
      </x:c>
      <x:c r="F891" s="16" t="n">
        <x:f>C891^2</x:f>
        <x:v>0.000008479354710443756</x:v>
      </x:c>
      <x:c r="G891" s="1"/>
      <x:c r="H891" s="1"/>
      <x:c r="I891" s="1"/>
      <x:c r="J891" s="1"/>
      <x:c r="K891" s="1"/>
      <x:c r="L891" s="1"/>
      <x:c r="M891" s="1"/>
      <x:c r="N891" s="1"/>
    </x:row>
    <x:row r="892" ht="22" customHeight="1">
      <x:c r="A892" s="1" t="n">
        <x:v>876</x:v>
      </x:c>
      <x:c r="B892" s="16" t="n">
        <x:v>0.550881986781504</x:v>
      </x:c>
      <x:c r="C892" s="16" t="n">
        <x:f>$B$12+$D$12*B892</x:f>
        <x:v>0.0077761068297045165</x:v>
      </x:c>
      <x:c r="D892" s="12" t="n">
        <x:f>D891*EXP(C892)</x:f>
        <x:v>176.5953495816283</x:v>
      </x:c>
      <x:c r="E892" s="16" t="n">
        <x:f>ABS(C892)</x:f>
        <x:v>0.0077761068297045165</x:v>
      </x:c>
      <x:c r="F892" s="16" t="n">
        <x:f>C892^2</x:f>
        <x:v>0.000060467837426977225</x:v>
      </x:c>
      <x:c r="G892" s="1"/>
      <x:c r="H892" s="1"/>
      <x:c r="I892" s="1"/>
      <x:c r="J892" s="1"/>
      <x:c r="K892" s="1"/>
      <x:c r="L892" s="1"/>
      <x:c r="M892" s="1"/>
      <x:c r="N892" s="1"/>
    </x:row>
    <x:row r="893" ht="22" customHeight="1">
      <x:c r="A893" s="1" t="n">
        <x:v>877</x:v>
      </x:c>
      <x:c r="B893" s="16" t="n">
        <x:v>0.20453713110825797</x:v>
      </x:c>
      <x:c r="C893" s="16" t="n">
        <x:f>$B$12+$D$12*B893</x:f>
        <x:v>0.0031969686994101874</x:v>
      </x:c>
      <x:c r="D893" s="12" t="n">
        <x:f>D892*EXP(C893)</x:f>
        <x:v>177.16082280517688</x:v>
      </x:c>
      <x:c r="E893" s="16" t="n">
        <x:f>ABS(C893)</x:f>
        <x:v>0.0031969686994101874</x:v>
      </x:c>
      <x:c r="F893" s="16" t="n">
        <x:f>C893^2</x:f>
        <x:v>0.000010220608865008466</x:v>
      </x:c>
      <x:c r="G893" s="1"/>
      <x:c r="H893" s="1"/>
      <x:c r="I893" s="1"/>
      <x:c r="J893" s="1"/>
      <x:c r="K893" s="1"/>
      <x:c r="L893" s="1"/>
      <x:c r="M893" s="1"/>
      <x:c r="N893" s="1"/>
    </x:row>
    <x:row r="894" ht="22" customHeight="1">
      <x:c r="A894" s="1" t="n">
        <x:v>878</x:v>
      </x:c>
      <x:c r="B894" s="16" t="n">
        <x:v>-0.4904397497819272</x:v>
      </x:c>
      <x:c r="C894" s="16" t="n">
        <x:f>$B$12+$D$12*B894</x:f>
        <x:v>-0.005991546974573579</x:v>
      </x:c>
      <x:c r="D894" s="12" t="n">
        <x:f>D893*EXP(C894)</x:f>
        <x:v>176.10252898778552</x:v>
      </x:c>
      <x:c r="E894" s="16" t="n">
        <x:f>ABS(C894)</x:f>
        <x:v>0.005991546974573579</x:v>
      </x:c>
      <x:c r="F894" s="16" t="n">
        <x:f>C894^2</x:f>
        <x:v>0.00003589863514852181</x:v>
      </x:c>
      <x:c r="G894" s="1"/>
      <x:c r="H894" s="1"/>
      <x:c r="I894" s="1"/>
      <x:c r="J894" s="1"/>
      <x:c r="K894" s="1"/>
      <x:c r="L894" s="1"/>
      <x:c r="M894" s="1"/>
      <x:c r="N894" s="1"/>
    </x:row>
    <x:row r="895" ht="22" customHeight="1">
      <x:c r="A895" s="1" t="n">
        <x:v>879</x:v>
      </x:c>
      <x:c r="B895" s="16" t="n">
        <x:v>1.3223723701161154</x:v>
      </x:c>
      <x:c r="C895" s="16" t="n">
        <x:f>$B$12+$D$12*B895</x:f>
        <x:v>0.017976232437505773</x:v>
      </x:c>
      <x:c r="D895" s="12" t="n">
        <x:f>D894*EXP(C895)</x:f>
        <x:v>179.29681356510972</x:v>
      </x:c>
      <x:c r="E895" s="16" t="n">
        <x:f>ABS(C895)</x:f>
        <x:v>0.017976232437505773</x:v>
      </x:c>
      <x:c r="F895" s="16" t="n">
        <x:f>C895^2</x:f>
        <x:v>0.00032314493264723476</x:v>
      </x:c>
      <x:c r="G895" s="1"/>
      <x:c r="H895" s="1"/>
      <x:c r="I895" s="1"/>
      <x:c r="J895" s="1"/>
      <x:c r="K895" s="1"/>
      <x:c r="L895" s="1"/>
      <x:c r="M895" s="1"/>
      <x:c r="N895" s="1"/>
    </x:row>
    <x:row r="896" ht="22" customHeight="1">
      <x:c r="A896" s="1" t="n">
        <x:v>880</x:v>
      </x:c>
      <x:c r="B896" s="16" t="n">
        <x:v>0.7018009378393207</x:v>
      </x:c>
      <x:c r="C896" s="16" t="n">
        <x:f>$B$12+$D$12*B896</x:f>
        <x:v>0.009771455431113685</x:v>
      </x:c>
      <x:c r="D896" s="12" t="n">
        <x:f>D895*EXP(C896)</x:f>
        <x:v>181.05739208656865</x:v>
      </x:c>
      <x:c r="E896" s="16" t="n">
        <x:f>ABS(C896)</x:f>
        <x:v>0.009771455431113685</x:v>
      </x:c>
      <x:c r="F896" s="16" t="n">
        <x:f>C896^2</x:f>
        <x:v>0.00009548134124224113</x:v>
      </x:c>
      <x:c r="G896" s="1"/>
      <x:c r="H896" s="1"/>
      <x:c r="I896" s="1"/>
      <x:c r="J896" s="1"/>
      <x:c r="K896" s="1"/>
      <x:c r="L896" s="1"/>
      <x:c r="M896" s="1"/>
      <x:c r="N896" s="1"/>
    </x:row>
    <x:row r="897" ht="22" customHeight="1">
      <x:c r="A897" s="1" t="n">
        <x:v>881</x:v>
      </x:c>
      <x:c r="B897" s="16" t="n">
        <x:v>-0.7488221340571389</x:v>
      </x:c>
      <x:c r="C897" s="16" t="n">
        <x:f>$B$12+$D$12*B897</x:f>
        <x:v>-0.009407704623951883</x:v>
      </x:c>
      <x:c r="D897" s="12" t="n">
        <x:f>D896*EXP(C897)</x:f>
        <x:v>179.36204478900146</x:v>
      </x:c>
      <x:c r="E897" s="16" t="n">
        <x:f>ABS(C897)</x:f>
        <x:v>0.009407704623951883</x:v>
      </x:c>
      <x:c r="F897" s="16" t="n">
        <x:f>C897^2</x:f>
        <x:v>0.00008850490629152564</x:v>
      </x:c>
      <x:c r="G897" s="1"/>
      <x:c r="H897" s="1"/>
      <x:c r="I897" s="1"/>
      <x:c r="J897" s="1"/>
      <x:c r="K897" s="1"/>
      <x:c r="L897" s="1"/>
      <x:c r="M897" s="1"/>
      <x:c r="N897" s="1"/>
    </x:row>
    <x:row r="898" ht="22" customHeight="1">
      <x:c r="A898" s="1" t="n">
        <x:v>882</x:v>
      </x:c>
      <x:c r="B898" s="16" t="n">
        <x:v>-0.40499987965727224</x:v>
      </x:c>
      <x:c r="C898" s="16" t="n">
        <x:f>$B$12+$D$12*B898</x:f>
        <x:v>-0.004861918626623427</x:v>
      </x:c>
      <x:c r="D898" s="12" t="n">
        <x:f>D897*EXP(C898)</x:f>
        <x:v>178.49211759377891</x:v>
      </x:c>
      <x:c r="E898" s="16" t="n">
        <x:f>ABS(C898)</x:f>
        <x:v>0.004861918626623427</x:v>
      </x:c>
      <x:c r="F898" s="16" t="n">
        <x:f>C898^2</x:f>
        <x:v>0.000023638252731907833</x:v>
      </x:c>
      <x:c r="G898" s="1"/>
      <x:c r="H898" s="1"/>
      <x:c r="I898" s="1"/>
      <x:c r="J898" s="1"/>
      <x:c r="K898" s="1"/>
      <x:c r="L898" s="1"/>
      <x:c r="M898" s="1"/>
      <x:c r="N898" s="1"/>
    </x:row>
    <x:row r="899" ht="22" customHeight="1">
      <x:c r="A899" s="1" t="n">
        <x:v>883</x:v>
      </x:c>
      <x:c r="B899" s="16" t="n">
        <x:v>-1.7467045181561953</x:v>
      </x:c>
      <x:c r="C899" s="16" t="n">
        <x:f>$B$12+$D$12*B899</x:f>
        <x:v>-0.022601032602491203</x:v>
      </x:c>
      <x:c r="D899" s="12" t="n">
        <x:f>D898*EXP(C899)</x:f>
        <x:v>174.50325739767916</x:v>
      </x:c>
      <x:c r="E899" s="16" t="n">
        <x:f>ABS(C899)</x:f>
        <x:v>0.022601032602491203</x:v>
      </x:c>
      <x:c r="F899" s="16" t="n">
        <x:f>C899^2</x:f>
        <x:v>0.0005108066746988703</x:v>
      </x:c>
      <x:c r="G899" s="1"/>
      <x:c r="H899" s="1"/>
      <x:c r="I899" s="1"/>
      <x:c r="J899" s="1"/>
      <x:c r="K899" s="1"/>
      <x:c r="L899" s="1"/>
      <x:c r="M899" s="1"/>
      <x:c r="N899" s="1"/>
    </x:row>
    <x:row r="900" ht="22" customHeight="1">
      <x:c r="A900" s="1" t="n">
        <x:v>884</x:v>
      </x:c>
      <x:c r="B900" s="16" t="n">
        <x:v>0.6728797388104154</x:v>
      </x:c>
      <x:c r="C900" s="16" t="n">
        <x:f>$B$12+$D$12*B900</x:f>
        <x:v>0.009389078840043325</x:v>
      </x:c>
      <x:c r="D900" s="12" t="n">
        <x:f>D899*EXP(C900)</x:f>
        <x:v>176.14939801834947</x:v>
      </x:c>
      <x:c r="E900" s="16" t="n">
        <x:f>ABS(C900)</x:f>
        <x:v>0.009389078840043325</x:v>
      </x:c>
      <x:c r="F900" s="16" t="n">
        <x:f>C900^2</x:f>
        <x:v>0.00008815480146454932</x:v>
      </x:c>
      <x:c r="G900" s="1"/>
      <x:c r="H900" s="1"/>
      <x:c r="I900" s="1"/>
      <x:c r="J900" s="1"/>
      <x:c r="K900" s="1"/>
      <x:c r="L900" s="1"/>
      <x:c r="M900" s="1"/>
      <x:c r="N900" s="1"/>
    </x:row>
    <x:row r="901" ht="22" customHeight="1">
      <x:c r="A901" s="1" t="n">
        <x:v>885</x:v>
      </x:c>
      <x:c r="B901" s="16" t="n">
        <x:v>0.6316218872595222</x:v>
      </x:c>
      <x:c r="C901" s="16" t="n">
        <x:f>$B$12+$D$12*B901</x:f>
        <x:v>0.008843595348326742</x:v>
      </x:c>
      <x:c r="D901" s="12" t="n">
        <x:f>D900*EXP(C901)</x:f>
        <x:v>177.71410061575227</x:v>
      </x:c>
      <x:c r="E901" s="16" t="n">
        <x:f>ABS(C901)</x:f>
        <x:v>0.008843595348326742</x:v>
      </x:c>
      <x:c r="F901" s="16" t="n">
        <x:f>C901^2</x:f>
        <x:v>0.00007820917868494638</x:v>
      </x:c>
      <x:c r="G901" s="1"/>
      <x:c r="H901" s="1"/>
      <x:c r="I901" s="1"/>
      <x:c r="J901" s="1"/>
      <x:c r="K901" s="1"/>
      <x:c r="L901" s="1"/>
      <x:c r="M901" s="1"/>
      <x:c r="N901" s="1"/>
    </x:row>
    <x:row r="902" ht="22" customHeight="1">
      <x:c r="A902" s="1" t="n">
        <x:v>886</x:v>
      </x:c>
      <x:c r="B902" s="16" t="n">
        <x:v>1.4328187454815997</x:v>
      </x:c>
      <x:c r="C902" s="16" t="n">
        <x:f>$B$12+$D$12*B902</x:f>
        <x:v>0.019436479935063613</x:v>
      </x:c>
      <x:c r="D902" s="12" t="n">
        <x:f>D901*EXP(C902)</x:f>
        <x:v>181.20202383740366</x:v>
      </x:c>
      <x:c r="E902" s="16" t="n">
        <x:f>ABS(C902)</x:f>
        <x:v>0.019436479935063613</x:v>
      </x:c>
      <x:c r="F902" s="16" t="n">
        <x:f>C902^2</x:f>
        <x:v>0.00037777675226613043</x:v>
      </x:c>
      <x:c r="G902" s="1"/>
      <x:c r="H902" s="1"/>
      <x:c r="I902" s="1"/>
      <x:c r="J902" s="1"/>
      <x:c r="K902" s="1"/>
      <x:c r="L902" s="1"/>
      <x:c r="M902" s="1"/>
      <x:c r="N902" s="1"/>
    </x:row>
    <x:row r="903" ht="22" customHeight="1">
      <x:c r="A903" s="1" t="n">
        <x:v>887</x:v>
      </x:c>
      <x:c r="B903" s="16" t="n">
        <x:v>-1.4129763461084572</x:v>
      </x:c>
      <x:c r="C903" s="16" t="n">
        <x:f>$B$12+$D$12*B903</x:f>
        <x:v>-0.018188703755259907</x:v>
      </x:c>
      <x:c r="D903" s="12" t="n">
        <x:f>D902*EXP(C903)</x:f>
        <x:v>177.9359864404505</x:v>
      </x:c>
      <x:c r="E903" s="16" t="n">
        <x:f>ABS(C903)</x:f>
        <x:v>0.018188703755259907</x:v>
      </x:c>
      <x:c r="F903" s="16" t="n">
        <x:f>C903^2</x:f>
        <x:v>0.00033082894429660583</x:v>
      </x:c>
      <x:c r="G903" s="1"/>
      <x:c r="H903" s="1"/>
      <x:c r="I903" s="1"/>
      <x:c r="J903" s="1"/>
      <x:c r="K903" s="1"/>
      <x:c r="L903" s="1"/>
      <x:c r="M903" s="1"/>
      <x:c r="N903" s="1"/>
    </x:row>
    <x:row r="904" ht="22" customHeight="1">
      <x:c r="A904" s="1" t="n">
        <x:v>888</x:v>
      </x:c>
      <x:c r="B904" s="16" t="n">
        <x:v>-0.8472167884152187</x:v>
      </x:c>
      <x:c r="C904" s="16" t="n">
        <x:f>$B$12+$D$12*B904</x:f>
        <x:v>-0.010708612393210887</x:v>
      </x:c>
      <x:c r="D904" s="12" t="n">
        <x:f>D903*EXP(C904)</x:f>
        <x:v>176.04070495988282</x:v>
      </x:c>
      <x:c r="E904" s="16" t="n">
        <x:f>ABS(C904)</x:f>
        <x:v>0.010708612393210887</x:v>
      </x:c>
      <x:c r="F904" s="16" t="n">
        <x:f>C904^2</x:f>
        <x:v>0.0001146743793880298</x:v>
      </x:c>
      <x:c r="G904" s="1"/>
      <x:c r="H904" s="1"/>
      <x:c r="I904" s="1"/>
      <x:c r="J904" s="1"/>
      <x:c r="K904" s="1"/>
      <x:c r="L904" s="1"/>
      <x:c r="M904" s="1"/>
      <x:c r="N904" s="1"/>
    </x:row>
    <x:row r="905" ht="22" customHeight="1">
      <x:c r="A905" s="1" t="n">
        <x:v>889</x:v>
      </x:c>
      <x:c r="B905" s="16" t="n">
        <x:v>-0.281196512093584</x:v>
      </x:c>
      <x:c r="C905" s="16" t="n">
        <x:f>$B$12+$D$12*B905</x:f>
        <x:v>-0.0032250739852681233</x:v>
      </x:c>
      <x:c r="D905" s="12" t="n">
        <x:f>D904*EXP(C905)</x:f>
        <x:v>175.47387518724977</x:v>
      </x:c>
      <x:c r="E905" s="16" t="n">
        <x:f>ABS(C905)</x:f>
        <x:v>0.0032250739852681233</x:v>
      </x:c>
      <x:c r="F905" s="16" t="n">
        <x:f>C905^2</x:f>
        <x:v>0.000010401102210453215</x:v>
      </x:c>
      <x:c r="G905" s="1"/>
      <x:c r="H905" s="1"/>
      <x:c r="I905" s="1"/>
      <x:c r="J905" s="1"/>
      <x:c r="K905" s="1"/>
      <x:c r="L905" s="1"/>
      <x:c r="M905" s="1"/>
      <x:c r="N905" s="1"/>
    </x:row>
    <x:row r="906" ht="22" customHeight="1">
      <x:c r="A906" s="1" t="n">
        <x:v>890</x:v>
      </x:c>
      <x:c r="B906" s="16" t="n">
        <x:v>0.4296280459269211</x:v>
      </x:c>
      <x:c r="C906" s="16" t="n">
        <x:f>$B$12+$D$12*B906</x:f>
        <x:v>0.006172968989137005</x:v>
      </x:c>
      <x:c r="D906" s="12" t="n">
        <x:f>D905*EXP(C906)</x:f>
        <x:v>176.5604201310258</x:v>
      </x:c>
      <x:c r="E906" s="16" t="n">
        <x:f>ABS(C906)</x:f>
        <x:v>0.006172968989137005</x:v>
      </x:c>
      <x:c r="F906" s="16" t="n">
        <x:f>C906^2</x:f>
        <x:v>0.000038105546140847134</x:v>
      </x:c>
      <x:c r="G906" s="1"/>
      <x:c r="H906" s="1"/>
      <x:c r="I906" s="1"/>
      <x:c r="J906" s="1"/>
      <x:c r="K906" s="1"/>
      <x:c r="L906" s="1"/>
      <x:c r="M906" s="1"/>
      <x:c r="N906" s="1"/>
    </x:row>
    <x:row r="907" ht="22" customHeight="1">
      <x:c r="A907" s="1" t="n">
        <x:v>891</x:v>
      </x:c>
      <x:c r="B907" s="16" t="n">
        <x:v>2.124596985023172</x:v>
      </x:c>
      <x:c r="C907" s="16" t="n">
        <x:f>$B$12+$D$12*B907</x:f>
        <x:v>0.02858270533008222</x:v>
      </x:c>
      <x:c r="D907" s="12" t="n">
        <x:f>D906*EXP(C907)</x:f>
        <x:v>181.67980905719577</x:v>
      </x:c>
      <x:c r="E907" s="16" t="n">
        <x:f>ABS(C907)</x:f>
        <x:v>0.02858270533008222</x:v>
      </x:c>
      <x:c r="F907" s="16" t="n">
        <x:f>C907^2</x:f>
        <x:v>0.0008169710439863105</x:v>
      </x:c>
      <x:c r="G907" s="1"/>
      <x:c r="H907" s="1"/>
      <x:c r="I907" s="1"/>
      <x:c r="J907" s="1"/>
      <x:c r="K907" s="1"/>
      <x:c r="L907" s="1"/>
      <x:c r="M907" s="1"/>
      <x:c r="N907" s="1"/>
    </x:row>
    <x:row r="908" ht="22" customHeight="1">
      <x:c r="A908" s="1" t="n">
        <x:v>892</x:v>
      </x:c>
      <x:c r="B908" s="16" t="n">
        <x:v>0.4059852085362249</x:v>
      </x:c>
      <x:c r="C908" s="16" t="n">
        <x:f>$B$12+$D$12*B908</x:f>
        <x:v>0.005860379336278914</x:v>
      </x:c>
      <x:c r="D908" s="12" t="n">
        <x:f>D907*EXP(C908)</x:f>
        <x:v>182.7476475692327</x:v>
      </x:c>
      <x:c r="E908" s="16" t="n">
        <x:f>ABS(C908)</x:f>
        <x:v>0.005860379336278914</x:v>
      </x:c>
      <x:c r="F908" s="16" t="n">
        <x:f>C908^2</x:f>
        <x:v>0.00003434404596508489</x:v>
      </x:c>
      <x:c r="G908" s="1"/>
      <x:c r="H908" s="1"/>
      <x:c r="I908" s="1"/>
      <x:c r="J908" s="1"/>
      <x:c r="K908" s="1"/>
      <x:c r="L908" s="1"/>
      <x:c r="M908" s="1"/>
      <x:c r="N908" s="1"/>
    </x:row>
    <x:row r="909" ht="22" customHeight="1">
      <x:c r="A909" s="1" t="n">
        <x:v>893</x:v>
      </x:c>
      <x:c r="B909" s="16" t="n">
        <x:v>-0.271726000767158</x:v>
      </x:c>
      <x:c r="C909" s="16" t="n">
        <x:f>$B$12+$D$12*B909</x:f>
        <x:v>-0.0030998612707789116</x:v>
      </x:c>
      <x:c r="D909" s="12" t="n">
        <x:f>D908*EXP(C909)</x:f>
        <x:v>182.18203233151456</x:v>
      </x:c>
      <x:c r="E909" s="16" t="n">
        <x:f>ABS(C909)</x:f>
        <x:v>0.0030998612707789116</x:v>
      </x:c>
      <x:c r="F909" s="16" t="n">
        <x:f>C909^2</x:f>
        <x:v>0.000009609139898075049</x:v>
      </x:c>
      <x:c r="G909" s="1"/>
      <x:c r="H909" s="1"/>
      <x:c r="I909" s="1"/>
      <x:c r="J909" s="1"/>
      <x:c r="K909" s="1"/>
      <x:c r="L909" s="1"/>
      <x:c r="M909" s="1"/>
      <x:c r="N909" s="1"/>
    </x:row>
    <x:row r="910" ht="22" customHeight="1">
      <x:c r="A910" s="1" t="n">
        <x:v>894</x:v>
      </x:c>
      <x:c r="B910" s="16" t="n">
        <x:v>0.3173324615541788</x:v>
      </x:c>
      <x:c r="C910" s="16" t="n">
        <x:f>$B$12+$D$12*B910</x:f>
        <x:v>0.004688272497065997</x:v>
      </x:c>
      <x:c r="D910" s="12" t="n">
        <x:f>D909*EXP(C910)</x:f>
        <x:v>183.03815664706875</x:v>
      </x:c>
      <x:c r="E910" s="16" t="n">
        <x:f>ABS(C910)</x:f>
        <x:v>0.004688272497065997</x:v>
      </x:c>
      <x:c r="F910" s="16" t="n">
        <x:f>C910^2</x:f>
        <x:v>0.000021979899006745442</x:v>
      </x:c>
      <x:c r="G910" s="1"/>
      <x:c r="H910" s="1"/>
      <x:c r="I910" s="1"/>
      <x:c r="J910" s="1"/>
      <x:c r="K910" s="1"/>
      <x:c r="L910" s="1"/>
      <x:c r="M910" s="1"/>
      <x:c r="N910" s="1"/>
    </x:row>
    <x:row r="911" ht="22" customHeight="1">
      <x:c r="A911" s="1" t="n">
        <x:v>895</x:v>
      </x:c>
      <x:c r="B911" s="16" t="n">
        <x:v>0.9441342706818158</x:v>
      </x:c>
      <x:c r="C911" s="16" t="n">
        <x:f>$B$12+$D$12*B911</x:f>
        <x:v>0.012975423344837471</x:v>
      </x:c>
      <x:c r="D911" s="12" t="n">
        <x:f>D910*EXP(C911)</x:f>
        <x:v>185.42862937709714</x:v>
      </x:c>
      <x:c r="E911" s="16" t="n">
        <x:f>ABS(C911)</x:f>
        <x:v>0.012975423344837471</x:v>
      </x:c>
      <x:c r="F911" s="16" t="n">
        <x:f>C911^2</x:f>
        <x:v>0.0001683616109777532</x:v>
      </x:c>
      <x:c r="G911" s="1"/>
      <x:c r="H911" s="1"/>
      <x:c r="I911" s="1"/>
      <x:c r="J911" s="1"/>
      <x:c r="K911" s="1"/>
      <x:c r="L911" s="1"/>
      <x:c r="M911" s="1"/>
      <x:c r="N911" s="1"/>
    </x:row>
    <x:row r="912" ht="22" customHeight="1">
      <x:c r="A912" s="1" t="n">
        <x:v>896</x:v>
      </x:c>
      <x:c r="B912" s="16" t="n">
        <x:v>-1.246986957831103</x:v>
      </x:c>
      <x:c r="C912" s="16" t="n">
        <x:f>$B$12+$D$12*B912</x:f>
        <x:v>-0.015994103995412002</x:v>
      </x:c>
      <x:c r="D912" s="12" t="n">
        <x:f>D911*EXP(C912)</x:f>
        <x:v>182.48645602821745</x:v>
      </x:c>
      <x:c r="E912" s="16" t="n">
        <x:f>ABS(C912)</x:f>
        <x:v>0.015994103995412002</x:v>
      </x:c>
      <x:c r="F912" s="16" t="n">
        <x:f>C912^2</x:f>
        <x:v>0.00025581136261605415</x:v>
      </x:c>
      <x:c r="G912" s="1"/>
      <x:c r="H912" s="1"/>
      <x:c r="I912" s="1"/>
      <x:c r="J912" s="1"/>
      <x:c r="K912" s="1"/>
      <x:c r="L912" s="1"/>
      <x:c r="M912" s="1"/>
      <x:c r="N912" s="1"/>
    </x:row>
    <x:row r="913" ht="22" customHeight="1">
      <x:c r="A913" s="1" t="n">
        <x:v>897</x:v>
      </x:c>
      <x:c r="B913" s="16" t="n">
        <x:v>-0.03992363008972898</x:v>
      </x:c>
      <x:c r="C913" s="16" t="n">
        <x:f>$B$12+$D$12*B913</x:f>
        <x:v>-0.00003512663743690655</x:v>
      </x:c>
      <x:c r="D913" s="12" t="n">
        <x:f>D912*EXP(C913)</x:f>
        <x:v>182.48004600522134</x:v>
      </x:c>
      <x:c r="E913" s="16" t="n">
        <x:f>ABS(C913)</x:f>
        <x:v>0.00003512663743690655</x:v>
      </x:c>
      <x:c r="F913" s="16" t="n">
        <x:f>C913^2</x:f>
        <x:v>1.233880657623885e-9</x:v>
      </x:c>
      <x:c r="G913" s="1"/>
      <x:c r="H913" s="1"/>
      <x:c r="I913" s="1"/>
      <x:c r="J913" s="1"/>
      <x:c r="K913" s="1"/>
      <x:c r="L913" s="1"/>
      <x:c r="M913" s="1"/>
      <x:c r="N913" s="1"/>
    </x:row>
    <x:row r="914" ht="22" customHeight="1">
      <x:c r="A914" s="1" t="n">
        <x:v>898</x:v>
      </x:c>
      <x:c r="B914" s="16" t="n">
        <x:v>0.9605913149123294</x:v>
      </x:c>
      <x:c r="C914" s="16" t="n">
        <x:f>$B$12+$D$12*B914</x:f>
        <x:v>0.013193007286141862</x:v>
      </x:c>
      <x:c r="D914" s="12" t="n">
        <x:f>D913*EXP(C914)</x:f>
        <x:v>184.9034574737639</x:v>
      </x:c>
      <x:c r="E914" s="16" t="n">
        <x:f>ABS(C914)</x:f>
        <x:v>0.013193007286141862</x:v>
      </x:c>
      <x:c r="F914" s="16" t="n">
        <x:f>C914^2</x:f>
        <x:v>0.00017405544125219226</x:v>
      </x:c>
      <x:c r="G914" s="1"/>
      <x:c r="H914" s="1"/>
      <x:c r="I914" s="1"/>
      <x:c r="J914" s="1"/>
      <x:c r="K914" s="1"/>
      <x:c r="L914" s="1"/>
      <x:c r="M914" s="1"/>
      <x:c r="N914" s="1"/>
    </x:row>
    <x:row r="915" ht="22" customHeight="1">
      <x:c r="A915" s="1" t="n">
        <x:v>899</x:v>
      </x:c>
      <x:c r="B915" s="16" t="n">
        <x:v>-0.9146250888954095</x:v>
      </x:c>
      <x:c r="C915" s="16" t="n">
        <x:f>$B$12+$D$12*B915</x:f>
        <x:v>-0.011599839486586256</x:v>
      </x:c>
      <x:c r="D915" s="12" t="n">
        <x:f>D914*EXP(C915)</x:f>
        <x:v>182.77099904554478</x:v>
      </x:c>
      <x:c r="E915" s="16" t="n">
        <x:f>ABS(C915)</x:f>
        <x:v>0.011599839486586256</x:v>
      </x:c>
      <x:c r="F915" s="16" t="n">
        <x:f>C915^2</x:f>
        <x:v>0.0001345562761145657</x:v>
      </x:c>
      <x:c r="G915" s="1"/>
      <x:c r="H915" s="1"/>
      <x:c r="I915" s="1"/>
      <x:c r="J915" s="1"/>
      <x:c r="K915" s="1"/>
      <x:c r="L915" s="1"/>
      <x:c r="M915" s="1"/>
      <x:c r="N915" s="1"/>
    </x:row>
    <x:row r="916" ht="22" customHeight="1">
      <x:c r="A916" s="1" t="n">
        <x:v>900</x:v>
      </x:c>
      <x:c r="B916" s="16" t="n">
        <x:v>0.6964158292191203</x:v>
      </x:c>
      <x:c r="C916" s="16" t="n">
        <x:f>$B$12+$D$12*B916</x:f>
        <x:v>0.00970025715628843</x:v>
      </x:c>
      <x:c r="D916" s="12" t="n">
        <x:f>D915*EXP(C916)</x:f>
        <x:v>184.5525515260225</x:v>
      </x:c>
      <x:c r="E916" s="16" t="n">
        <x:f>ABS(C916)</x:f>
        <x:v>0.00970025715628843</x:v>
      </x:c>
      <x:c r="F916" s="16" t="n">
        <x:f>C916^2</x:f>
        <x:v>0.00009409498889812491</x:v>
      </x:c>
      <x:c r="G916" s="1"/>
      <x:c r="H916" s="1"/>
      <x:c r="I916" s="1"/>
      <x:c r="J916" s="1"/>
      <x:c r="K916" s="1"/>
      <x:c r="L916" s="1"/>
      <x:c r="M916" s="1"/>
      <x:c r="N916" s="1"/>
    </x:row>
    <x:row r="917" ht="22" customHeight="1">
      <x:c r="A917" s="1" t="n">
        <x:v>901</x:v>
      </x:c>
      <x:c r="B917" s="16" t="n">
        <x:v>-0.023819498272711896</x:v>
      </x:c>
      <x:c r="C917" s="16" t="n">
        <x:f>$B$12+$D$12*B917</x:f>
        <x:v>0.00017779133391636456</x:v>
      </x:c>
      <x:c r="D917" s="12" t="n">
        <x:f>D916*EXP(C917)</x:f>
        <x:v>184.58536628733964</x:v>
      </x:c>
      <x:c r="E917" s="16" t="n">
        <x:f>ABS(C917)</x:f>
        <x:v>0.00017779133391636456</x:v>
      </x:c>
      <x:c r="F917" s="16" t="n">
        <x:f>C917^2</x:f>
        <x:v>3.1609758415760245e-8</x:v>
      </x:c>
      <x:c r="G917" s="1"/>
      <x:c r="H917" s="1"/>
      <x:c r="I917" s="1"/>
      <x:c r="J917" s="1"/>
      <x:c r="K917" s="1"/>
      <x:c r="L917" s="1"/>
      <x:c r="M917" s="1"/>
      <x:c r="N917" s="1"/>
    </x:row>
    <x:row r="918" ht="22" customHeight="1">
      <x:c r="A918" s="1" t="n">
        <x:v>902</x:v>
      </x:c>
      <x:c r="B918" s="16" t="n">
        <x:v>0.09685227722861467</x:v>
      </x:c>
      <x:c r="C918" s="16" t="n">
        <x:f>$B$12+$D$12*B918</x:f>
        <x:v>0.001773232176755844</x:v>
      </x:c>
      <x:c r="D918" s="12" t="n">
        <x:f>D917*EXP(C918)</x:f>
        <x:v>184.91296937052115</x:v>
      </x:c>
      <x:c r="E918" s="16" t="n">
        <x:f>ABS(C918)</x:f>
        <x:v>0.001773232176755844</x:v>
      </x:c>
      <x:c r="F918" s="16" t="n">
        <x:f>C918^2</x:f>
        <x:v>0.0000031443523526822684</x:v>
      </x:c>
      <x:c r="G918" s="1"/>
      <x:c r="H918" s="1"/>
      <x:c r="I918" s="1"/>
      <x:c r="J918" s="1"/>
      <x:c r="K918" s="1"/>
      <x:c r="L918" s="1"/>
      <x:c r="M918" s="1"/>
      <x:c r="N918" s="1"/>
    </x:row>
    <x:row r="919" ht="22" customHeight="1">
      <x:c r="A919" s="1" t="n">
        <x:v>903</x:v>
      </x:c>
      <x:c r="B919" s="16" t="n">
        <x:v>-0.7801522638946802</x:v>
      </x:c>
      <x:c r="C919" s="16" t="n">
        <x:f>$B$12+$D$12*B919</x:f>
        <x:v>-0.00982193047375491</x:v>
      </x:c>
      <x:c r="D919" s="12" t="n">
        <x:f>D918*EXP(C919)</x:f>
        <x:v>183.1056572181291</x:v>
      </x:c>
      <x:c r="E919" s="16" t="n">
        <x:f>ABS(C919)</x:f>
        <x:v>0.00982193047375491</x:v>
      </x:c>
      <x:c r="F919" s="16" t="n">
        <x:f>C919^2</x:f>
        <x:v>0.00009647031823127535</x:v>
      </x:c>
      <x:c r="G919" s="1"/>
      <x:c r="H919" s="1"/>
      <x:c r="I919" s="1"/>
      <x:c r="J919" s="1"/>
      <x:c r="K919" s="1"/>
      <x:c r="L919" s="1"/>
      <x:c r="M919" s="1"/>
      <x:c r="N919" s="1"/>
    </x:row>
    <x:row r="920" ht="22" customHeight="1">
      <x:c r="A920" s="1" t="n">
        <x:v>904</x:v>
      </x:c>
      <x:c r="B920" s="16" t="n">
        <x:v>-1.393778614093534</x:v>
      </x:c>
      <x:c r="C920" s="16" t="n">
        <x:f>$B$12+$D$12*B920</x:f>
        <x:v>-0.017934884288203515</x:v>
      </x:c>
      <x:c r="D920" s="12" t="n">
        <x:f>D919*EXP(C920)</x:f>
        <x:v>179.85095206548306</x:v>
      </x:c>
      <x:c r="E920" s="16" t="n">
        <x:f>ABS(C920)</x:f>
        <x:v>0.017934884288203515</x:v>
      </x:c>
      <x:c r="F920" s="16" t="n">
        <x:f>C920^2</x:f>
        <x:v>0.0003216600744312493</x:v>
      </x:c>
      <x:c r="G920" s="1"/>
      <x:c r="H920" s="1"/>
      <x:c r="I920" s="1"/>
      <x:c r="J920" s="1"/>
      <x:c r="K920" s="1"/>
      <x:c r="L920" s="1"/>
      <x:c r="M920" s="1"/>
      <x:c r="N920" s="1"/>
    </x:row>
    <x:row r="921" ht="22" customHeight="1">
      <x:c r="A921" s="1" t="n">
        <x:v>905</x:v>
      </x:c>
      <x:c r="B921" s="16" t="n">
        <x:v>-0.8693988236820064</x:v>
      </x:c>
      <x:c r="C921" s="16" t="n">
        <x:f>$B$12+$D$12*B921</x:f>
        <x:v>-0.011001888305452269</x:v>
      </x:c>
      <x:c r="D921" s="12" t="n">
        <x:f>D920*EXP(C921)</x:f>
        <x:v>177.88309688996327</x:v>
      </x:c>
      <x:c r="E921" s="16" t="n">
        <x:f>ABS(C921)</x:f>
        <x:v>0.011001888305452269</x:v>
      </x:c>
      <x:c r="F921" s="16" t="n">
        <x:f>C921^2</x:f>
        <x:v>0.0001210415462856474</x:v>
      </x:c>
      <x:c r="G921" s="1"/>
      <x:c r="H921" s="1"/>
      <x:c r="I921" s="1"/>
      <x:c r="J921" s="1"/>
      <x:c r="K921" s="1"/>
      <x:c r="L921" s="1"/>
      <x:c r="M921" s="1"/>
      <x:c r="N921" s="1"/>
    </x:row>
    <x:row r="922" ht="22" customHeight="1">
      <x:c r="A922" s="1" t="n">
        <x:v>906</x:v>
      </x:c>
      <x:c r="B922" s="16" t="n">
        <x:v>0.7731370595102426</x:v>
      </x:c>
      <x:c r="C922" s="16" t="n">
        <x:f>$B$12+$D$12*B922</x:f>
        <x:v>0.010714613527617402</x:v>
      </x:c>
      <x:c r="D922" s="12" t="n">
        <x:f>D921*EXP(C922)</x:f>
        <x:v>179.79929284373603</x:v>
      </x:c>
      <x:c r="E922" s="16" t="n">
        <x:f>ABS(C922)</x:f>
        <x:v>0.010714613527617402</x:v>
      </x:c>
      <x:c r="F922" s="16" t="n">
        <x:f>C922^2</x:f>
        <x:v>0.00011480294304620184</x:v>
      </x:c>
      <x:c r="G922" s="1"/>
      <x:c r="H922" s="1"/>
      <x:c r="I922" s="1"/>
      <x:c r="J922" s="1"/>
      <x:c r="K922" s="1"/>
      <x:c r="L922" s="1"/>
      <x:c r="M922" s="1"/>
      <x:c r="N922" s="1"/>
    </x:row>
    <x:row r="923" ht="22" customHeight="1">
      <x:c r="A923" s="1" t="n">
        <x:v>907</x:v>
      </x:c>
      <x:c r="B923" s="16" t="n">
        <x:v>-0.3173321843906635</x:v>
      </x:c>
      <x:c r="C923" s="16" t="n">
        <x:f>$B$12+$D$12*B923</x:f>
        <x:v>-0.003702835476940134</x:v>
      </x:c>
      <x:c r="D923" s="12" t="n">
        <x:f>D922*EXP(C923)</x:f>
        <x:v>179.1347567366891</x:v>
      </x:c>
      <x:c r="E923" s="16" t="n">
        <x:f>ABS(C923)</x:f>
        <x:v>0.003702835476940134</x:v>
      </x:c>
      <x:c r="F923" s="16" t="n">
        <x:f>C923^2</x:f>
        <x:v>0.000013710990569286469</x:v>
      </x:c>
      <x:c r="G923" s="1"/>
      <x:c r="H923" s="1"/>
      <x:c r="I923" s="1"/>
      <x:c r="J923" s="1"/>
      <x:c r="K923" s="1"/>
      <x:c r="L923" s="1"/>
      <x:c r="M923" s="1"/>
      <x:c r="N923" s="1"/>
    </x:row>
    <x:row r="924" ht="22" customHeight="1">
      <x:c r="A924" s="1" t="n">
        <x:v>908</x:v>
      </x:c>
      <x:c r="B924" s="16" t="n">
        <x:v>-0.8613504943845295</x:v>
      </x:c>
      <x:c r="C924" s="16" t="n">
        <x:f>$B$12+$D$12*B924</x:f>
        <x:v>-0.010895478722726977</x:v>
      </x:c>
      <x:c r="D924" s="12" t="n">
        <x:f>D923*EXP(C924)</x:f>
        <x:v>177.19359196904531</x:v>
      </x:c>
      <x:c r="E924" s="16" t="n">
        <x:f>ABS(C924)</x:f>
        <x:v>0.010895478722726977</x:v>
      </x:c>
      <x:c r="F924" s="16" t="n">
        <x:f>C924^2</x:f>
        <x:v>0.00011871145659739628</x:v>
      </x:c>
      <x:c r="G924" s="1"/>
      <x:c r="H924" s="1"/>
      <x:c r="I924" s="1"/>
      <x:c r="J924" s="1"/>
      <x:c r="K924" s="1"/>
      <x:c r="L924" s="1"/>
      <x:c r="M924" s="1"/>
      <x:c r="N924" s="1"/>
    </x:row>
    <x:row r="925" ht="22" customHeight="1">
      <x:c r="A925" s="1" t="n">
        <x:v>909</x:v>
      </x:c>
      <x:c r="B925" s="16" t="n">
        <x:v>1.420404666355711</x:v>
      </x:c>
      <x:c r="C925" s="16" t="n">
        <x:f>$B$12+$D$12*B925</x:f>
        <x:v>0.019272349352071852</x:v>
      </x:c>
      <x:c r="D925" s="12" t="n">
        <x:f>D924*EXP(C925)</x:f>
        <x:v>180.64164812441183</x:v>
      </x:c>
      <x:c r="E925" s="16" t="n">
        <x:f>ABS(C925)</x:f>
        <x:v>0.019272349352071852</x:v>
      </x:c>
      <x:c r="F925" s="16" t="n">
        <x:f>C925^2</x:f>
        <x:v>0.00037142344954830436</x:v>
      </x:c>
      <x:c r="G925" s="1"/>
      <x:c r="H925" s="1"/>
      <x:c r="I925" s="1"/>
      <x:c r="J925" s="1"/>
      <x:c r="K925" s="1"/>
      <x:c r="L925" s="1"/>
      <x:c r="M925" s="1"/>
      <x:c r="N925" s="1"/>
    </x:row>
    <x:row r="926" ht="22" customHeight="1">
      <x:c r="A926" s="1" t="n">
        <x:v>910</x:v>
      </x:c>
      <x:c r="B926" s="16" t="n">
        <x:v>-0.6638509902255838</x:v>
      </x:c>
      <x:c r="C926" s="16" t="n">
        <x:f>$B$12+$D$12*B926</x:f>
        <x:v>-0.008284273458971961</x:v>
      </x:c>
      <x:c r="D926" s="12" t="n">
        <x:f>D925*EXP(C926)</x:f>
        <x:v>179.15134487627392</x:v>
      </x:c>
      <x:c r="E926" s="16" t="n">
        <x:f>ABS(C926)</x:f>
        <x:v>0.008284273458971961</x:v>
      </x:c>
      <x:c r="F926" s="16" t="n">
        <x:f>C926^2</x:f>
        <x:v>0.00006862918674302726</x:v>
      </x:c>
      <x:c r="G926" s="1"/>
      <x:c r="H926" s="1"/>
      <x:c r="I926" s="1"/>
      <x:c r="J926" s="1"/>
      <x:c r="K926" s="1"/>
      <x:c r="L926" s="1"/>
      <x:c r="M926" s="1"/>
      <x:c r="N926" s="1"/>
    </x:row>
    <x:row r="927" ht="22" customHeight="1">
      <x:c r="A927" s="1" t="n">
        <x:v>911</x:v>
      </x:c>
      <x:c r="B927" s="16" t="n">
        <x:v>-0.05590623386669671</x:v>
      </x:c>
      <x:c r="C927" s="16" t="n">
        <x:f>$B$12+$D$12*B927</x:f>
        <x:v>-0.00024643784699489074</x:v>
      </x:c>
      <x:c r="D927" s="12" t="n">
        <x:f>D926*EXP(C927)</x:f>
        <x:v>179.10720064418453</x:v>
      </x:c>
      <x:c r="E927" s="16" t="n">
        <x:f>ABS(C927)</x:f>
        <x:v>0.00024643784699489074</x:v>
      </x:c>
      <x:c r="F927" s="16" t="n">
        <x:f>C927^2</x:f>
        <x:v>6.073161243147718e-8</x:v>
      </x:c>
      <x:c r="G927" s="1"/>
      <x:c r="H927" s="1"/>
      <x:c r="I927" s="1"/>
      <x:c r="J927" s="1"/>
      <x:c r="K927" s="1"/>
      <x:c r="L927" s="1"/>
      <x:c r="M927" s="1"/>
      <x:c r="N927" s="1"/>
    </x:row>
    <x:row r="928" ht="22" customHeight="1">
      <x:c r="A928" s="1" t="n">
        <x:v>912</x:v>
      </x:c>
      <x:c r="B928" s="16" t="n">
        <x:v>1.5088236589635677</x:v>
      </x:c>
      <x:c r="C928" s="16" t="n">
        <x:f>$B$12+$D$12*B928</x:f>
        <x:v>0.020441365648577292</x:v>
      </x:c>
      <x:c r="D928" s="12" t="n">
        <x:f>D927*EXP(C928)</x:f>
        <x:v>182.8060726234209</x:v>
      </x:c>
      <x:c r="E928" s="16" t="n">
        <x:f>ABS(C928)</x:f>
        <x:v>0.020441365648577292</x:v>
      </x:c>
      <x:c r="F928" s="16" t="n">
        <x:f>C928^2</x:f>
        <x:v>0.00041784942957883575</x:v>
      </x:c>
      <x:c r="G928" s="1"/>
      <x:c r="H928" s="1"/>
      <x:c r="I928" s="1"/>
      <x:c r="J928" s="1"/>
      <x:c r="K928" s="1"/>
      <x:c r="L928" s="1"/>
      <x:c r="M928" s="1"/>
      <x:c r="N928" s="1"/>
    </x:row>
    <x:row r="929" ht="22" customHeight="1">
      <x:c r="A929" s="1" t="n">
        <x:v>913</x:v>
      </x:c>
      <x:c r="B929" s="16" t="n">
        <x:v>1.3243656337818608</x:v>
      </x:c>
      <x:c r="C929" s="16" t="n">
        <x:f>$B$12+$D$12*B929</x:f>
        <x:v>0.018002586025572795</x:v>
      </x:c>
      <x:c r="D929" s="12" t="n">
        <x:f>D928*EXP(C929)</x:f>
        <x:v>186.1268563325789</x:v>
      </x:c>
      <x:c r="E929" s="16" t="n">
        <x:f>ABS(C929)</x:f>
        <x:v>0.018002586025572795</x:v>
      </x:c>
      <x:c r="F929" s="16" t="n">
        <x:f>C929^2</x:f>
        <x:v>0.0003240931036081489</x:v>
      </x:c>
      <x:c r="G929" s="1"/>
      <x:c r="H929" s="1"/>
      <x:c r="I929" s="1"/>
      <x:c r="J929" s="1"/>
      <x:c r="K929" s="1"/>
      <x:c r="L929" s="1"/>
      <x:c r="M929" s="1"/>
      <x:c r="N929" s="1"/>
    </x:row>
    <x:row r="930" ht="22" customHeight="1">
      <x:c r="A930" s="1" t="n">
        <x:v>914</x:v>
      </x:c>
      <x:c r="B930" s="16" t="n">
        <x:v>0.6017011405474156</x:v>
      </x:c>
      <x:c r="C930" s="16" t="n">
        <x:f>$B$12+$D$12*B930</x:f>
        <x:v>0.008448003411816079</x:v>
      </x:c>
      <x:c r="D930" s="12" t="n">
        <x:f>D929*EXP(C930)</x:f>
        <x:v>187.70591721447553</x:v>
      </x:c>
      <x:c r="E930" s="16" t="n">
        <x:f>ABS(C930)</x:f>
        <x:v>0.008448003411816079</x:v>
      </x:c>
      <x:c r="F930" s="16" t="n">
        <x:f>C930^2</x:f>
        <x:v>0.0000713687616460561</x:v>
      </x:c>
      <x:c r="G930" s="1"/>
      <x:c r="H930" s="1"/>
      <x:c r="I930" s="1"/>
      <x:c r="J930" s="1"/>
      <x:c r="K930" s="1"/>
      <x:c r="L930" s="1"/>
      <x:c r="M930" s="1"/>
      <x:c r="N930" s="1"/>
    </x:row>
    <x:row r="931" ht="22" customHeight="1">
      <x:c r="A931" s="1" t="n">
        <x:v>915</x:v>
      </x:c>
      <x:c r="B931" s="16" t="n">
        <x:v>-0.3425871838461851</x:v>
      </x:c>
      <x:c r="C931" s="16" t="n">
        <x:f>$B$12+$D$12*B931</x:f>
        <x:v>-0.004036740049486885</x:v>
      </x:c>
      <x:c r="D931" s="12" t="n">
        <x:f>D930*EXP(C931)</x:f>
        <x:v>186.94972452445208</x:v>
      </x:c>
      <x:c r="E931" s="16" t="n">
        <x:f>ABS(C931)</x:f>
        <x:v>0.004036740049486885</x:v>
      </x:c>
      <x:c r="F931" s="16" t="n">
        <x:f>C931^2</x:f>
        <x:v>0.000016295270227131378</x:v>
      </x:c>
      <x:c r="G931" s="1"/>
      <x:c r="H931" s="1"/>
      <x:c r="I931" s="1"/>
      <x:c r="J931" s="1"/>
      <x:c r="K931" s="1"/>
      <x:c r="L931" s="1"/>
      <x:c r="M931" s="1"/>
      <x:c r="N931" s="1"/>
    </x:row>
    <x:row r="932" ht="22" customHeight="1">
      <x:c r="A932" s="1" t="n">
        <x:v>916</x:v>
      </x:c>
      <x:c r="B932" s="16" t="n">
        <x:v>-2.5029244475744146</x:v>
      </x:c>
      <x:c r="C932" s="16" t="n">
        <x:f>$B$12+$D$12*B932</x:f>
        <x:v>-0.03259926256596557</x:v>
      </x:c>
      <x:c r="D932" s="12" t="n">
        <x:f>D931*EXP(C932)</x:f>
        <x:v>180.95356752251257</x:v>
      </x:c>
      <x:c r="E932" s="16" t="n">
        <x:f>ABS(C932)</x:f>
        <x:v>0.03259926256596557</x:v>
      </x:c>
      <x:c r="F932" s="16" t="n">
        <x:f>C932^2</x:f>
        <x:v>0.0010627119198447642</x:v>
      </x:c>
      <x:c r="G932" s="1"/>
      <x:c r="H932" s="1"/>
      <x:c r="I932" s="1"/>
      <x:c r="J932" s="1"/>
      <x:c r="K932" s="1"/>
      <x:c r="L932" s="1"/>
      <x:c r="M932" s="1"/>
      <x:c r="N932" s="1"/>
    </x:row>
    <x:row r="933" ht="22" customHeight="1">
      <x:c r="A933" s="1" t="n">
        <x:v>917</x:v>
      </x:c>
      <x:c r="B933" s="16" t="n">
        <x:v>-0.7417060811506786</x:v>
      </x:c>
      <x:c r="C933" s="16" t="n">
        <x:f>$B$12+$D$12*B933</x:f>
        <x:v>-0.009313620971004815</x:v>
      </x:c>
      <x:c r="D933" s="12" t="n">
        <x:f>D932*EXP(C933)</x:f>
        <x:v>179.27605854870626</x:v>
      </x:c>
      <x:c r="E933" s="16" t="n">
        <x:f>ABS(C933)</x:f>
        <x:v>0.009313620971004815</x:v>
      </x:c>
      <x:c r="F933" s="16" t="n">
        <x:f>C933^2</x:f>
        <x:v>0.00008674353559154066</x:v>
      </x:c>
      <x:c r="G933" s="1"/>
      <x:c r="H933" s="1"/>
      <x:c r="I933" s="1"/>
      <x:c r="J933" s="1"/>
      <x:c r="K933" s="1"/>
      <x:c r="L933" s="1"/>
      <x:c r="M933" s="1"/>
      <x:c r="N933" s="1"/>
    </x:row>
    <x:row r="934" ht="22" customHeight="1">
      <x:c r="A934" s="1" t="n">
        <x:v>918</x:v>
      </x:c>
      <x:c r="B934" s="16" t="n">
        <x:v>0.4159089962423237</x:v>
      </x:c>
      <x:c r="C934" s="16" t="n">
        <x:f>$B$12+$D$12*B934</x:f>
        <x:v>0.005991584965401395</x:v>
      </x:c>
      <x:c r="D934" s="12" t="n">
        <x:f>D933*EXP(C934)</x:f>
        <x:v>180.35343064593846</x:v>
      </x:c>
      <x:c r="E934" s="16" t="n">
        <x:f>ABS(C934)</x:f>
        <x:v>0.005991584965401395</x:v>
      </x:c>
      <x:c r="F934" s="16" t="n">
        <x:f>C934^2</x:f>
        <x:v>0.00003589909039762404</x:v>
      </x:c>
      <x:c r="G934" s="1"/>
      <x:c r="H934" s="1"/>
      <x:c r="I934" s="1"/>
      <x:c r="J934" s="1"/>
      <x:c r="K934" s="1"/>
      <x:c r="L934" s="1"/>
      <x:c r="M934" s="1"/>
      <x:c r="N934" s="1"/>
    </x:row>
    <x:row r="935" ht="22" customHeight="1">
      <x:c r="A935" s="1" t="n">
        <x:v>919</x:v>
      </x:c>
      <x:c r="B935" s="16" t="n">
        <x:v>0.8437141959456372</x:v>
      </x:c>
      <x:c r="C935" s="16" t="n">
        <x:f>$B$12+$D$12*B935</x:f>
        <x:v>0.011647736833145008</x:v>
      </x:c>
      <x:c r="D935" s="12" t="n">
        <x:f>D934*EXP(C935)</x:f>
        <x:v>182.4664218366852</x:v>
      </x:c>
      <x:c r="E935" s="16" t="n">
        <x:f>ABS(C935)</x:f>
        <x:v>0.011647736833145008</x:v>
      </x:c>
      <x:c r="F935" s="16" t="n">
        <x:f>C935^2</x:f>
        <x:v>0.0001356697733342029</x:v>
      </x:c>
      <x:c r="G935" s="1"/>
      <x:c r="H935" s="1"/>
      <x:c r="I935" s="1"/>
      <x:c r="J935" s="1"/>
      <x:c r="K935" s="1"/>
      <x:c r="L935" s="1"/>
      <x:c r="M935" s="1"/>
      <x:c r="N935" s="1"/>
    </x:row>
    <x:row r="936" ht="22" customHeight="1">
      <x:c r="A936" s="1" t="n">
        <x:v>920</x:v>
      </x:c>
      <x:c r="B936" s="16" t="n">
        <x:v>-0.5208082227473038</x:v>
      </x:c>
      <x:c r="C936" s="16" t="n">
        <x:f>$B$12+$D$12*B936</x:f>
        <x:v>-0.006393058445688842</x:v>
      </x:c>
      <x:c r="D936" s="12" t="n">
        <x:f>D935*EXP(C936)</x:f>
        <x:v>181.30362421449527</x:v>
      </x:c>
      <x:c r="E936" s="16" t="n">
        <x:f>ABS(C936)</x:f>
        <x:v>0.006393058445688842</x:v>
      </x:c>
      <x:c r="F936" s="16" t="n">
        <x:f>C936^2</x:f>
        <x:v>0.00004087119628999343</x:v>
      </x:c>
      <x:c r="G936" s="1"/>
      <x:c r="H936" s="1"/>
      <x:c r="I936" s="1"/>
      <x:c r="J936" s="1"/>
      <x:c r="K936" s="1"/>
      <x:c r="L936" s="1"/>
      <x:c r="M936" s="1"/>
      <x:c r="N936" s="1"/>
    </x:row>
    <x:row r="937" ht="22" customHeight="1">
      <x:c r="A937" s="1" t="n">
        <x:v>921</x:v>
      </x:c>
      <x:c r="B937" s="16" t="n">
        <x:v>0.24122821783463708</x:v>
      </x:c>
      <x:c r="C937" s="16" t="n">
        <x:f>$B$12+$D$12*B937</x:f>
        <x:v>0.0036820735061326776</x:v>
      </x:c>
      <x:c r="D937" s="12" t="n">
        <x:f>D936*EXP(C937)</x:f>
        <x:v>181.9724280225545</x:v>
      </x:c>
      <x:c r="E937" s="16" t="n">
        <x:f>ABS(C937)</x:f>
        <x:v>0.0036820735061326776</x:v>
      </x:c>
      <x:c r="F937" s="16" t="n">
        <x:f>C937^2</x:f>
        <x:v>0.00001355766530456419</x:v>
      </x:c>
      <x:c r="G937" s="1"/>
      <x:c r="H937" s="1"/>
      <x:c r="I937" s="1"/>
      <x:c r="J937" s="1"/>
      <x:c r="K937" s="1"/>
      <x:c r="L937" s="1"/>
      <x:c r="M937" s="1"/>
      <x:c r="N937" s="1"/>
    </x:row>
    <x:row r="938" ht="22" customHeight="1">
      <x:c r="A938" s="1" t="n">
        <x:v>922</x:v>
      </x:c>
      <x:c r="B938" s="16" t="n">
        <x:v>-0.2617972002132148</x:v>
      </x:c>
      <x:c r="C938" s="16" t="n">
        <x:f>$B$12+$D$12*B938</x:f>
        <x:v>-0.002968589365162555</x:v>
      </x:c>
      <x:c r="D938" s="12" t="n">
        <x:f>D937*EXP(C938)</x:f>
        <x:v>181.43302763322674</x:v>
      </x:c>
      <x:c r="E938" s="16" t="n">
        <x:f>ABS(C938)</x:f>
        <x:v>0.002968589365162555</x:v>
      </x:c>
      <x:c r="F938" s="16" t="n">
        <x:f>C938^2</x:f>
        <x:v>0.00000881252281895622</x:v>
      </x:c>
      <x:c r="G938" s="1"/>
      <x:c r="H938" s="1"/>
      <x:c r="I938" s="1"/>
      <x:c r="J938" s="1"/>
      <x:c r="K938" s="1"/>
      <x:c r="L938" s="1"/>
      <x:c r="M938" s="1"/>
      <x:c r="N938" s="1"/>
    </x:row>
    <x:row r="939" ht="22" customHeight="1">
      <x:c r="A939" s="1" t="n">
        <x:v>923</x:v>
      </x:c>
      <x:c r="B939" s="16" t="n">
        <x:v>-0.3497381189416716</x:v>
      </x:c>
      <x:c r="C939" s="16" t="n">
        <x:f>$B$12+$D$12*B939</x:f>
        <x:v>-0.004131284891215082</x:v>
      </x:c>
      <x:c r="D939" s="12" t="n">
        <x:f>D938*EXP(C939)</x:f>
        <x:v>180.6850222828818</x:v>
      </x:c>
      <x:c r="E939" s="16" t="n">
        <x:f>ABS(C939)</x:f>
        <x:v>0.004131284891215082</x:v>
      </x:c>
      <x:c r="F939" s="16" t="n">
        <x:f>C939^2</x:f>
        <x:v>0.000017067514852382008</x:v>
      </x:c>
      <x:c r="G939" s="1"/>
      <x:c r="H939" s="1"/>
      <x:c r="I939" s="1"/>
      <x:c r="J939" s="1"/>
      <x:c r="K939" s="1"/>
      <x:c r="L939" s="1"/>
      <x:c r="M939" s="1"/>
      <x:c r="N939" s="1"/>
    </x:row>
    <x:row r="940" ht="22" customHeight="1">
      <x:c r="A940" s="1" t="n">
        <x:v>924</x:v>
      </x:c>
      <x:c r="B940" s="16" t="n">
        <x:v>-1.4083685885716966</x:v>
      </x:c>
      <x:c r="C940" s="16" t="n">
        <x:f>$B$12+$D$12*B940</x:f>
        <x:v>-0.01812778309226719</x:v>
      </x:c>
      <x:c r="D940" s="12" t="n">
        <x:f>D939*EXP(C940)</x:f>
        <x:v>177.43911284978802</x:v>
      </x:c>
      <x:c r="E940" s="16" t="n">
        <x:f>ABS(C940)</x:f>
        <x:v>0.01812778309226719</x:v>
      </x:c>
      <x:c r="F940" s="16" t="n">
        <x:f>C940^2</x:f>
        <x:v>0.00032861651984028817</x:v>
      </x:c>
      <x:c r="G940" s="1"/>
      <x:c r="H940" s="1"/>
      <x:c r="I940" s="1"/>
      <x:c r="J940" s="1"/>
      <x:c r="K940" s="1"/>
      <x:c r="L940" s="1"/>
      <x:c r="M940" s="1"/>
      <x:c r="N940" s="1"/>
    </x:row>
    <x:row r="941" ht="22" customHeight="1">
      <x:c r="A941" s="1" t="n">
        <x:v>925</x:v>
      </x:c>
      <x:c r="B941" s="16" t="n">
        <x:v>-1.053826921448581</x:v>
      </x:c>
      <x:c r="C941" s="16" t="n">
        <x:f>$B$12+$D$12*B941</x:f>
        <x:v>-0.013440272248354899</x:v>
      </x:c>
      <x:c r="D941" s="12" t="n">
        <x:f>D940*EXP(C941)</x:f>
        <x:v>175.07023768866554</x:v>
      </x:c>
      <x:c r="E941" s="16" t="n">
        <x:f>ABS(C941)</x:f>
        <x:v>0.013440272248354899</x:v>
      </x:c>
      <x:c r="F941" s="16" t="n">
        <x:f>C941^2</x:f>
        <x:v>0.00018064091810989885</x:v>
      </x:c>
      <x:c r="G941" s="1"/>
      <x:c r="H941" s="1"/>
      <x:c r="I941" s="1"/>
      <x:c r="J941" s="1"/>
      <x:c r="K941" s="1"/>
      <x:c r="L941" s="1"/>
      <x:c r="M941" s="1"/>
      <x:c r="N941" s="1"/>
    </x:row>
    <x:row r="942" ht="22" customHeight="1">
      <x:c r="A942" s="1" t="n">
        <x:v>926</x:v>
      </x:c>
      <x:c r="B942" s="16" t="n">
        <x:v>-2.131971838710474</x:v>
      </x:c>
      <x:c r="C942" s="16" t="n">
        <x:f>$B$12+$D$12*B942</x:f>
        <x:v>-0.02769477731677917</x:v>
      </x:c>
      <x:c r="D942" s="12" t="n">
        <x:f>D941*EXP(C942)</x:f>
        <x:v>170.2882304008972</x:v>
      </x:c>
      <x:c r="E942" s="16" t="n">
        <x:f>ABS(C942)</x:f>
        <x:v>0.02769477731677917</x:v>
      </x:c>
      <x:c r="F942" s="16" t="n">
        <x:f>C942^2</x:f>
        <x:v>0.000767000690625986</x:v>
      </x:c>
      <x:c r="G942" s="1"/>
      <x:c r="H942" s="1"/>
      <x:c r="I942" s="1"/>
      <x:c r="J942" s="1"/>
      <x:c r="K942" s="1"/>
      <x:c r="L942" s="1"/>
      <x:c r="M942" s="1"/>
      <x:c r="N942" s="1"/>
    </x:row>
    <x:row r="943" ht="22" customHeight="1">
      <x:c r="A943" s="1" t="n">
        <x:v>927</x:v>
      </x:c>
      <x:c r="B943" s="16" t="n">
        <x:v>1.008030262329696</x:v>
      </x:c>
      <x:c r="C943" s="16" t="n">
        <x:f>$B$12+$D$12*B943</x:f>
        <x:v>0.013820213059294251</x:v>
      </x:c>
      <x:c r="D943" s="12" t="n">
        <x:f>D942*EXP(C943)</x:f>
        <x:v>172.6579875829278</x:v>
      </x:c>
      <x:c r="E943" s="16" t="n">
        <x:f>ABS(C943)</x:f>
        <x:v>0.013820213059294251</x:v>
      </x:c>
      <x:c r="F943" s="16" t="n">
        <x:f>C943^2</x:f>
        <x:v>0.00019099828900428738</x:v>
      </x:c>
      <x:c r="G943" s="1"/>
      <x:c r="H943" s="1"/>
      <x:c r="I943" s="1"/>
      <x:c r="J943" s="1"/>
      <x:c r="K943" s="1"/>
      <x:c r="L943" s="1"/>
      <x:c r="M943" s="1"/>
      <x:c r="N943" s="1"/>
    </x:row>
    <x:row r="944" ht="22" customHeight="1">
      <x:c r="A944" s="1" t="n">
        <x:v>928</x:v>
      </x:c>
      <x:c r="B944" s="16" t="n">
        <x:v>1.8137914607522645</x:v>
      </x:c>
      <x:c r="C944" s="16" t="n">
        <x:f>$B$12+$D$12*B944</x:f>
        <x:v>0.024473444274281383</x:v>
      </x:c>
      <x:c r="D944" s="12" t="n">
        <x:f>D943*EXP(C944)</x:f>
        <x:v>176.93565433324397</x:v>
      </x:c>
      <x:c r="E944" s="16" t="n">
        <x:f>ABS(C944)</x:f>
        <x:v>0.024473444274281383</x:v>
      </x:c>
      <x:c r="F944" s="16" t="n">
        <x:f>C944^2</x:f>
        <x:v>0.0005989494746463562</x:v>
      </x:c>
      <x:c r="G944" s="1"/>
      <x:c r="H944" s="1"/>
      <x:c r="I944" s="1"/>
      <x:c r="J944" s="1"/>
      <x:c r="K944" s="1"/>
      <x:c r="L944" s="1"/>
      <x:c r="M944" s="1"/>
      <x:c r="N944" s="1"/>
    </x:row>
    <x:row r="945" ht="22" customHeight="1">
      <x:c r="A945" s="1" t="n">
        <x:v>929</x:v>
      </x:c>
      <x:c r="B945" s="16" t="n">
        <x:v>1.2446443177991169</x:v>
      </x:c>
      <x:c r="C945" s="16" t="n">
        <x:f>$B$12+$D$12*B945</x:f>
        <x:v>0.01694856454428297</x:v>
      </x:c>
      <x:c r="D945" s="12" t="n">
        <x:f>D944*EXP(C945)</x:f>
        <x:v>179.9600165940947</x:v>
      </x:c>
      <x:c r="E945" s="16" t="n">
        <x:f>ABS(C945)</x:f>
        <x:v>0.01694856454428297</x:v>
      </x:c>
      <x:c r="F945" s="16" t="n">
        <x:f>C945^2</x:f>
        <x:v>0.00028725384011172575</x:v>
      </x:c>
      <x:c r="G945" s="1"/>
      <x:c r="H945" s="1"/>
      <x:c r="I945" s="1"/>
      <x:c r="J945" s="1"/>
      <x:c r="K945" s="1"/>
      <x:c r="L945" s="1"/>
      <x:c r="M945" s="1"/>
      <x:c r="N945" s="1"/>
    </x:row>
    <x:row r="946" ht="22" customHeight="1">
      <x:c r="A946" s="1" t="n">
        <x:v>930</x:v>
      </x:c>
      <x:c r="B946" s="16" t="n">
        <x:v>0.3147196261533019</x:v>
      </x:c>
      <x:c r="C946" s="16" t="n">
        <x:f>$B$12+$D$12*B946</x:f>
        <x:v>0.00465372734931411</x:v>
      </x:c>
      <x:c r="D946" s="12" t="n">
        <x:f>D945*EXP(C946)</x:f>
        <x:v>180.7994531846262</x:v>
      </x:c>
      <x:c r="E946" s="16" t="n">
        <x:f>ABS(C946)</x:f>
        <x:v>0.00465372734931411</x:v>
      </x:c>
      <x:c r="F946" s="16" t="n">
        <x:f>C946^2</x:f>
        <x:v>0.00002165717824175413</x:v>
      </x:c>
      <x:c r="G946" s="1"/>
      <x:c r="H946" s="1"/>
      <x:c r="I946" s="1"/>
      <x:c r="J946" s="1"/>
      <x:c r="K946" s="1"/>
      <x:c r="L946" s="1"/>
      <x:c r="M946" s="1"/>
      <x:c r="N946" s="1"/>
    </x:row>
    <x:row r="947" ht="22" customHeight="1">
      <x:c r="A947" s="1" t="n">
        <x:v>931</x:v>
      </x:c>
      <x:c r="B947" s="16" t="n">
        <x:v>-1.1971971083176856</x:v>
      </x:c>
      <x:c r="C947" s="16" t="n">
        <x:f>$B$12+$D$12*B947</x:f>
        <x:v>-0.015335816180034129</x:v>
      </x:c>
      <x:c r="D947" s="12" t="n">
        <x:f>D946*EXP(C947)</x:f>
        <x:v>178.04789860013142</x:v>
      </x:c>
      <x:c r="E947" s="16" t="n">
        <x:f>ABS(C947)</x:f>
        <x:v>0.015335816180034129</x:v>
      </x:c>
      <x:c r="F947" s="16" t="n">
        <x:f>C947^2</x:f>
        <x:v>0.00023518725790779658</x:v>
      </x:c>
      <x:c r="G947" s="1"/>
      <x:c r="H947" s="1"/>
      <x:c r="I947" s="1"/>
      <x:c r="J947" s="1"/>
      <x:c r="K947" s="1"/>
      <x:c r="L947" s="1"/>
      <x:c r="M947" s="1"/>
      <x:c r="N947" s="1"/>
    </x:row>
    <x:row r="948" ht="22" customHeight="1">
      <x:c r="A948" s="1" t="n">
        <x:v>932</x:v>
      </x:c>
      <x:c r="B948" s="16" t="n">
        <x:v>0.2938162328747326</x:v>
      </x:c>
      <x:c r="C948" s="16" t="n">
        <x:f>$B$12+$D$12*B948</x:f>
        <x:v>0.004377356779211748</x:v>
      </x:c>
      <x:c r="D948" s="12" t="n">
        <x:f>D947*EXP(C948)</x:f>
        <x:v>178.82898607815923</x:v>
      </x:c>
      <x:c r="E948" s="16" t="n">
        <x:f>ABS(C948)</x:f>
        <x:v>0.004377356779211748</x:v>
      </x:c>
      <x:c r="F948" s="16" t="n">
        <x:f>C948^2</x:f>
        <x:v>0.000019161252372511047</x:v>
      </x:c>
      <x:c r="G948" s="1"/>
      <x:c r="H948" s="1"/>
      <x:c r="I948" s="1"/>
      <x:c r="J948" s="1"/>
      <x:c r="K948" s="1"/>
      <x:c r="L948" s="1"/>
      <x:c r="M948" s="1"/>
      <x:c r="N948" s="1"/>
    </x:row>
    <x:row r="949" ht="22" customHeight="1">
      <x:c r="A949" s="1" t="n">
        <x:v>933</x:v>
      </x:c>
      <x:c r="B949" s="16" t="n">
        <x:v>-0.2767404639828804</x:v>
      </x:c>
      <x:c r="C949" s="16" t="n">
        <x:f>$B$12+$D$12*B949</x:f>
        <x:v>-0.0031661591220042105</x:v>
      </x:c>
      <x:c r="D949" s="12" t="n">
        <x:f>D948*EXP(C949)</x:f>
        <x:v>178.26368044864202</x:v>
      </x:c>
      <x:c r="E949" s="16" t="n">
        <x:f>ABS(C949)</x:f>
        <x:v>0.0031661591220042105</x:v>
      </x:c>
      <x:c r="F949" s="16" t="n">
        <x:f>C949^2</x:f>
        <x:v>0.000010024563585850473</x:v>
      </x:c>
      <x:c r="G949" s="1"/>
      <x:c r="H949" s="1"/>
      <x:c r="I949" s="1"/>
      <x:c r="J949" s="1"/>
      <x:c r="K949" s="1"/>
      <x:c r="L949" s="1"/>
      <x:c r="M949" s="1"/>
      <x:c r="N949" s="1"/>
    </x:row>
    <x:row r="950" ht="22" customHeight="1">
      <x:c r="A950" s="1" t="n">
        <x:v>934</x:v>
      </x:c>
      <x:c r="B950" s="16" t="n">
        <x:v>0.22775164709741794</x:v>
      </x:c>
      <x:c r="C950" s="16" t="n">
        <x:f>$B$12+$D$12*B950</x:f>
        <x:v>0.003503895375527991</x:v>
      </x:c>
      <x:c r="D950" s="12" t="n">
        <x:f>D949*EXP(C950)</x:f>
        <x:v>178.88939331022064</x:v>
      </x:c>
      <x:c r="E950" s="16" t="n">
        <x:f>ABS(C950)</x:f>
        <x:v>0.003503895375527991</x:v>
      </x:c>
      <x:c r="F950" s="16" t="n">
        <x:f>C950^2</x:f>
        <x:v>0.000012277282802646441</x:v>
      </x:c>
      <x:c r="G950" s="1"/>
      <x:c r="H950" s="1"/>
      <x:c r="I950" s="1"/>
      <x:c r="J950" s="1"/>
      <x:c r="K950" s="1"/>
      <x:c r="L950" s="1"/>
      <x:c r="M950" s="1"/>
      <x:c r="N950" s="1"/>
    </x:row>
    <x:row r="951" ht="22" customHeight="1">
      <x:c r="A951" s="1" t="n">
        <x:v>935</x:v>
      </x:c>
      <x:c r="B951" s="16" t="n">
        <x:v>0.29962395280122084</x:v>
      </x:c>
      <x:c r="C951" s="16" t="n">
        <x:f>$B$12+$D$12*B951</x:f>
        <x:v>0.004454142535748415</x:v>
      </x:c>
      <x:c r="D951" s="12" t="n">
        <x:f>D950*EXP(C951)</x:f>
        <x:v>179.6879693315993</x:v>
      </x:c>
      <x:c r="E951" s="16" t="n">
        <x:f>ABS(C951)</x:f>
        <x:v>0.004454142535748415</x:v>
      </x:c>
      <x:c r="F951" s="16" t="n">
        <x:f>C951^2</x:f>
        <x:v>0.000019839385728763317</x:v>
      </x:c>
      <x:c r="G951" s="1"/>
      <x:c r="H951" s="1"/>
      <x:c r="I951" s="1"/>
      <x:c r="J951" s="1"/>
      <x:c r="K951" s="1"/>
      <x:c r="L951" s="1"/>
      <x:c r="M951" s="1"/>
      <x:c r="N951" s="1"/>
    </x:row>
    <x:row r="952" ht="22" customHeight="1">
      <x:c r="A952" s="1" t="n">
        <x:v>936</x:v>
      </x:c>
      <x:c r="B952" s="16" t="n">
        <x:v>-1.7693296783696228</x:v>
      </x:c>
      <x:c r="C952" s="16" t="n">
        <x:f>$B$12+$D$12*B952</x:f>
        <x:v>-0.022900167213963728</x:v>
      </x:c>
      <x:c r="D952" s="12" t="n">
        <x:f>D951*EXP(C952)</x:f>
        <x:v>175.6198429562448</x:v>
      </x:c>
      <x:c r="E952" s="16" t="n">
        <x:f>ABS(C952)</x:f>
        <x:v>0.022900167213963728</x:v>
      </x:c>
      <x:c r="F952" s="16" t="n">
        <x:f>C952^2</x:f>
        <x:v>0.0005244176584274993</x:v>
      </x:c>
      <x:c r="G952" s="1"/>
      <x:c r="H952" s="1"/>
      <x:c r="I952" s="1"/>
      <x:c r="J952" s="1"/>
      <x:c r="K952" s="1"/>
      <x:c r="L952" s="1"/>
      <x:c r="M952" s="1"/>
      <x:c r="N952" s="1"/>
    </x:row>
    <x:row r="953" ht="22" customHeight="1">
      <x:c r="A953" s="1" t="n">
        <x:v>937</x:v>
      </x:c>
      <x:c r="B953" s="16" t="n">
        <x:v>-0.07061889835598929</x:v>
      </x:c>
      <x:c r="C953" s="16" t="n">
        <x:f>$B$12+$D$12*B953</x:f>
        <x:v>-0.000440958775651927</x:v>
      </x:c>
      <x:c r="D953" s="12" t="n">
        <x:f>D952*EXP(C953)</x:f>
        <x:v>175.542418916974</x:v>
      </x:c>
      <x:c r="E953" s="16" t="n">
        <x:f>ABS(C953)</x:f>
        <x:v>0.000440958775651927</x:v>
      </x:c>
      <x:c r="F953" s="16" t="n">
        <x:f>C953^2</x:f>
        <x:v>1.9444464182444648e-7</x:v>
      </x:c>
      <x:c r="G953" s="1"/>
      <x:c r="H953" s="1"/>
      <x:c r="I953" s="1"/>
      <x:c r="J953" s="1"/>
      <x:c r="K953" s="1"/>
      <x:c r="L953" s="1"/>
      <x:c r="M953" s="1"/>
      <x:c r="N953" s="1"/>
    </x:row>
    <x:row r="954" ht="22" customHeight="1">
      <x:c r="A954" s="1" t="n">
        <x:v>938</x:v>
      </x:c>
      <x:c r="B954" s="16" t="n">
        <x:v>0.7086011192340191</x:v>
      </x:c>
      <x:c r="C954" s="16" t="n">
        <x:f>$B$12+$D$12*B954</x:f>
        <x:v>0.009861362843934504</x:v>
      </x:c>
      <x:c r="D954" s="12" t="n">
        <x:f>D953*EXP(C954)</x:f>
        <x:v>177.28206997166373</x:v>
      </x:c>
      <x:c r="E954" s="16" t="n">
        <x:f>ABS(C954)</x:f>
        <x:v>0.009861362843934504</x:v>
      </x:c>
      <x:c r="F954" s="16" t="n">
        <x:f>C954^2</x:f>
        <x:v>0.000097246477139732</x:v>
      </x:c>
      <x:c r="G954" s="1"/>
      <x:c r="H954" s="1"/>
      <x:c r="I954" s="1"/>
      <x:c r="J954" s="1"/>
      <x:c r="K954" s="1"/>
      <x:c r="L954" s="1"/>
      <x:c r="M954" s="1"/>
      <x:c r="N954" s="1"/>
    </x:row>
    <x:row r="955" ht="22" customHeight="1">
      <x:c r="A955" s="1" t="n">
        <x:v>939</x:v>
      </x:c>
      <x:c r="B955" s="16" t="n">
        <x:v>0.4344991013993469</x:v>
      </x:c>
      <x:c r="C955" s="16" t="n">
        <x:f>$B$12+$D$12*B955</x:f>
        <x:v>0.006237370799884867</x:v>
      </x:c>
      <x:c r="D955" s="12" t="n">
        <x:f>D954*EXP(C955)</x:f>
        <x:v>178.39129972067758</x:v>
      </x:c>
      <x:c r="E955" s="16" t="n">
        <x:f>ABS(C955)</x:f>
        <x:v>0.006237370799884867</x:v>
      </x:c>
      <x:c r="F955" s="16" t="n">
        <x:f>C955^2</x:f>
        <x:v>0.00003890479449525638</x:v>
      </x:c>
      <x:c r="G955" s="1"/>
      <x:c r="H955" s="1"/>
      <x:c r="I955" s="1"/>
      <x:c r="J955" s="1"/>
      <x:c r="K955" s="1"/>
      <x:c r="L955" s="1"/>
      <x:c r="M955" s="1"/>
      <x:c r="N955" s="1"/>
    </x:row>
    <x:row r="956" ht="22" customHeight="1">
      <x:c r="A956" s="1" t="n">
        <x:v>940</x:v>
      </x:c>
      <x:c r="B956" s="16" t="n">
        <x:v>-1.5184458973367538</x:v>
      </x:c>
      <x:c r="C956" s="16" t="n">
        <x:f>$B$12+$D$12*B956</x:f>
        <x:v>-0.0195831510401076</x:v>
      </x:c>
      <x:c r="D956" s="12" t="n">
        <x:f>D955*EXP(C956)</x:f>
        <x:v>174.931820266774</x:v>
      </x:c>
      <x:c r="E956" s="16" t="n">
        <x:f>ABS(C956)</x:f>
        <x:v>0.0195831510401076</x:v>
      </x:c>
      <x:c r="F956" s="16" t="n">
        <x:f>C956^2</x:f>
        <x:v>0.00038349980465966744</x:v>
      </x:c>
      <x:c r="G956" s="1"/>
      <x:c r="H956" s="1"/>
      <x:c r="I956" s="1"/>
      <x:c r="J956" s="1"/>
      <x:c r="K956" s="1"/>
      <x:c r="L956" s="1"/>
      <x:c r="M956" s="1"/>
      <x:c r="N956" s="1"/>
    </x:row>
    <x:row r="957" ht="22" customHeight="1">
      <x:c r="A957" s="1" t="n">
        <x:v>941</x:v>
      </x:c>
      <x:c r="B957" s="16" t="n">
        <x:v>1.223274789924569</x:v>
      </x:c>
      <x:c r="C957" s="16" t="n">
        <x:f>$B$12+$D$12*B957</x:f>
        <x:v>0.016666031056882052</x:v>
      </x:c>
      <x:c r="D957" s="12" t="n">
        <x:f>D956*EXP(C957)</x:f>
        <x:v>177.87166917623816</x:v>
      </x:c>
      <x:c r="E957" s="16" t="n">
        <x:f>ABS(C957)</x:f>
        <x:v>0.016666031056882052</x:v>
      </x:c>
      <x:c r="F957" s="16" t="n">
        <x:f>C957^2</x:f>
        <x:v>0.0002777565911889571</x:v>
      </x:c>
      <x:c r="G957" s="1"/>
      <x:c r="H957" s="1"/>
      <x:c r="I957" s="1"/>
      <x:c r="J957" s="1"/>
      <x:c r="K957" s="1"/>
      <x:c r="L957" s="1"/>
      <x:c r="M957" s="1"/>
      <x:c r="N957" s="1"/>
    </x:row>
    <x:row r="958" ht="22" customHeight="1">
      <x:c r="A958" s="1" t="n">
        <x:v>942</x:v>
      </x:c>
      <x:c r="B958" s="16" t="n">
        <x:v>-0.30561393057710345</x:v>
      </x:c>
      <x:c r="C958" s="16" t="n">
        <x:f>$B$12+$D$12*B958</x:f>
        <x:v>-0.00354790462701071</x:v>
      </x:c>
      <x:c r="D958" s="12" t="n">
        <x:f>D957*EXP(C958)</x:f>
        <x:v>177.24171562651216</x:v>
      </x:c>
      <x:c r="E958" s="16" t="n">
        <x:f>ABS(C958)</x:f>
        <x:v>0.00354790462701071</x:v>
      </x:c>
      <x:c r="F958" s="16" t="n">
        <x:f>C958^2</x:f>
        <x:v>0.000012587627242364006</x:v>
      </x:c>
      <x:c r="G958" s="1"/>
      <x:c r="H958" s="1"/>
      <x:c r="I958" s="1"/>
      <x:c r="J958" s="1"/>
      <x:c r="K958" s="1"/>
      <x:c r="L958" s="1"/>
      <x:c r="M958" s="1"/>
      <x:c r="N958" s="1"/>
    </x:row>
    <x:row r="959" ht="22" customHeight="1">
      <x:c r="A959" s="1" t="n">
        <x:v>943</x:v>
      </x:c>
      <x:c r="B959" s="16" t="n">
        <x:v>0.9555094060182453</x:v>
      </x:c>
      <x:c r="C959" s="16" t="n">
        <x:f>$B$12+$D$12*B959</x:f>
        <x:v>0.013125817713638042</x:v>
      </x:c>
      <x:c r="D959" s="12" t="n">
        <x:f>D958*EXP(C959)</x:f>
        <x:v>179.58349332929546</x:v>
      </x:c>
      <x:c r="E959" s="16" t="n">
        <x:f>ABS(C959)</x:f>
        <x:v>0.013125817713638042</x:v>
      </x:c>
      <x:c r="F959" s="16" t="n">
        <x:f>C959^2</x:f>
        <x:v>0.0001722870906516542</x:v>
      </x:c>
      <x:c r="G959" s="1"/>
      <x:c r="H959" s="1"/>
      <x:c r="I959" s="1"/>
      <x:c r="J959" s="1"/>
      <x:c r="K959" s="1"/>
      <x:c r="L959" s="1"/>
      <x:c r="M959" s="1"/>
      <x:c r="N959" s="1"/>
    </x:row>
    <x:row r="960" ht="22" customHeight="1">
      <x:c r="A960" s="1" t="n">
        <x:v>944</x:v>
      </x:c>
      <x:c r="B960" s="16" t="n">
        <x:v>-0.5755530114364293</x:v>
      </x:c>
      <x:c r="C960" s="16" t="n">
        <x:f>$B$12+$D$12*B960</x:f>
        <x:v>-0.007116857125573912</x:v>
      </x:c>
      <x:c r="D960" s="12" t="n">
        <x:f>D959*EXP(C960)</x:f>
        <x:v>178.30996041638144</x:v>
      </x:c>
      <x:c r="E960" s="16" t="n">
        <x:f>ABS(C960)</x:f>
        <x:v>0.007116857125573912</x:v>
      </x:c>
      <x:c r="F960" s="16" t="n">
        <x:f>C960^2</x:f>
        <x:v>0.00005064965534583217</x:v>
      </x:c>
      <x:c r="G960" s="1"/>
      <x:c r="H960" s="1"/>
      <x:c r="I960" s="1"/>
      <x:c r="J960" s="1"/>
      <x:c r="K960" s="1"/>
      <x:c r="L960" s="1"/>
      <x:c r="M960" s="1"/>
      <x:c r="N960" s="1"/>
    </x:row>
    <x:row r="961" ht="22" customHeight="1">
      <x:c r="A961" s="1" t="n">
        <x:v>945</x:v>
      </x:c>
      <x:c r="B961" s="16" t="n">
        <x:v>-0.37302385603628024</x:v>
      </x:c>
      <x:c r="C961" s="16" t="n">
        <x:f>$B$12+$D$12*B961</x:f>
        <x:v>-0.004439153204762457</x:v>
      </x:c>
      <x:c r="D961" s="12" t="n">
        <x:f>D960*EXP(C961)</x:f>
        <x:v>177.52016948260862</x:v>
      </x:c>
      <x:c r="E961" s="16" t="n">
        <x:f>ABS(C961)</x:f>
        <x:v>0.004439153204762457</x:v>
      </x:c>
      <x:c r="F961" s="16" t="n">
        <x:f>C961^2</x:f>
        <x:v>0.000019706081175352797</x:v>
      </x:c>
      <x:c r="G961" s="1"/>
      <x:c r="H961" s="1"/>
      <x:c r="I961" s="1"/>
      <x:c r="J961" s="1"/>
      <x:c r="K961" s="1"/>
      <x:c r="L961" s="1"/>
      <x:c r="M961" s="1"/>
      <x:c r="N961" s="1"/>
    </x:row>
    <x:row r="962" ht="22" customHeight="1">
      <x:c r="A962" s="1" t="n">
        <x:v>946</x:v>
      </x:c>
      <x:c r="B962" s="16" t="n">
        <x:v>-0.33705961752244445</x:v>
      </x:c>
      <x:c r="C962" s="16" t="n">
        <x:f>$B$12+$D$12*B962</x:f>
        <x:v>-0.003963658294969211</x:v>
      </x:c>
      <x:c r="D962" s="12" t="n">
        <x:f>D961*EXP(C962)</x:f>
        <x:v>176.81793282277437</x:v>
      </x:c>
      <x:c r="E962" s="16" t="n">
        <x:f>ABS(C962)</x:f>
        <x:v>0.003963658294969211</x:v>
      </x:c>
      <x:c r="F962" s="16" t="n">
        <x:f>C962^2</x:f>
        <x:v>0.00001571058707927823</x:v>
      </x:c>
      <x:c r="G962" s="1"/>
      <x:c r="H962" s="1"/>
      <x:c r="I962" s="1"/>
      <x:c r="J962" s="1"/>
      <x:c r="K962" s="1"/>
      <x:c r="L962" s="1"/>
      <x:c r="M962" s="1"/>
      <x:c r="N962" s="1"/>
    </x:row>
    <x:row r="963" ht="22" customHeight="1">
      <x:c r="A963" s="1" t="n">
        <x:v>947</x:v>
      </x:c>
      <x:c r="B963" s="16" t="n">
        <x:v>-0.9643605182116991</x:v>
      </x:c>
      <x:c r="C963" s="16" t="n">
        <x:f>$B$12+$D$12*B963</x:f>
        <x:v>-0.012257407794814988</x:v>
      </x:c>
      <x:c r="D963" s="12" t="n">
        <x:f>D962*EXP(C963)</x:f>
        <x:v>174.6638321300398</x:v>
      </x:c>
      <x:c r="E963" s="16" t="n">
        <x:f>ABS(C963)</x:f>
        <x:v>0.012257407794814988</x:v>
      </x:c>
      <x:c r="F963" s="16" t="n">
        <x:f>C963^2</x:f>
        <x:v>0.00015024404584839123</x:v>
      </x:c>
      <x:c r="G963" s="1"/>
      <x:c r="H963" s="1"/>
      <x:c r="I963" s="1"/>
      <x:c r="J963" s="1"/>
      <x:c r="K963" s="1"/>
      <x:c r="L963" s="1"/>
      <x:c r="M963" s="1"/>
      <x:c r="N963" s="1"/>
    </x:row>
    <x:row r="964" ht="22" customHeight="1">
      <x:c r="A964" s="1" t="n">
        <x:v>948</x:v>
      </x:c>
      <x:c r="B964" s="16" t="n">
        <x:v>-0.4357821471701372</x:v>
      </x:c>
      <x:c r="C964" s="16" t="n">
        <x:f>$B$12+$D$12*B964</x:f>
        <x:v>-0.005268901010210679</x:v>
      </x:c>
      <x:c r="D964" s="12" t="n">
        <x:f>D963*EXP(C964)</x:f>
        <x:v>173.74596588510556</x:v>
      </x:c>
      <x:c r="E964" s="16" t="n">
        <x:f>ABS(C964)</x:f>
        <x:v>0.005268901010210679</x:v>
      </x:c>
      <x:c r="F964" s="16" t="n">
        <x:f>C964^2</x:f>
        <x:v>0.000027761317855399113</x:v>
      </x:c>
      <x:c r="G964" s="1"/>
      <x:c r="H964" s="1"/>
      <x:c r="I964" s="1"/>
      <x:c r="J964" s="1"/>
      <x:c r="K964" s="1"/>
      <x:c r="L964" s="1"/>
      <x:c r="M964" s="1"/>
      <x:c r="N964" s="1"/>
    </x:row>
    <x:row r="965" ht="22" customHeight="1">
      <x:c r="A965" s="1" t="n">
        <x:v>949</x:v>
      </x:c>
      <x:c r="B965" s="16" t="n">
        <x:v>-1.8643698382621292</x:v>
      </x:c>
      <x:c r="C965" s="16" t="n">
        <x:f>$B$12+$D$12*B965</x:f>
        <x:v>-0.024156724119441864</x:v>
      </x:c>
      <x:c r="D965" s="12" t="n">
        <x:f>D964*EXP(C965)</x:f>
        <x:v>169.59912126578155</x:v>
      </x:c>
      <x:c r="E965" s="16" t="n">
        <x:f>ABS(C965)</x:f>
        <x:v>0.024156724119441864</x:v>
      </x:c>
      <x:c r="F965" s="16" t="n">
        <x:f>C965^2</x:f>
        <x:v>0.0005835473201828243</x:v>
      </x:c>
      <x:c r="G965" s="1"/>
      <x:c r="H965" s="1"/>
      <x:c r="I965" s="1"/>
      <x:c r="J965" s="1"/>
      <x:c r="K965" s="1"/>
      <x:c r="L965" s="1"/>
      <x:c r="M965" s="1"/>
      <x:c r="N965" s="1"/>
    </x:row>
    <x:row r="966" ht="22" customHeight="1">
      <x:c r="A966" s="1" t="n">
        <x:v>950</x:v>
      </x:c>
      <x:c r="B966" s="16" t="n">
        <x:v>-0.4614701612592165</x:v>
      </x:c>
      <x:c r="C966" s="16" t="n">
        <x:f>$B$12+$D$12*B966</x:f>
        <x:v>-0.005608530610246709</x:v>
      </x:c>
      <x:c r="D966" s="12" t="n">
        <x:f>D965*EXP(C966)</x:f>
        <x:v>168.65058184528522</x:v>
      </x:c>
      <x:c r="E966" s="16" t="n">
        <x:f>ABS(C966)</x:f>
        <x:v>0.005608530610246709</x:v>
      </x:c>
      <x:c r="F966" s="16" t="n">
        <x:f>C966^2</x:f>
        <x:v>0.00003145561560607432</x:v>
      </x:c>
      <x:c r="G966" s="1"/>
      <x:c r="H966" s="1"/>
      <x:c r="I966" s="1"/>
      <x:c r="J966" s="1"/>
      <x:c r="K966" s="1"/>
      <x:c r="L966" s="1"/>
      <x:c r="M966" s="1"/>
      <x:c r="N966" s="1"/>
    </x:row>
    <x:row r="967" ht="22" customHeight="1">
      <x:c r="A967" s="1" t="n">
        <x:v>951</x:v>
      </x:c>
      <x:c r="B967" s="16" t="n">
        <x:v>1.665662443440151</x:v>
      </x:c>
      <x:c r="C967" s="16" t="n">
        <x:f>$B$12+$D$12*B967</x:f>
        <x:v>0.022514982295516316</x:v>
      </x:c>
      <x:c r="D967" s="12" t="n">
        <x:f>D966*EXP(C967)</x:f>
        <x:v>172.49081588604648</x:v>
      </x:c>
      <x:c r="E967" s="16" t="n">
        <x:f>ABS(C967)</x:f>
        <x:v>0.022514982295516316</x:v>
      </x:c>
      <x:c r="F967" s="16" t="n">
        <x:f>C967^2</x:f>
        <x:v>0.0005069244277674131</x:v>
      </x:c>
      <x:c r="G967" s="1"/>
      <x:c r="H967" s="1"/>
      <x:c r="I967" s="1"/>
      <x:c r="J967" s="1"/>
      <x:c r="K967" s="1"/>
      <x:c r="L967" s="1"/>
      <x:c r="M967" s="1"/>
      <x:c r="N967" s="1"/>
    </x:row>
    <x:row r="968" ht="22" customHeight="1">
      <x:c r="A968" s="1" t="n">
        <x:v>952</x:v>
      </x:c>
      <x:c r="B968" s="16" t="n">
        <x:v>-0.29927968093862894</x:v>
      </x:c>
      <x:c r="C968" s="16" t="n">
        <x:f>$B$12+$D$12*B968</x:f>
        <x:v>-0.0034641574496779926</x:v>
      </x:c>
      <x:c r="D968" s="12" t="n">
        <x:f>D967*EXP(C968)</x:f>
        <x:v>171.89431432537702</x:v>
      </x:c>
      <x:c r="E968" s="16" t="n">
        <x:f>ABS(C968)</x:f>
        <x:v>0.0034641574496779926</x:v>
      </x:c>
      <x:c r="F968" s="16" t="n">
        <x:f>C968^2</x:f>
        <x:v>0.000012000386836159534</x:v>
      </x:c>
      <x:c r="G968" s="1"/>
      <x:c r="H968" s="1"/>
      <x:c r="I968" s="1"/>
      <x:c r="J968" s="1"/>
      <x:c r="K968" s="1"/>
      <x:c r="L968" s="1"/>
      <x:c r="M968" s="1"/>
      <x:c r="N968" s="1"/>
    </x:row>
    <x:row r="969" ht="22" customHeight="1">
      <x:c r="A969" s="1" t="n">
        <x:v>953</x:v>
      </x:c>
      <x:c r="B969" s="16" t="n">
        <x:v>-0.5941382696135052</x:v>
      </x:c>
      <x:c r="C969" s="16" t="n">
        <x:f>$B$12+$D$12*B969</x:f>
        <x:v>-0.007362578876556994</x:v>
      </x:c>
      <x:c r="D969" s="12" t="n">
        <x:f>D968*EXP(C969)</x:f>
        <x:v>170.63337645103005</x:v>
      </x:c>
      <x:c r="E969" s="16" t="n">
        <x:f>ABS(C969)</x:f>
        <x:v>0.007362578876556994</x:v>
      </x:c>
      <x:c r="F969" s="16" t="n">
        <x:f>C969^2</x:f>
        <x:v>0.00005420756771352325</x:v>
      </x:c>
      <x:c r="G969" s="1"/>
      <x:c r="H969" s="1"/>
      <x:c r="I969" s="1"/>
      <x:c r="J969" s="1"/>
      <x:c r="K969" s="1"/>
      <x:c r="L969" s="1"/>
      <x:c r="M969" s="1"/>
      <x:c r="N969" s="1"/>
    </x:row>
    <x:row r="970" ht="22" customHeight="1">
      <x:c r="A970" s="1" t="n">
        <x:v>954</x:v>
      </x:c>
      <x:c r="B970" s="16" t="n">
        <x:v>0.4340991112574293</x:v>
      </x:c>
      <x:c r="C970" s="16" t="n">
        <x:f>$B$12+$D$12*B970</x:f>
        <x:v>0.006232082399954582</x:v>
      </x:c>
      <x:c r="D970" s="12" t="n">
        <x:f>D969*EXP(C970)</x:f>
        <x:v>171.70009820968582</x:v>
      </x:c>
      <x:c r="E970" s="16" t="n">
        <x:f>ABS(C970)</x:f>
        <x:v>0.006232082399954582</x:v>
      </x:c>
      <x:c r="F970" s="16" t="n">
        <x:f>C970^2</x:f>
        <x:v>0.000038838851039823665</x:v>
      </x:c>
      <x:c r="G970" s="1"/>
      <x:c r="H970" s="1"/>
      <x:c r="I970" s="1"/>
      <x:c r="J970" s="1"/>
      <x:c r="K970" s="1"/>
      <x:c r="L970" s="1"/>
      <x:c r="M970" s="1"/>
      <x:c r="N970" s="1"/>
    </x:row>
    <x:row r="971" ht="22" customHeight="1">
      <x:c r="A971" s="1" t="n">
        <x:v>955</x:v>
      </x:c>
      <x:c r="B971" s="16" t="n">
        <x:v>0.80499221988626</x:v>
      </x:c>
      <x:c r="C971" s="16" t="n">
        <x:f>$B$12+$D$12*B971</x:f>
        <x:v>0.011135780977155273</x:v>
      </x:c>
      <x:c r="D971" s="12" t="n">
        <x:f>D970*EXP(C971)</x:f>
        <x:v>173.6227984125155</x:v>
      </x:c>
      <x:c r="E971" s="16" t="n">
        <x:f>ABS(C971)</x:f>
        <x:v>0.011135780977155273</x:v>
      </x:c>
      <x:c r="F971" s="16" t="n">
        <x:f>C971^2</x:f>
        <x:v>0.00012400561797117326</x:v>
      </x:c>
      <x:c r="G971" s="1"/>
      <x:c r="H971" s="1"/>
      <x:c r="I971" s="1"/>
      <x:c r="J971" s="1"/>
      <x:c r="K971" s="1"/>
      <x:c r="L971" s="1"/>
      <x:c r="M971" s="1"/>
      <x:c r="N971" s="1"/>
    </x:row>
    <x:row r="972" ht="22" customHeight="1">
      <x:c r="A972" s="1" t="n">
        <x:v>956</x:v>
      </x:c>
      <x:c r="B972" s="16" t="n">
        <x:v>0.6317886436146258</x:v>
      </x:c>
      <x:c r="C972" s="16" t="n">
        <x:f>$B$12+$D$12*B972</x:f>
        <x:v>0.008845800088404777</x:v>
      </x:c>
      <x:c r="D972" s="12" t="n">
        <x:f>D971*EXP(C972)</x:f>
        <x:v>175.16544388570674</x:v>
      </x:c>
      <x:c r="E972" s="16" t="n">
        <x:f>ABS(C972)</x:f>
        <x:v>0.008845800088404777</x:v>
      </x:c>
      <x:c r="F972" s="16" t="n">
        <x:f>C972^2</x:f>
        <x:v>0.00007824817920402197</x:v>
      </x:c>
      <x:c r="G972" s="1"/>
      <x:c r="H972" s="1"/>
      <x:c r="I972" s="1"/>
      <x:c r="J972" s="1"/>
      <x:c r="K972" s="1"/>
      <x:c r="L972" s="1"/>
      <x:c r="M972" s="1"/>
      <x:c r="N972" s="1"/>
    </x:row>
    <x:row r="973" ht="22" customHeight="1">
      <x:c r="A973" s="1" t="n">
        <x:v>957</x:v>
      </x:c>
      <x:c r="B973" s="16" t="n">
        <x:v>-0.7552601836868462</x:v>
      </x:c>
      <x:c r="C973" s="16" t="n">
        <x:f>$B$12+$D$12*B973</x:f>
        <x:v>-0.009492824174773025</x:v>
      </x:c>
      <x:c r="D973" s="12" t="n">
        <x:f>D972*EXP(C973)</x:f>
        <x:v>173.51049661490177</x:v>
      </x:c>
      <x:c r="E973" s="16" t="n">
        <x:f>ABS(C973)</x:f>
        <x:v>0.009492824174773025</x:v>
      </x:c>
      <x:c r="F973" s="16" t="n">
        <x:f>C973^2</x:f>
        <x:v>0.00009011371081315516</x:v>
      </x:c>
      <x:c r="G973" s="1"/>
      <x:c r="H973" s="1"/>
      <x:c r="I973" s="1"/>
      <x:c r="J973" s="1"/>
      <x:c r="K973" s="1"/>
      <x:c r="L973" s="1"/>
      <x:c r="M973" s="1"/>
      <x:c r="N973" s="1"/>
    </x:row>
    <x:row r="974" ht="22" customHeight="1">
      <x:c r="A974" s="1" t="n">
        <x:v>958</x:v>
      </x:c>
      <x:c r="B974" s="16" t="n">
        <x:v>-0.43741277394701</x:v>
      </x:c>
      <x:c r="C974" s="16" t="n">
        <x:f>$B$12+$D$12*B974</x:f>
        <x:v>-0.005290460057870684</x:v>
      </x:c>
      <x:c r="D974" s="12" t="n">
        <x:f>D973*EXP(C974)</x:f>
        <x:v>172.59497017635252</x:v>
      </x:c>
      <x:c r="E974" s="16" t="n">
        <x:f>ABS(C974)</x:f>
        <x:v>0.005290460057870684</x:v>
      </x:c>
      <x:c r="F974" s="16" t="n">
        <x:f>C974^2</x:f>
        <x:v>0.000027988967623925084</x:v>
      </x:c>
      <x:c r="G974" s="1"/>
      <x:c r="H974" s="1"/>
      <x:c r="I974" s="1"/>
      <x:c r="J974" s="1"/>
      <x:c r="K974" s="1"/>
      <x:c r="L974" s="1"/>
      <x:c r="M974" s="1"/>
      <x:c r="N974" s="1"/>
    </x:row>
    <x:row r="975" ht="22" customHeight="1">
      <x:c r="A975" s="1" t="n">
        <x:v>959</x:v>
      </x:c>
      <x:c r="B975" s="16" t="n">
        <x:v>-0.08098757961797999</x:v>
      </x:c>
      <x:c r="C975" s="16" t="n">
        <x:f>$B$12+$D$12*B975</x:f>
        <x:v>-0.0005780464873644517</x:v>
      </x:c>
      <x:c r="D975" s="12" t="n">
        <x:f>D974*EXP(C975)</x:f>
        <x:v>172.49523108979685</x:v>
      </x:c>
      <x:c r="E975" s="16" t="n">
        <x:f>ABS(C975)</x:f>
        <x:v>0.0005780464873644517</x:v>
      </x:c>
      <x:c r="F975" s="16" t="n">
        <x:f>C975^2</x:f>
        <x:v>3.3413774155438117e-7</x:v>
      </x:c>
      <x:c r="G975" s="1"/>
      <x:c r="H975" s="1"/>
      <x:c r="I975" s="1"/>
      <x:c r="J975" s="1"/>
      <x:c r="K975" s="1"/>
      <x:c r="L975" s="1"/>
      <x:c r="M975" s="1"/>
      <x:c r="N975" s="1"/>
    </x:row>
    <x:row r="976" ht="22" customHeight="1">
      <x:c r="A976" s="1" t="n">
        <x:v>960</x:v>
      </x:c>
      <x:c r="B976" s="16" t="n">
        <x:v>0.004462827686968099</x:v>
      </x:c>
      <x:c r="C976" s="16" t="n">
        <x:f>$B$12+$D$12*B976</x:f>
        <x:v>0.0005517211760779784</x:v>
      </x:c>
      <x:c r="D976" s="12" t="n">
        <x:f>D975*EXP(C976)</x:f>
        <x:v>172.5904266198417</x:v>
      </x:c>
      <x:c r="E976" s="16" t="n">
        <x:f>ABS(C976)</x:f>
        <x:v>0.0005517211760779784</x:v>
      </x:c>
      <x:c r="F976" s="16" t="n">
        <x:f>C976^2</x:f>
        <x:v>3.043962561328676e-7</x:v>
      </x:c>
      <x:c r="G976" s="1"/>
      <x:c r="H976" s="1"/>
      <x:c r="I976" s="1"/>
      <x:c r="J976" s="1"/>
      <x:c r="K976" s="1"/>
      <x:c r="L976" s="1"/>
      <x:c r="M976" s="1"/>
      <x:c r="N976" s="1"/>
    </x:row>
    <x:row r="977" ht="22" customHeight="1">
      <x:c r="A977" s="1" t="n">
        <x:v>961</x:v>
      </x:c>
      <x:c r="B977" s="16" t="n">
        <x:v>1.119161324954734</x:v>
      </x:c>
      <x:c r="C977" s="16" t="n">
        <x:f>$B$12+$D$12*B977</x:f>
        <x:v>0.015289513030091387</x:v>
      </x:c>
      <x:c r="D977" s="12" t="n">
        <x:f>D976*EXP(C977)</x:f>
        <x:v>175.24952656705472</x:v>
      </x:c>
      <x:c r="E977" s="16" t="n">
        <x:f>ABS(C977)</x:f>
        <x:v>0.015289513030091387</x:v>
      </x:c>
      <x:c r="F977" s="16" t="n">
        <x:f>C977^2</x:f>
        <x:v>0.0002337692086973343</x:v>
      </x:c>
      <x:c r="G977" s="1"/>
      <x:c r="H977" s="1"/>
      <x:c r="I977" s="1"/>
      <x:c r="J977" s="1"/>
      <x:c r="K977" s="1"/>
      <x:c r="L977" s="1"/>
      <x:c r="M977" s="1"/>
      <x:c r="N977" s="1"/>
    </x:row>
    <x:row r="978" ht="22" customHeight="1">
      <x:c r="A978" s="1" t="n">
        <x:v>962</x:v>
      </x:c>
      <x:c r="B978" s="16" t="n">
        <x:v>-0.4420506135778467</x:v>
      </x:c>
      <x:c r="C978" s="16" t="n">
        <x:f>$B$12+$D$12*B978</x:f>
        <x:v>-0.005351778446025958</x:v>
      </x:c>
      <x:c r="D978" s="12" t="n">
        <x:f>D977*EXP(C978)</x:f>
        <x:v>174.3141351644563</x:v>
      </x:c>
      <x:c r="E978" s="16" t="n">
        <x:f>ABS(C978)</x:f>
        <x:v>0.005351778446025958</x:v>
      </x:c>
      <x:c r="F978" s="16" t="n">
        <x:f>C978^2</x:f>
        <x:v>0.00002864153253534802</x:v>
      </x:c>
      <x:c r="G978" s="1"/>
      <x:c r="H978" s="1"/>
      <x:c r="I978" s="1"/>
      <x:c r="J978" s="1"/>
      <x:c r="K978" s="1"/>
      <x:c r="L978" s="1"/>
      <x:c r="M978" s="1"/>
      <x:c r="N978" s="1"/>
    </x:row>
    <x:row r="979" ht="22" customHeight="1">
      <x:c r="A979" s="1" t="n">
        <x:v>963</x:v>
      </x:c>
      <x:c r="B979" s="16" t="n">
        <x:v>1.78594106008601</x:v>
      </x:c>
      <x:c r="C979" s="16" t="n">
        <x:f>$B$12+$D$12*B979</x:f>
        <x:v>0.024105225057088397</x:v>
      </x:c>
      <x:c r="D979" s="12" t="n">
        <x:f>D978*EXP(C979)</x:f>
        <x:v>178.56706966198846</x:v>
      </x:c>
      <x:c r="E979" s="16" t="n">
        <x:f>ABS(C979)</x:f>
        <x:v>0.024105225057088397</x:v>
      </x:c>
      <x:c r="F979" s="16" t="n">
        <x:f>C979^2</x:f>
        <x:v>0.0005810618750528824</x:v>
      </x:c>
      <x:c r="G979" s="1"/>
      <x:c r="H979" s="1"/>
      <x:c r="I979" s="1"/>
      <x:c r="J979" s="1"/>
      <x:c r="K979" s="1"/>
      <x:c r="L979" s="1"/>
      <x:c r="M979" s="1"/>
      <x:c r="N979" s="1"/>
    </x:row>
    <x:row r="980" ht="22" customHeight="1">
      <x:c r="A980" s="1" t="n">
        <x:v>964</x:v>
      </x:c>
      <x:c r="B980" s="16" t="n">
        <x:v>-1.6831550165851004</x:v>
      </x:c>
      <x:c r="C980" s="16" t="n">
        <x:f>$B$12+$D$12*B980</x:f>
        <x:v>-0.021760823946180334</x:v>
      </x:c>
      <x:c r="D980" s="12" t="n">
        <x:f>D979*EXP(C980)</x:f>
        <x:v>174.72327682527063</x:v>
      </x:c>
      <x:c r="E980" s="16" t="n">
        <x:f>ABS(C980)</x:f>
        <x:v>0.021760823946180334</x:v>
      </x:c>
      <x:c r="F980" s="16" t="n">
        <x:f>C980^2</x:f>
        <x:v>0.00047353345881665545</x:v>
      </x:c>
      <x:c r="G980" s="1"/>
      <x:c r="H980" s="1"/>
      <x:c r="I980" s="1"/>
      <x:c r="J980" s="1"/>
      <x:c r="K980" s="1"/>
      <x:c r="L980" s="1"/>
      <x:c r="M980" s="1"/>
      <x:c r="N980" s="1"/>
    </x:row>
    <x:row r="981" ht="22" customHeight="1">
      <x:c r="A981" s="1" t="n">
        <x:v>965</x:v>
      </x:c>
      <x:c r="B981" s="16" t="n">
        <x:v>-0.12768535341071174</x:v>
      </x:c>
      <x:c r="C981" s="16" t="n">
        <x:f>$B$12+$D$12*B981</x:f>
        <x:v>-0.0011954529626490079</x:v>
      </x:c>
      <x:c r="D981" s="12" t="n">
        <x:f>D980*EXP(C981)</x:f>
        <x:v>174.51452816580817</x:v>
      </x:c>
      <x:c r="E981" s="16" t="n">
        <x:f>ABS(C981)</x:f>
        <x:v>0.0011954529626490079</x:v>
      </x:c>
      <x:c r="F981" s="16" t="n">
        <x:f>C981^2</x:f>
        <x:v>0.0000014291077859062903</x:v>
      </x:c>
      <x:c r="G981" s="1"/>
      <x:c r="H981" s="1"/>
      <x:c r="I981" s="1"/>
      <x:c r="J981" s="1"/>
      <x:c r="K981" s="1"/>
      <x:c r="L981" s="1"/>
      <x:c r="M981" s="1"/>
      <x:c r="N981" s="1"/>
    </x:row>
    <x:row r="982" ht="22" customHeight="1">
      <x:c r="A982" s="1" t="n">
        <x:v>966</x:v>
      </x:c>
      <x:c r="B982" s="16" t="n">
        <x:v>-0.3458624574214277</x:v>
      </x:c>
      <x:c r="C982" s="16" t="n">
        <x:f>$B$12+$D$12*B982</x:f>
        <x:v>-0.00408004350807698</x:v>
      </x:c>
      <x:c r="D982" s="12" t="n">
        <x:f>D981*EXP(C982)</x:f>
        <x:v>173.80395187492363</x:v>
      </x:c>
      <x:c r="E982" s="16" t="n">
        <x:f>ABS(C982)</x:f>
        <x:v>0.00408004350807698</x:v>
      </x:c>
      <x:c r="F982" s="16" t="n">
        <x:f>C982^2</x:f>
        <x:v>0.00001664675502780111</x:v>
      </x:c>
      <x:c r="G982" s="1"/>
      <x:c r="H982" s="1"/>
      <x:c r="I982" s="1"/>
      <x:c r="J982" s="1"/>
      <x:c r="K982" s="1"/>
      <x:c r="L982" s="1"/>
      <x:c r="M982" s="1"/>
      <x:c r="N982" s="1"/>
    </x:row>
    <x:row r="983" ht="22" customHeight="1">
      <x:c r="A983" s="1" t="n">
        <x:v>967</x:v>
      </x:c>
      <x:c r="B983" s="16" t="n">
        <x:v>1.8498274483664514</x:v>
      </x:c>
      <x:c r="C983" s="16" t="n">
        <x:f>$B$12+$D$12*B983</x:f>
        <x:v>0.024949887802296757</x:v>
      </x:c>
      <x:c r="D983" s="12" t="n">
        <x:f>D982*EXP(C983)</x:f>
        <x:v>178.19488990295872</x:v>
      </x:c>
      <x:c r="E983" s="16" t="n">
        <x:f>ABS(C983)</x:f>
        <x:v>0.024949887802296757</x:v>
      </x:c>
      <x:c r="F983" s="16" t="n">
        <x:f>C983^2</x:f>
        <x:v>0.0006224969013471965</x:v>
      </x:c>
      <x:c r="G983" s="1"/>
      <x:c r="H983" s="1"/>
      <x:c r="I983" s="1"/>
      <x:c r="J983" s="1"/>
      <x:c r="K983" s="1"/>
      <x:c r="L983" s="1"/>
      <x:c r="M983" s="1"/>
      <x:c r="N983" s="1"/>
    </x:row>
    <x:row r="984" ht="22" customHeight="1">
      <x:c r="A984" s="1" t="n">
        <x:v>968</x:v>
      </x:c>
      <x:c r="B984" s="16" t="n">
        <x:v>0.899265355802177</x:v>
      </x:c>
      <x:c r="C984" s="16" t="n">
        <x:f>$B$12+$D$12*B984</x:f>
        <x:v>0.012382196808843752</x:v>
      </x:c>
      <x:c r="D984" s="12" t="n">
        <x:f>D983*EXP(C984)</x:f>
        <x:v>180.41505096974254</x:v>
      </x:c>
      <x:c r="E984" s="16" t="n">
        <x:f>ABS(C984)</x:f>
        <x:v>0.012382196808843752</x:v>
      </x:c>
      <x:c r="F984" s="16" t="n">
        <x:f>C984^2</x:f>
        <x:v>0.0001533187978129404</x:v>
      </x:c>
      <x:c r="G984" s="1"/>
      <x:c r="H984" s="1"/>
      <x:c r="I984" s="1"/>
      <x:c r="J984" s="1"/>
      <x:c r="K984" s="1"/>
      <x:c r="L984" s="1"/>
      <x:c r="M984" s="1"/>
      <x:c r="N984" s="1"/>
    </x:row>
    <x:row r="985" ht="22" customHeight="1">
      <x:c r="A985" s="1" t="n">
        <x:v>969</x:v>
      </x:c>
      <x:c r="B985" s="16" t="n">
        <x:v>-0.14792498820405492</x:v>
      </x:c>
      <x:c r="C985" s="16" t="n">
        <x:f>$B$12+$D$12*B985</x:f>
        <x:v>-0.001463047765653292</x:v>
      </x:c>
      <x:c r="D985" s="12" t="n">
        <x:f>D984*EXP(C985)</x:f>
        <x:v>180.15128812839777</x:v>
      </x:c>
      <x:c r="E985" s="16" t="n">
        <x:f>ABS(C985)</x:f>
        <x:v>0.001463047765653292</x:v>
      </x:c>
      <x:c r="F985" s="16" t="n">
        <x:f>C985^2</x:f>
        <x:v>0.00000214050876458309</x:v>
      </x:c>
      <x:c r="G985" s="1"/>
      <x:c r="H985" s="1"/>
      <x:c r="I985" s="1"/>
      <x:c r="J985" s="1"/>
      <x:c r="K985" s="1"/>
      <x:c r="L985" s="1"/>
      <x:c r="M985" s="1"/>
      <x:c r="N985" s="1"/>
    </x:row>
    <x:row r="986" ht="22" customHeight="1">
      <x:c r="A986" s="1" t="n">
        <x:v>970</x:v>
      </x:c>
      <x:c r="B986" s="16" t="n">
        <x:v>-1.2960020960333567</x:v>
      </x:c>
      <x:c r="C986" s="16" t="n">
        <x:f>$B$12+$D$12*B986</x:f>
        <x:v>-0.016642149100246292</x:v>
      </x:c>
      <x:c r="D986" s="12" t="n">
        <x:f>D985*EXP(C986)</x:f>
        <x:v>177.17799316343667</x:v>
      </x:c>
      <x:c r="E986" s="16" t="n">
        <x:f>ABS(C986)</x:f>
        <x:v>0.016642149100246292</x:v>
      </x:c>
      <x:c r="F986" s="16" t="n">
        <x:f>C986^2</x:f>
        <x:v>0.0002769611266748285</x:v>
      </x:c>
      <x:c r="G986" s="1"/>
      <x:c r="H986" s="1"/>
      <x:c r="I986" s="1"/>
      <x:c r="J986" s="1"/>
      <x:c r="K986" s="1"/>
      <x:c r="L986" s="1"/>
      <x:c r="M986" s="1"/>
      <x:c r="N986" s="1"/>
    </x:row>
    <x:row r="987" ht="22" customHeight="1">
      <x:c r="A987" s="1" t="n">
        <x:v>971</x:v>
      </x:c>
      <x:c r="B987" s="16" t="n">
        <x:v>0.8538196079502175</x:v>
      </x:c>
      <x:c r="C987" s="16" t="n">
        <x:f>$B$12+$D$12*B987</x:f>
        <x:v>0.011781343776266936</x:v>
      </x:c>
      <x:c r="D987" s="12" t="n">
        <x:f>D986*EXP(C987)</x:f>
        <x:v>179.2777325996126</x:v>
      </x:c>
      <x:c r="E987" s="16" t="n">
        <x:f>ABS(C987)</x:f>
        <x:v>0.011781343776266936</x:v>
      </x:c>
      <x:c r="F987" s="16" t="n">
        <x:f>C987^2</x:f>
        <x:v>0.00013880006117458367</x:v>
      </x:c>
      <x:c r="G987" s="1"/>
      <x:c r="H987" s="1"/>
      <x:c r="I987" s="1"/>
      <x:c r="J987" s="1"/>
      <x:c r="K987" s="1"/>
      <x:c r="L987" s="1"/>
      <x:c r="M987" s="1"/>
      <x:c r="N987" s="1"/>
    </x:row>
    <x:row r="988" ht="22" customHeight="1">
      <x:c r="A988" s="1" t="n">
        <x:v>972</x:v>
      </x:c>
      <x:c r="B988" s="16" t="n">
        <x:v>-1.0762461588768808</x:v>
      </x:c>
      <x:c r="C988" s="16" t="n">
        <x:f>$B$12+$D$12*B988</x:f>
        <x:v>-0.013736684287622787</x:v>
      </x:c>
      <x:c r="D988" s="12" t="n">
        <x:f>D987*EXP(C988)</x:f>
        <x:v>176.83188834234588</x:v>
      </x:c>
      <x:c r="E988" s="16" t="n">
        <x:f>ABS(C988)</x:f>
        <x:v>0.013736684287622787</x:v>
      </x:c>
      <x:c r="F988" s="16" t="n">
        <x:f>C988^2</x:f>
        <x:v>0.00018869649521782277</x:v>
      </x:c>
      <x:c r="G988" s="1"/>
      <x:c r="H988" s="1"/>
      <x:c r="I988" s="1"/>
      <x:c r="J988" s="1"/>
      <x:c r="K988" s="1"/>
      <x:c r="L988" s="1"/>
      <x:c r="M988" s="1"/>
      <x:c r="N988" s="1"/>
    </x:row>
    <x:row r="989" ht="22" customHeight="1">
      <x:c r="A989" s="1" t="n">
        <x:v>973</x:v>
      </x:c>
      <x:c r="B989" s="16" t="n">
        <x:v>-0.767613813007938</x:v>
      </x:c>
      <x:c r="C989" s="16" t="n">
        <x:f>$B$12+$D$12*B989</x:f>
        <x:v>-0.009656155531209</x:v>
      </x:c>
      <x:c r="D989" s="12" t="n">
        <x:f>D988*EXP(C989)</x:f>
        <x:v>175.1325896754653</x:v>
      </x:c>
      <x:c r="E989" s="16" t="n">
        <x:f>ABS(C989)</x:f>
        <x:v>0.009656155531209</x:v>
      </x:c>
      <x:c r="F989" s="16" t="n">
        <x:f>C989^2</x:f>
        <x:v>0.00009324133964289817</x:v>
      </x:c>
      <x:c r="G989" s="1"/>
      <x:c r="H989" s="1"/>
      <x:c r="I989" s="1"/>
      <x:c r="J989" s="1"/>
      <x:c r="K989" s="1"/>
      <x:c r="L989" s="1"/>
      <x:c r="M989" s="1"/>
      <x:c r="N989" s="1"/>
    </x:row>
    <x:row r="990" ht="22" customHeight="1">
      <x:c r="A990" s="1" t="n">
        <x:v>974</x:v>
      </x:c>
      <x:c r="B990" s="16" t="n">
        <x:v>-1.350057813218306</x:v>
      </x:c>
      <x:c r="C990" s="16" t="n">
        <x:f>$B$12+$D$12*B990</x:f>
        <x:v>-0.01735683734136611</x:v>
      </x:c>
      <x:c r="D990" s="12" t="n">
        <x:f>D989*EXP(C990)</x:f>
        <x:v>172.1190700423257</x:v>
      </x:c>
      <x:c r="E990" s="16" t="n">
        <x:f>ABS(C990)</x:f>
        <x:v>0.01735683734136611</x:v>
      </x:c>
      <x:c r="F990" s="16" t="n">
        <x:f>C990^2</x:f>
        <x:v>0.00030125980249464095</x:v>
      </x:c>
      <x:c r="G990" s="1"/>
      <x:c r="H990" s="1"/>
      <x:c r="I990" s="1"/>
      <x:c r="J990" s="1"/>
      <x:c r="K990" s="1"/>
      <x:c r="L990" s="1"/>
      <x:c r="M990" s="1"/>
      <x:c r="N990" s="1"/>
    </x:row>
    <x:row r="991" ht="22" customHeight="1">
      <x:c r="A991" s="1" t="n">
        <x:v>975</x:v>
      </x:c>
      <x:c r="B991" s="16" t="n">
        <x:v>-0.009877098534120773</x:v>
      </x:c>
      <x:c r="C991" s="16" t="n">
        <x:f>$B$12+$D$12*B991</x:f>
        <x:v>0.00036212834145379175</x:v>
      </x:c>
      <x:c r="D991" s="12" t="n">
        <x:f>D990*EXP(C991)</x:f>
        <x:v>172.1814105226388</x:v>
      </x:c>
      <x:c r="E991" s="16" t="n">
        <x:f>ABS(C991)</x:f>
        <x:v>0.00036212834145379175</x:v>
      </x:c>
      <x:c r="F991" s="16" t="n">
        <x:f>C991^2</x:f>
        <x:v>1.31136935684074e-7</x:v>
      </x:c>
      <x:c r="G991" s="1"/>
      <x:c r="H991" s="1"/>
      <x:c r="I991" s="1"/>
      <x:c r="J991" s="1"/>
      <x:c r="K991" s="1"/>
      <x:c r="L991" s="1"/>
      <x:c r="M991" s="1"/>
      <x:c r="N991" s="1"/>
    </x:row>
    <x:row r="992" ht="22" customHeight="1">
      <x:c r="A992" s="1" t="n">
        <x:v>976</x:v>
      </x:c>
      <x:c r="B992" s="16" t="n">
        <x:v>-0.5473704455001257</x:v>
      </x:c>
      <x:c r="C992" s="16" t="n">
        <x:f>$B$12+$D$12*B992</x:f>
        <x:v>-0.006744246243170005</x:v>
      </x:c>
      <x:c r="D992" s="12" t="n">
        <x:f>D991*EXP(C992)</x:f>
        <x:v>171.0240837267591</x:v>
      </x:c>
      <x:c r="E992" s="16" t="n">
        <x:f>ABS(C992)</x:f>
        <x:v>0.006744246243170005</x:v>
      </x:c>
      <x:c r="F992" s="16" t="n">
        <x:f>C992^2</x:f>
        <x:v>0.00004548485738851272</x:v>
      </x:c>
      <x:c r="G992" s="1"/>
      <x:c r="H992" s="1"/>
      <x:c r="I992" s="1"/>
      <x:c r="J992" s="1"/>
      <x:c r="K992" s="1"/>
      <x:c r="L992" s="1"/>
      <x:c r="M992" s="1"/>
      <x:c r="N992" s="1"/>
    </x:row>
    <x:row r="993" ht="22" customHeight="1">
      <x:c r="A993" s="1" t="n">
        <x:v>977</x:v>
      </x:c>
      <x:c r="B993" s="16" t="n">
        <x:v>0.8860173832808141</x:v>
      </x:c>
      <x:c r="C993" s="16" t="n">
        <x:f>$B$12+$D$12*B993</x:f>
        <x:v>0.012207041049698025</x:v>
      </x:c>
      <x:c r="D993" s="12" t="n">
        <x:f>D992*EXP(C993)</x:f>
        <x:v>173.12457605219655</x:v>
      </x:c>
      <x:c r="E993" s="16" t="n">
        <x:f>ABS(C993)</x:f>
        <x:v>0.012207041049698025</x:v>
      </x:c>
      <x:c r="F993" s="16" t="n">
        <x:f>C993^2</x:f>
        <x:v>0.00014901185118901267</x:v>
      </x:c>
      <x:c r="G993" s="1"/>
      <x:c r="H993" s="1"/>
      <x:c r="I993" s="1"/>
      <x:c r="J993" s="1"/>
      <x:c r="K993" s="1"/>
      <x:c r="L993" s="1"/>
      <x:c r="M993" s="1"/>
      <x:c r="N993" s="1"/>
    </x:row>
    <x:row r="994" ht="22" customHeight="1">
      <x:c r="A994" s="1" t="n">
        <x:v>978</x:v>
      </x:c>
      <x:c r="B994" s="16" t="n">
        <x:v>0.860393196290105</x:v>
      </x:c>
      <x:c r="C994" s="16" t="n">
        <x:f>$B$12+$D$12*B994</x:f>
        <x:v>0.011868255328515992</x:v>
      </x:c>
      <x:c r="D994" s="12" t="n">
        <x:f>D993*EXP(C994)</x:f>
        <x:v>175.19150387655458</x:v>
      </x:c>
      <x:c r="E994" s="16" t="n">
        <x:f>ABS(C994)</x:f>
        <x:v>0.011868255328515992</x:v>
      </x:c>
      <x:c r="F994" s="16" t="n">
        <x:f>C994^2</x:f>
        <x:v>0.00014085548454284823</x:v>
      </x:c>
      <x:c r="G994" s="1"/>
      <x:c r="H994" s="1"/>
      <x:c r="I994" s="1"/>
      <x:c r="J994" s="1"/>
      <x:c r="K994" s="1"/>
      <x:c r="L994" s="1"/>
      <x:c r="M994" s="1"/>
      <x:c r="N994" s="1"/>
    </x:row>
    <x:row r="995" ht="22" customHeight="1">
      <x:c r="A995" s="1" t="n">
        <x:v>979</x:v>
      </x:c>
      <x:c r="B995" s="16" t="n">
        <x:v>-0.031109232765244695</x:v>
      </x:c>
      <x:c r="C995" s="16" t="n">
        <x:f>$B$12+$D$12*B995</x:f>
        <x:v>0.00008141138015729603</x:v>
      </x:c>
      <x:c r="D995" s="12" t="n">
        <x:f>D994*EXP(C995)</x:f>
        <x:v>175.20576703926102</x:v>
      </x:c>
      <x:c r="E995" s="16" t="n">
        <x:f>ABS(C995)</x:f>
        <x:v>0.00008141138015729603</x:v>
      </x:c>
      <x:c r="F995" s="16" t="n">
        <x:f>C995^2</x:f>
        <x:v>6.627812819115775e-9</x:v>
      </x:c>
      <x:c r="G995" s="1"/>
      <x:c r="H995" s="1"/>
      <x:c r="I995" s="1"/>
      <x:c r="J995" s="1"/>
      <x:c r="K995" s="1"/>
      <x:c r="L995" s="1"/>
      <x:c r="M995" s="1"/>
      <x:c r="N995" s="1"/>
    </x:row>
    <x:row r="996" ht="22" customHeight="1">
      <x:c r="A996" s="1" t="n">
        <x:v>980</x:v>
      </x:c>
      <x:c r="B996" s="16" t="n">
        <x:v>-0.47951158402061106</x:v>
      </x:c>
      <x:c r="C996" s="16" t="n">
        <x:f>$B$12+$D$12*B996</x:f>
        <x:v>-0.005847062136089272</x:v>
      </x:c>
      <x:c r="D996" s="12" t="n">
        <x:f>D995*EXP(C996)</x:f>
        <x:v>174.1843171832902</x:v>
      </x:c>
      <x:c r="E996" s="16" t="n">
        <x:f>ABS(C996)</x:f>
        <x:v>0.005847062136089272</x:v>
      </x:c>
      <x:c r="F996" s="16" t="n">
        <x:f>C996^2</x:f>
        <x:v>0.000034188135623288836</x:v>
      </x:c>
      <x:c r="G996" s="1"/>
      <x:c r="H996" s="1"/>
      <x:c r="I996" s="1"/>
      <x:c r="J996" s="1"/>
      <x:c r="K996" s="1"/>
      <x:c r="L996" s="1"/>
      <x:c r="M996" s="1"/>
      <x:c r="N996" s="1"/>
    </x:row>
    <x:row r="997" ht="22" customHeight="1">
      <x:c r="A997" s="1" t="n">
        <x:v>981</x:v>
      </x:c>
      <x:c r="B997" s="16" t="n">
        <x:v>1.6028679099413963</x:v>
      </x:c>
      <x:c r="C997" s="16" t="n">
        <x:f>$B$12+$D$12*B997</x:f>
        <x:v>0.0216847553179588</x:v>
      </x:c>
      <x:c r="D997" s="12" t="n">
        <x:f>D996*EXP(C997)</x:f>
        <x:v>178.0027123385782</x:v>
      </x:c>
      <x:c r="E997" s="16" t="n">
        <x:f>ABS(C997)</x:f>
        <x:v>0.0216847553179588</x:v>
      </x:c>
      <x:c r="F997" s="16" t="n">
        <x:f>C997^2</x:f>
        <x:v>0.00047022861319974255</x:v>
      </x:c>
      <x:c r="G997" s="1"/>
      <x:c r="H997" s="1"/>
      <x:c r="I997" s="1"/>
      <x:c r="J997" s="1"/>
      <x:c r="K997" s="1"/>
      <x:c r="L997" s="1"/>
      <x:c r="M997" s="1"/>
      <x:c r="N997" s="1"/>
    </x:row>
    <x:row r="998" ht="22" customHeight="1">
      <x:c r="A998" s="1" t="n">
        <x:v>982</x:v>
      </x:c>
      <x:c r="B998" s="16" t="n">
        <x:v>0.21539049032764548</x:v>
      </x:c>
      <x:c r="C998" s="16" t="n">
        <x:f>$B$12+$D$12*B998</x:f>
        <x:v>0.003340464496241559</x:v>
      </x:c>
      <x:c r="D998" s="12" t="n">
        <x:f>D997*EXP(C998)</x:f>
        <x:v>178.59831832585795</x:v>
      </x:c>
      <x:c r="E998" s="16" t="n">
        <x:f>ABS(C998)</x:f>
        <x:v>0.003340464496241559</x:v>
      </x:c>
      <x:c r="F998" s="16" t="n">
        <x:f>C998^2</x:f>
        <x:v>0.000011158703050650373</x:v>
      </x:c>
      <x:c r="G998" s="1"/>
      <x:c r="H998" s="1"/>
      <x:c r="I998" s="1"/>
      <x:c r="J998" s="1"/>
      <x:c r="K998" s="1"/>
      <x:c r="L998" s="1"/>
      <x:c r="M998" s="1"/>
      <x:c r="N998" s="1"/>
    </x:row>
    <x:row r="999" ht="22" customHeight="1">
      <x:c r="A999" s="1" t="n">
        <x:v>983</x:v>
      </x:c>
      <x:c r="B999" s="16" t="n">
        <x:v>0.6485950611318395</x:v>
      </x:c>
      <x:c r="C999" s="16" t="n">
        <x:f>$B$12+$D$12*B999</x:f>
        <x:v>0.00906800320771233</x:v>
      </x:c>
      <x:c r="D999" s="12" t="n">
        <x:f>D998*EXP(C999)</x:f>
        <x:v>180.22521364721896</x:v>
      </x:c>
      <x:c r="E999" s="16" t="n">
        <x:f>ABS(C999)</x:f>
        <x:v>0.00906800320771233</x:v>
      </x:c>
      <x:c r="F999" s="16" t="n">
        <x:f>C999^2</x:f>
        <x:v>0.0000822286821750811</x:v>
      </x:c>
      <x:c r="G999" s="1"/>
      <x:c r="H999" s="1"/>
      <x:c r="I999" s="1"/>
      <x:c r="J999" s="1"/>
      <x:c r="K999" s="1"/>
      <x:c r="L999" s="1"/>
      <x:c r="M999" s="1"/>
      <x:c r="N999" s="1"/>
    </x:row>
    <x:row r="1000" ht="22" customHeight="1">
      <x:c r="A1000" s="1" t="n">
        <x:v>984</x:v>
      </x:c>
      <x:c r="B1000" s="16" t="n">
        <x:v>0.034497105446113355</x:v>
      </x:c>
      <x:c r="C1000" s="16" t="n">
        <x:f>$B$12+$D$12*B1000</x:f>
        <x:v>0.0009488141435349706</x:v>
      </x:c>
      <x:c r="D1000" s="12" t="n">
        <x:f>D999*EXP(C1000)</x:f>
        <x:v>180.39629502833148</x:v>
      </x:c>
      <x:c r="E1000" s="16" t="n">
        <x:f>ABS(C1000)</x:f>
        <x:v>0.0009488141435349706</x:v>
      </x:c>
      <x:c r="F1000" s="16" t="n">
        <x:f>C1000^2</x:f>
        <x:v>9.002482789719997e-7</x:v>
      </x:c>
      <x:c r="G1000" s="1"/>
      <x:c r="H1000" s="1"/>
      <x:c r="I1000" s="1"/>
      <x:c r="J1000" s="1"/>
      <x:c r="K1000" s="1"/>
      <x:c r="L1000" s="1"/>
      <x:c r="M1000" s="1"/>
      <x:c r="N1000" s="1"/>
    </x:row>
    <x:row r="1001" ht="22" customHeight="1">
      <x:c r="A1001" s="1" t="n">
        <x:v>985</x:v>
      </x:c>
      <x:c r="B1001" s="16" t="n">
        <x:v>1.2245859066961924</x:v>
      </x:c>
      <x:c r="C1001" s="16" t="n">
        <x:f>$B$12+$D$12*B1001</x:f>
        <x:v>0.01668336575870847</x:v>
      </x:c>
      <x:c r="D1001" s="12" t="n">
        <x:f>D1000*EXP(C1001)</x:f>
        <x:v>183.431157871248</x:v>
      </x:c>
      <x:c r="E1001" s="16" t="n">
        <x:f>ABS(C1001)</x:f>
        <x:v>0.01668336575870847</x:v>
      </x:c>
      <x:c r="F1001" s="16" t="n">
        <x:f>C1001^2</x:f>
        <x:v>0.00027833469303884624</x:v>
      </x:c>
      <x:c r="G1001" s="1"/>
      <x:c r="H1001" s="1"/>
      <x:c r="I1001" s="1"/>
      <x:c r="J1001" s="1"/>
      <x:c r="K1001" s="1"/>
      <x:c r="L1001" s="1"/>
      <x:c r="M1001" s="1"/>
      <x:c r="N1001" s="1"/>
    </x:row>
    <x:row r="1002" ht="22" customHeight="1">
      <x:c r="A1002" s="1" t="n">
        <x:v>986</x:v>
      </x:c>
      <x:c r="B1002" s="16" t="n">
        <x:v>-0.19047792528533394</x:v>
      </x:c>
      <x:c r="C1002" s="16" t="n">
        <x:f>$B$12+$D$12*B1002</x:f>
        <x:v>-0.0020256540049350268</x:v>
      </x:c>
      <x:c r="D1002" s="12" t="n">
        <x:f>D1001*EXP(C1002)</x:f>
        <x:v>183.05996589186122</x:v>
      </x:c>
      <x:c r="E1002" s="16" t="n">
        <x:f>ABS(C1002)</x:f>
        <x:v>0.0020256540049350268</x:v>
      </x:c>
      <x:c r="F1002" s="16" t="n">
        <x:f>C1002^2</x:f>
        <x:v>0.0000041032741477093135</x:v>
      </x:c>
      <x:c r="G1002" s="1"/>
      <x:c r="H1002" s="1"/>
      <x:c r="I1002" s="1"/>
      <x:c r="J1002" s="1"/>
      <x:c r="K1002" s="1"/>
      <x:c r="L1002" s="1"/>
      <x:c r="M1002" s="1"/>
      <x:c r="N1002" s="1"/>
    </x:row>
    <x:row r="1003" ht="22" customHeight="1">
      <x:c r="A1003" s="1" t="n">
        <x:v>987</x:v>
      </x:c>
      <x:c r="B1003" s="16" t="n">
        <x:v>-0.0436432152802038</x:v>
      </x:c>
      <x:c r="C1003" s="16" t="n">
        <x:f>$B$12+$D$12*B1003</x:f>
        <x:v>-0.00008430448459006415</x:v>
      </x:c>
      <x:c r="D1003" s="12" t="n">
        <x:f>D1002*EXP(C1003)</x:f>
        <x:v>183.04453376629547</x:v>
      </x:c>
      <x:c r="E1003" s="16" t="n">
        <x:f>ABS(C1003)</x:f>
        <x:v>0.00008430448459006415</x:v>
      </x:c>
      <x:c r="F1003" s="16" t="n">
        <x:f>C1003^2</x:f>
        <x:v>7.107246121996363e-9</x:v>
      </x:c>
      <x:c r="G1003" s="1"/>
      <x:c r="H1003" s="1"/>
      <x:c r="I1003" s="1"/>
      <x:c r="J1003" s="1"/>
      <x:c r="K1003" s="1"/>
      <x:c r="L1003" s="1"/>
      <x:c r="M1003" s="1"/>
      <x:c r="N1003" s="1"/>
    </x:row>
    <x:row r="1004" ht="22" customHeight="1">
      <x:c r="A1004" s="1" t="n">
        <x:v>988</x:v>
      </x:c>
      <x:c r="B1004" s="16" t="n">
        <x:v>-0.8284864907608251</x:v>
      </x:c>
      <x:c r="C1004" s="16" t="n">
        <x:f>$B$12+$D$12*B1004</x:f>
        <x:v>-0.010460973028063472</x:v>
      </x:c>
      <x:c r="D1004" s="12" t="n">
        <x:f>D1003*EXP(C1004)</x:f>
        <x:v>181.13969046369982</x:v>
      </x:c>
      <x:c r="E1004" s="16" t="n">
        <x:f>ABS(C1004)</x:f>
        <x:v>0.010460973028063472</x:v>
      </x:c>
      <x:c r="F1004" s="16" t="n">
        <x:f>C1004^2</x:f>
        <x:v>0.00010943195669387144</x:v>
      </x:c>
      <x:c r="G1004" s="1"/>
      <x:c r="H1004" s="1"/>
      <x:c r="I1004" s="1"/>
      <x:c r="J1004" s="1"/>
      <x:c r="K1004" s="1"/>
      <x:c r="L1004" s="1"/>
      <x:c r="M1004" s="1"/>
      <x:c r="N1004" s="1"/>
    </x:row>
    <x:row r="1005" ht="22" customHeight="1">
      <x:c r="A1005" s="1" t="n">
        <x:v>989</x:v>
      </x:c>
      <x:c r="B1005" s="16" t="n">
        <x:v>-0.6966920230437514</x:v>
      </x:c>
      <x:c r="C1005" s="16" t="n">
        <x:f>$B$12+$D$12*B1005</x:f>
        <x:v>-0.00871847544913461</x:v>
      </x:c>
      <x:c r="D1005" s="12" t="n">
        <x:f>D1004*EXP(C1005)</x:f>
        <x:v>179.56729293420992</x:v>
      </x:c>
      <x:c r="E1005" s="16" t="n">
        <x:f>ABS(C1005)</x:f>
        <x:v>0.00871847544913461</x:v>
      </x:c>
      <x:c r="F1005" s="16" t="n">
        <x:f>C1005^2</x:f>
        <x:v>0.00007601181415716293</x:v>
      </x:c>
      <x:c r="G1005" s="1"/>
      <x:c r="H1005" s="1"/>
      <x:c r="I1005" s="1"/>
      <x:c r="J1005" s="1"/>
      <x:c r="K1005" s="1"/>
      <x:c r="L1005" s="1"/>
      <x:c r="M1005" s="1"/>
      <x:c r="N1005" s="1"/>
    </x:row>
    <x:row r="1006" ht="22" customHeight="1">
      <x:c r="A1006" s="1" t="n">
        <x:v>990</x:v>
      </x:c>
      <x:c r="B1006" s="16" t="n">
        <x:v>-0.7456815077733673</x:v>
      </x:c>
      <x:c r="C1006" s="16" t="n">
        <x:f>$B$12+$D$12*B1006</x:f>
        <x:v>-0.00936618138105264</x:v>
      </x:c>
      <x:c r="D1006" s="12" t="n">
        <x:f>D1005*EXP(C1006)</x:f>
        <x:v>177.89328486780306</x:v>
      </x:c>
      <x:c r="E1006" s="16" t="n">
        <x:f>ABS(C1006)</x:f>
        <x:v>0.00936618138105264</x:v>
      </x:c>
      <x:c r="F1006" s="16" t="n">
        <x:f>C1006^2</x:f>
        <x:v>0.00008772535366277714</x:v>
      </x:c>
      <x:c r="G1006" s="1"/>
      <x:c r="H1006" s="1"/>
      <x:c r="I1006" s="1"/>
      <x:c r="J1006" s="1"/>
      <x:c r="K1006" s="1"/>
      <x:c r="L1006" s="1"/>
      <x:c r="M1006" s="1"/>
      <x:c r="N1006" s="1"/>
    </x:row>
    <x:row r="1007" ht="22" customHeight="1">
      <x:c r="A1007" s="1" t="n">
        <x:v>991</x:v>
      </x:c>
      <x:c r="B1007" s="16" t="n">
        <x:v>1.6156250610468013</x:v>
      </x:c>
      <x:c r="C1007" s="16" t="n">
        <x:f>$B$12+$D$12*B1007</x:f>
        <x:v>0.021853421767319317</x:v>
      </x:c>
      <x:c r="D1007" s="12" t="n">
        <x:f>D1006*EXP(C1007)</x:f>
        <x:v>181.82365141230497</x:v>
      </x:c>
      <x:c r="E1007" s="16" t="n">
        <x:f>ABS(C1007)</x:f>
        <x:v>0.021853421767319317</x:v>
      </x:c>
      <x:c r="F1007" s="16" t="n">
        <x:f>C1007^2</x:f>
        <x:v>0.0004775720429403457</x:v>
      </x:c>
      <x:c r="G1007" s="1"/>
      <x:c r="H1007" s="1"/>
      <x:c r="I1007" s="1"/>
      <x:c r="J1007" s="1"/>
      <x:c r="K1007" s="1"/>
      <x:c r="L1007" s="1"/>
      <x:c r="M1007" s="1"/>
      <x:c r="N1007" s="1"/>
    </x:row>
    <x:row r="1008" ht="22" customHeight="1">
      <x:c r="A1008" s="1" t="n">
        <x:v>992</x:v>
      </x:c>
      <x:c r="B1008" s="16" t="n">
        <x:v>-0.8703386425483873</x:v>
      </x:c>
      <x:c r="C1008" s="16" t="n">
        <x:f>$B$12+$D$12*B1008</x:f>
        <x:v>-0.011014313956753627</x:v>
      </x:c>
      <x:c r="D1008" s="12" t="n">
        <x:f>D1007*EXP(C1008)</x:f>
        <x:v>179.83197722824193</x:v>
      </x:c>
      <x:c r="E1008" s="16" t="n">
        <x:f>ABS(C1008)</x:f>
        <x:v>0.011014313956753627</x:v>
      </x:c>
      <x:c r="F1008" s="16" t="n">
        <x:f>C1008^2</x:f>
        <x:v>0.00012131511193793775</x:v>
      </x:c>
      <x:c r="G1008" s="1"/>
      <x:c r="H1008" s="1"/>
      <x:c r="I1008" s="1"/>
      <x:c r="J1008" s="1"/>
      <x:c r="K1008" s="1"/>
      <x:c r="L1008" s="1"/>
      <x:c r="M1008" s="1"/>
      <x:c r="N1008" s="1"/>
    </x:row>
    <x:row r="1009" ht="22" customHeight="1">
      <x:c r="A1009" s="1" t="n">
        <x:v>993</x:v>
      </x:c>
      <x:c r="B1009" s="16" t="n">
        <x:v>0.9054388212905217</x:v>
      </x:c>
      <x:c r="C1009" s="16" t="n">
        <x:f>$B$12+$D$12*B1009</x:f>
        <x:v>0.012463818206565348</x:v>
      </x:c>
      <x:c r="D1009" s="12" t="n">
        <x:f>D1008*EXP(C1009)</x:f>
        <x:v>182.08739667150166</x:v>
      </x:c>
      <x:c r="E1009" s="16" t="n">
        <x:f>ABS(C1009)</x:f>
        <x:v>0.012463818206565348</x:v>
      </x:c>
      <x:c r="F1009" s="16" t="n">
        <x:f>C1009^2</x:f>
        <x:v>0.00015534676428630986</x:v>
      </x:c>
      <x:c r="G1009" s="1"/>
      <x:c r="H1009" s="1"/>
      <x:c r="I1009" s="1"/>
      <x:c r="J1009" s="1"/>
      <x:c r="K1009" s="1"/>
      <x:c r="L1009" s="1"/>
      <x:c r="M1009" s="1"/>
      <x:c r="N1009" s="1"/>
    </x:row>
    <x:row r="1010" ht="22" customHeight="1">
      <x:c r="A1010" s="1" t="n">
        <x:v>994</x:v>
      </x:c>
      <x:c r="B1010" s="16" t="n">
        <x:v>0.23119392030832456</x:v>
      </x:c>
      <x:c r="C1010" s="16" t="n">
        <x:f>$B$12+$D$12*B1010</x:f>
        <x:v>0.0035494067906876384</x:v>
      </x:c>
      <x:c r="D1010" s="12" t="n">
        <x:f>D1009*EXP(C1010)</x:f>
        <x:v>182.73484726678524</x:v>
      </x:c>
      <x:c r="E1010" s="16" t="n">
        <x:f>ABS(C1010)</x:f>
        <x:v>0.0035494067906876384</x:v>
      </x:c>
      <x:c r="F1010" s="16" t="n">
        <x:f>C1010^2</x:f>
        <x:v>0.000012598288565779521</x:v>
      </x:c>
      <x:c r="G1010" s="1"/>
      <x:c r="H1010" s="1"/>
      <x:c r="I1010" s="1"/>
      <x:c r="J1010" s="1"/>
      <x:c r="K1010" s="1"/>
      <x:c r="L1010" s="1"/>
      <x:c r="M1010" s="1"/>
      <x:c r="N1010" s="1"/>
    </x:row>
    <x:row r="1011" ht="22" customHeight="1">
      <x:c r="A1011" s="1" t="n">
        <x:v>995</x:v>
      </x:c>
      <x:c r="B1011" s="16" t="n">
        <x:v>-0.5836837038806594</x:v>
      </x:c>
      <x:c r="C1011" s="16" t="n">
        <x:f>$B$12+$D$12*B1011</x:f>
        <x:v>-0.007224355658285469</x:v>
      </x:c>
      <x:c r="D1011" s="12" t="n">
        <x:f>D1010*EXP(C1011)</x:f>
        <x:v>181.41946286231527</x:v>
      </x:c>
      <x:c r="E1011" s="16" t="n">
        <x:f>ABS(C1011)</x:f>
        <x:v>0.007224355658285469</x:v>
      </x:c>
      <x:c r="F1011" s="16" t="n">
        <x:f>C1011^2</x:f>
        <x:v>0.000052191314677401265</x:v>
      </x:c>
      <x:c r="G1011" s="1"/>
      <x:c r="H1011" s="1"/>
      <x:c r="I1011" s="1"/>
      <x:c r="J1011" s="1"/>
      <x:c r="K1011" s="1"/>
      <x:c r="L1011" s="1"/>
      <x:c r="M1011" s="1"/>
      <x:c r="N1011" s="1"/>
    </x:row>
    <x:row r="1012" ht="22" customHeight="1">
      <x:c r="A1012" s="1" t="n">
        <x:v>996</x:v>
      </x:c>
      <x:c r="B1012" s="16" t="n">
        <x:v>0.6121824850914221</x:v>
      </x:c>
      <x:c r="C1012" s="16" t="n">
        <x:f>$B$12+$D$12*B1012</x:f>
        <x:v>0.00858658068147096</x:v>
      </x:c>
      <x:c r="D1012" s="12" t="n">
        <x:f>D1011*EXP(C1012)</x:f>
        <x:v>182.98394287195364</x:v>
      </x:c>
      <x:c r="E1012" s="16" t="n">
        <x:f>ABS(C1012)</x:f>
        <x:v>0.00858658068147096</x:v>
      </x:c>
      <x:c r="F1012" s="16" t="n">
        <x:f>C1012^2</x:f>
        <x:v>0.00007372936779941028</x:v>
      </x:c>
      <x:c r="G1012" s="1"/>
      <x:c r="H1012" s="1"/>
      <x:c r="I1012" s="1"/>
      <x:c r="J1012" s="1"/>
      <x:c r="K1012" s="1"/>
      <x:c r="L1012" s="1"/>
      <x:c r="M1012" s="1"/>
      <x:c r="N1012" s="1"/>
    </x:row>
    <x:row r="1013" ht="22" customHeight="1">
      <x:c r="A1013" s="1" t="n">
        <x:v>997</x:v>
      </x:c>
      <x:c r="B1013" s="16" t="n">
        <x:v>-0.45262552208779794</x:v>
      </x:c>
      <x:c r="C1013" s="16" t="n">
        <x:f>$B$12+$D$12*B1013</x:f>
        <x:v>-0.005491592755345386</x:v>
      </x:c>
      <x:c r="D1013" s="12" t="n">
        <x:f>D1012*EXP(C1013)</x:f>
        <x:v>181.9818237105539</x:v>
      </x:c>
      <x:c r="E1013" s="16" t="n">
        <x:f>ABS(C1013)</x:f>
        <x:v>0.005491592755345386</x:v>
      </x:c>
      <x:c r="F1013" s="16" t="n">
        <x:f>C1013^2</x:f>
        <x:v>0.000030157590990561928</x:v>
      </x:c>
      <x:c r="G1013" s="1"/>
      <x:c r="H1013" s="1"/>
      <x:c r="I1013" s="1"/>
      <x:c r="J1013" s="1"/>
      <x:c r="K1013" s="1"/>
      <x:c r="L1013" s="1"/>
      <x:c r="M1013" s="1"/>
      <x:c r="N1013" s="1"/>
    </x:row>
    <x:row r="1014" ht="22" customHeight="1">
      <x:c r="A1014" s="1" t="n">
        <x:v>998</x:v>
      </x:c>
      <x:c r="B1014" s="16" t="n">
        <x:v>-0.3507704191757756</x:v>
      </x:c>
      <x:c r="C1014" s="16" t="n">
        <x:f>$B$12+$D$12*B1014</x:f>
        <x:v>-0.004144933268797329</x:v>
      </x:c>
      <x:c r="D1014" s="12" t="n">
        <x:f>D1013*EXP(C1014)</x:f>
        <x:v>181.2290823042925</x:v>
      </x:c>
      <x:c r="E1014" s="16" t="n">
        <x:f>ABS(C1014)</x:f>
        <x:v>0.004144933268797329</x:v>
      </x:c>
      <x:c r="F1014" s="16" t="n">
        <x:f>C1014^2</x:f>
        <x:v>0.00001718047180278291</x:v>
      </x:c>
      <x:c r="G1014" s="1"/>
      <x:c r="H1014" s="1"/>
      <x:c r="I1014" s="1"/>
      <x:c r="J1014" s="1"/>
      <x:c r="K1014" s="1"/>
      <x:c r="L1014" s="1"/>
      <x:c r="M1014" s="1"/>
      <x:c r="N1014" s="1"/>
    </x:row>
    <x:row r="1015" ht="22" customHeight="1">
      <x:c r="A1015" s="1" t="n">
        <x:v>999</x:v>
      </x:c>
      <x:c r="B1015" s="16" t="n">
        <x:v>0.27118102002140854</x:v>
      </x:c>
      <x:c r="C1015" s="16" t="n">
        <x:f>$B$12+$D$12*B1015</x:f>
        <x:v>0.004078089258513328</x:v>
      </x:c>
      <x:c r="D1015" s="12" t="n">
        <x:f>D1014*EXP(C1015)</x:f>
        <x:v>181.9696597222077</x:v>
      </x:c>
      <x:c r="E1015" s="16" t="n">
        <x:f>ABS(C1015)</x:f>
        <x:v>0.004078089258513328</x:v>
      </x:c>
      <x:c r="F1015" s="16" t="n">
        <x:f>C1015^2</x:f>
        <x:v>0.000016630812000401785</x:v>
      </x:c>
      <x:c r="G1015" s="1"/>
      <x:c r="H1015" s="1"/>
      <x:c r="I1015" s="1"/>
      <x:c r="J1015" s="1"/>
      <x:c r="K1015" s="1"/>
      <x:c r="L1015" s="1"/>
      <x:c r="M1015" s="1"/>
      <x:c r="N1015" s="1"/>
    </x:row>
    <x:row r="1016" ht="22" customHeight="1">
      <x:c r="A1016" s="1" t="n">
        <x:v>1000</x:v>
      </x:c>
      <x:c r="B1016" s="16" t="n">
        <x:v>0.6016300547839656</x:v>
      </x:c>
      <x:c r="C1016" s="16" t="n">
        <x:f>$B$12+$D$12*B1016</x:f>
        <x:v>0.008447063563787147</x:v>
      </x:c>
      <x:c r="D1016" s="12" t="n">
        <x:f>D1015*EXP(C1016)</x:f>
        <x:v>183.51327935266534</x:v>
      </x:c>
      <x:c r="E1016" s="16" t="n">
        <x:f>ABS(C1016)</x:f>
        <x:v>0.008447063563787147</x:v>
      </x:c>
      <x:c r="F1016" s="16" t="n">
        <x:f>C1016^2</x:f>
        <x:v>0.0000713528828506604</x:v>
      </x:c>
      <x:c r="G1016" s="1"/>
      <x:c r="H1016" s="1"/>
      <x:c r="I1016" s="1"/>
      <x:c r="J1016" s="1"/>
      <x:c r="K1016" s="1"/>
      <x:c r="L1016" s="1"/>
      <x:c r="M1016" s="1"/>
      <x:c r="N1016" s="1"/>
    </x:row>
    <x:row r="1017" ht="22" customHeight="1">
      <x:c r="A1017" s="1" t="n">
        <x:v>1001</x:v>
      </x:c>
      <x:c r="B1017" s="16" t="n">
        <x:v>1.1204438029799346</x:v>
      </x:c>
      <x:c r="C1017" s="16" t="n">
        <x:f>$B$12+$D$12*B1017</x:f>
        <x:v>0.015306469089724625</x:v>
      </x:c>
      <x:c r="D1017" s="12" t="n">
        <x:f>D1016*EXP(C1017)</x:f>
        <x:v>186.34382727436525</x:v>
      </x:c>
      <x:c r="E1017" s="16" t="n">
        <x:f>ABS(C1017)</x:f>
        <x:v>0.015306469089724625</x:v>
      </x:c>
      <x:c r="F1017" s="16" t="n">
        <x:f>C1017^2</x:f>
        <x:v>0.0002342879959946954</x:v>
      </x:c>
      <x:c r="G1017" s="1"/>
      <x:c r="H1017" s="1"/>
      <x:c r="I1017" s="1"/>
      <x:c r="J1017" s="1"/>
      <x:c r="K1017" s="1"/>
      <x:c r="L1017" s="1"/>
      <x:c r="M1017" s="1"/>
      <x:c r="N1017" s="1"/>
    </x:row>
    <x:row r="1018" ht="22" customHeight="1">
      <x:c r="A1018" s="1" t="n">
        <x:v>1002</x:v>
      </x:c>
      <x:c r="B1018" s="16" t="n">
        <x:v>-0.6710000301120581</x:v>
      </x:c>
      <x:c r="C1018" s="16" t="n">
        <x:f>$B$12+$D$12*B1018</x:f>
        <x:v>-0.008378793243524599</x:v>
      </x:c>
      <x:c r="D1018" s="12" t="n">
        <x:f>D1017*EXP(C1018)</x:f>
        <x:v>184.7890137003506</x:v>
      </x:c>
      <x:c r="E1018" s="16" t="n">
        <x:f>ABS(C1018)</x:f>
        <x:v>0.008378793243524599</x:v>
      </x:c>
      <x:c r="F1018" s="16" t="n">
        <x:f>C1018^2</x:f>
        <x:v>0.00007020417621773346</x:v>
      </x:c>
      <x:c r="G1018" s="1"/>
      <x:c r="H1018" s="1"/>
      <x:c r="I1018" s="1"/>
      <x:c r="J1018" s="1"/>
      <x:c r="K1018" s="1"/>
      <x:c r="L1018" s="1"/>
      <x:c r="M1018" s="1"/>
      <x:c r="N1018" s="1"/>
    </x:row>
    <x:row r="1019" ht="22" customHeight="1">
      <x:c r="A1019" s="1" t="n">
        <x:v>1003</x:v>
      </x:c>
      <x:c r="B1019" s="16" t="n">
        <x:v>0.24457217834334619</x:v>
      </x:c>
      <x:c r="C1019" s="16" t="n">
        <x:f>$B$12+$D$12*B1019</x:f>
        <x:v>0.0037262850970392696</x:v>
      </x:c>
      <x:c r="D1019" s="12" t="n">
        <x:f>D1018*EXP(C1019)</x:f>
        <x:v>185.4788747594525</x:v>
      </x:c>
      <x:c r="E1019" s="16" t="n">
        <x:f>ABS(C1019)</x:f>
        <x:v>0.0037262850970392696</x:v>
      </x:c>
      <x:c r="F1019" s="16" t="n">
        <x:f>C1019^2</x:f>
        <x:v>0.000013885200624416958</x:v>
      </x:c>
      <x:c r="G1019" s="1"/>
      <x:c r="H1019" s="1"/>
      <x:c r="I1019" s="1"/>
      <x:c r="J1019" s="1"/>
      <x:c r="K1019" s="1"/>
      <x:c r="L1019" s="1"/>
      <x:c r="M1019" s="1"/>
      <x:c r="N1019" s="1"/>
    </x:row>
    <x:row r="1020" ht="22" customHeight="1">
      <x:c r="A1020" s="1" t="n">
        <x:v>1004</x:v>
      </x:c>
      <x:c r="B1020" s="16" t="n">
        <x:v>-0.5492778132765993</x:v>
      </x:c>
      <x:c r="C1020" s="16" t="n">
        <x:f>$B$12+$D$12*B1020</x:f>
        <x:v>-0.006769464173711421</x:v>
      </x:c>
      <x:c r="D1020" s="12" t="n">
        <x:f>D1019*EXP(C1020)</x:f>
        <x:v>184.2275224328253</x:v>
      </x:c>
      <x:c r="E1020" s="16" t="n">
        <x:f>ABS(C1020)</x:f>
        <x:v>0.006769464173711421</x:v>
      </x:c>
      <x:c r="F1020" s="16" t="n">
        <x:f>C1020^2</x:f>
        <x:v>0.00004582564519916246</x:v>
      </x:c>
      <x:c r="G1020" s="1"/>
      <x:c r="H1020" s="1"/>
      <x:c r="I1020" s="1"/>
      <x:c r="J1020" s="1"/>
      <x:c r="K1020" s="1"/>
      <x:c r="L1020" s="1"/>
      <x:c r="M1020" s="1"/>
      <x:c r="N1020" s="1"/>
    </x:row>
    <x:row r="1021" ht="22" customHeight="1">
      <x:c r="A1021" s="1" t="n">
        <x:v>1005</x:v>
      </x:c>
      <x:c r="B1021" s="16" t="n">
        <x:v>0.16641823458569635</x:v>
      </x:c>
      <x:c r="C1021" s="16" t="n">
        <x:f>$B$12+$D$12*B1021</x:f>
        <x:v>0.0026929863543804</x:v>
      </x:c>
      <x:c r="D1021" s="12" t="n">
        <x:f>D1020*EXP(C1021)</x:f>
        <x:v>184.7243132620658</x:v>
      </x:c>
      <x:c r="E1021" s="16" t="n">
        <x:f>ABS(C1021)</x:f>
        <x:v>0.0026929863543804</x:v>
      </x:c>
      <x:c r="F1021" s="16" t="n">
        <x:f>C1021^2</x:f>
        <x:v>0.000007252175504879038</x:v>
      </x:c>
      <x:c r="G1021" s="1"/>
      <x:c r="H1021" s="1"/>
      <x:c r="I1021" s="1"/>
      <x:c r="J1021" s="1"/>
      <x:c r="K1021" s="1"/>
      <x:c r="L1021" s="1"/>
      <x:c r="M1021" s="1"/>
      <x:c r="N1021" s="1"/>
    </x:row>
    <x:row r="1022" ht="22" customHeight="1">
      <x:c r="A1022" s="1" t="n">
        <x:v>1006</x:v>
      </x:c>
      <x:c r="B1022" s="16" t="n">
        <x:v>0.5479074613535736</x:v>
      </x:c>
      <x:c r="C1022" s="16" t="n">
        <x:f>$B$12+$D$12*B1022</x:f>
        <x:v>0.007736779660314085</x:v>
      </x:c>
      <x:c r="D1022" s="12" t="n">
        <x:f>D1021*EXP(C1022)</x:f>
        <x:v>186.15902744888913</x:v>
      </x:c>
      <x:c r="E1022" s="16" t="n">
        <x:f>ABS(C1022)</x:f>
        <x:v>0.007736779660314085</x:v>
      </x:c>
      <x:c r="F1022" s="16" t="n">
        <x:f>C1022^2</x:f>
        <x:v>0.00005985775951224972</x:v>
      </x:c>
      <x:c r="G1022" s="1"/>
      <x:c r="H1022" s="1"/>
      <x:c r="I1022" s="1"/>
      <x:c r="J1022" s="1"/>
      <x:c r="K1022" s="1"/>
      <x:c r="L1022" s="1"/>
      <x:c r="M1022" s="1"/>
      <x:c r="N1022" s="1"/>
    </x:row>
    <x:row r="1023" ht="22" customHeight="1">
      <x:c r="A1023" s="1" t="n">
        <x:v>1007</x:v>
      </x:c>
      <x:c r="B1023" s="16" t="n">
        <x:v>0.875554512212491</x:v>
      </x:c>
      <x:c r="C1023" s="16" t="n">
        <x:f>$B$12+$D$12*B1023</x:f>
        <x:v>0.012068708023881373</x:v>
      </x:c>
      <x:c r="D1023" s="12" t="n">
        <x:f>D1022*EXP(C1023)</x:f>
        <x:v>188.41933847895402</x:v>
      </x:c>
      <x:c r="E1023" s="16" t="n">
        <x:f>ABS(C1023)</x:f>
        <x:v>0.012068708023881373</x:v>
      </x:c>
      <x:c r="F1023" s="16" t="n">
        <x:f>C1023^2</x:f>
        <x:v>0.00014565371336569863</x:v>
      </x:c>
      <x:c r="G1023" s="1"/>
      <x:c r="H1023" s="1"/>
      <x:c r="I1023" s="1"/>
      <x:c r="J1023" s="1"/>
      <x:c r="K1023" s="1"/>
      <x:c r="L1023" s="1"/>
      <x:c r="M1023" s="1"/>
      <x:c r="N1023" s="1"/>
    </x:row>
    <x:row r="1024" ht="22" customHeight="1">
      <x:c r="A1024" s="1" t="n">
        <x:v>1008</x:v>
      </x:c>
      <x:c r="B1024" s="16" t="n">
        <x:v>-0.3604065265856508</x:v>
      </x:c>
      <x:c r="C1024" s="16" t="n">
        <x:f>$B$12+$D$12*B1024</x:f>
        <x:v>-0.00427233538303517</x:v>
      </x:c>
      <x:c r="D1024" s="12" t="n">
        <x:f>D1023*EXP(C1024)</x:f>
        <x:v>187.61606502096615</x:v>
      </x:c>
      <x:c r="E1024" s="16" t="n">
        <x:f>ABS(C1024)</x:f>
        <x:v>0.00427233538303517</x:v>
      </x:c>
      <x:c r="F1024" s="16" t="n">
        <x:f>C1024^2</x:f>
        <x:v>0.000018252849625134272</x:v>
      </x:c>
      <x:c r="G1024" s="1"/>
      <x:c r="H1024" s="1"/>
      <x:c r="I1024" s="1"/>
      <x:c r="J1024" s="1"/>
      <x:c r="K1024" s="1"/>
      <x:c r="L1024" s="1"/>
      <x:c r="M1024" s="1"/>
      <x:c r="N1024" s="1"/>
    </x:row>
    <x:row r="1025" ht="22" customHeight="1">
      <x:c r="A1025" s="1" t="n">
        <x:v>1009</x:v>
      </x:c>
      <x:c r="B1025" s="16" t="n">
        <x:v>-1.0418754777332517</x:v>
      </x:c>
      <x:c r="C1025" s="16" t="n">
        <x:f>$B$12+$D$12*B1025</x:f>
        <x:v>-0.013282258318791694</x:v>
      </x:c>
      <x:c r="D1025" s="12" t="n">
        <x:f>D1024*EXP(C1025)</x:f>
        <x:v>185.14057641354535</x:v>
      </x:c>
      <x:c r="E1025" s="16" t="n">
        <x:f>ABS(C1025)</x:f>
        <x:v>0.013282258318791694</x:v>
      </x:c>
      <x:c r="F1025" s="16" t="n">
        <x:f>C1025^2</x:f>
        <x:v>0.00017641838604711118</x:v>
      </x:c>
      <x:c r="G1025" s="1"/>
      <x:c r="H1025" s="1"/>
      <x:c r="I1025" s="1"/>
      <x:c r="J1025" s="1"/>
      <x:c r="K1025" s="1"/>
      <x:c r="L1025" s="1"/>
      <x:c r="M1025" s="1"/>
      <x:c r="N1025" s="1"/>
    </x:row>
    <x:row r="1026" ht="22" customHeight="1">
      <x:c r="A1026" s="1" t="n">
        <x:v>1010</x:v>
      </x:c>
      <x:c r="B1026" s="16" t="n">
        <x:v>0.395648465705878</x:v>
      </x:c>
      <x:c r="C1026" s="16" t="n">
        <x:f>$B$12+$D$12*B1026</x:f>
        <x:v>0.005723713892972478</x:v>
      </x:c>
      <x:c r="D1026" s="12" t="n">
        <x:f>D1025*EXP(C1026)</x:f>
        <x:v>186.20330658330352</x:v>
      </x:c>
      <x:c r="E1026" s="16" t="n">
        <x:f>ABS(C1026)</x:f>
        <x:v>0.005723713892972478</x:v>
      </x:c>
      <x:c r="F1026" s="16" t="n">
        <x:f>C1026^2</x:f>
        <x:v>0.00003276090072860616</x:v>
      </x:c>
      <x:c r="G1026" s="1"/>
      <x:c r="H1026" s="1"/>
      <x:c r="I1026" s="1"/>
      <x:c r="J1026" s="1"/>
      <x:c r="K1026" s="1"/>
      <x:c r="L1026" s="1"/>
      <x:c r="M1026" s="1"/>
      <x:c r="N1026" s="1"/>
    </x:row>
    <x:row r="1027" ht="22" customHeight="1">
      <x:c r="A1027" s="1" t="n">
        <x:v>1011</x:v>
      </x:c>
      <x:c r="B1027" s="16" t="n">
        <x:v>1.4058986296364644</x:v>
      </x:c>
      <x:c r="C1027" s="16" t="n">
        <x:f>$B$12+$D$12*B1027</x:f>
        <x:v>0.019080560316454647</x:v>
      </x:c>
      <x:c r="D1027" s="12" t="n">
        <x:f>D1026*EXP(C1027)</x:f>
        <x:v>189.79028193090673</x:v>
      </x:c>
      <x:c r="E1027" s="16" t="n">
        <x:f>ABS(C1027)</x:f>
        <x:v>0.019080560316454647</x:v>
      </x:c>
      <x:c r="F1027" s="16" t="n">
        <x:f>C1027^2</x:f>
        <x:v>0.00036406778198986385</x:v>
      </x:c>
      <x:c r="G1027" s="1"/>
      <x:c r="H1027" s="1"/>
      <x:c r="I1027" s="1"/>
      <x:c r="J1027" s="1"/>
      <x:c r="K1027" s="1"/>
      <x:c r="L1027" s="1"/>
      <x:c r="M1027" s="1"/>
      <x:c r="N1027" s="1"/>
    </x:row>
    <x:row r="1028" ht="22" customHeight="1">
      <x:c r="A1028" s="1" t="n">
        <x:v>1012</x:v>
      </x:c>
      <x:c r="B1028" s="16" t="n">
        <x:v>0.9236601378712246</x:v>
      </x:c>
      <x:c r="C1028" s="16" t="n">
        <x:f>$B$12+$D$12*B1028</x:f>
        <x:v>0.01270472816717865</x:v>
      </x:c>
      <x:c r="D1028" s="12" t="n">
        <x:f>D1027*EXP(C1028)</x:f>
        <x:v>192.21689798030388</x:v>
      </x:c>
      <x:c r="E1028" s="16" t="n">
        <x:f>ABS(C1028)</x:f>
        <x:v>0.01270472816717865</x:v>
      </x:c>
      <x:c r="F1028" s="16" t="n">
        <x:f>C1028^2</x:f>
        <x:v>0.00016141011780190258</x:v>
      </x:c>
      <x:c r="G1028" s="1"/>
      <x:c r="H1028" s="1"/>
      <x:c r="I1028" s="1"/>
      <x:c r="J1028" s="1"/>
      <x:c r="K1028" s="1"/>
      <x:c r="L1028" s="1"/>
      <x:c r="M1028" s="1"/>
      <x:c r="N1028" s="1"/>
    </x:row>
    <x:row r="1029" ht="22" customHeight="1">
      <x:c r="A1029" s="1" t="n">
        <x:v>1013</x:v>
      </x:c>
      <x:c r="B1029" s="16" t="n">
        <x:v>0.23546139457220341</x:v>
      </x:c>
      <x:c r="C1029" s="16" t="n">
        <x:f>$B$12+$D$12*B1029</x:f>
        <x:v>0.0036058284577102123</x:v>
      </x:c>
      <x:c r="D1029" s="12" t="n">
        <x:f>D1028*EXP(C1029)</x:f>
        <x:v>192.91125024634385</x:v>
      </x:c>
      <x:c r="E1029" s="16" t="n">
        <x:f>ABS(C1029)</x:f>
        <x:v>0.0036058284577102123</x:v>
      </x:c>
      <x:c r="F1029" s="16" t="n">
        <x:f>C1029^2</x:f>
        <x:v>0.000013001998866432809</x:v>
      </x:c>
      <x:c r="G1029" s="1"/>
      <x:c r="H1029" s="1"/>
      <x:c r="I1029" s="1"/>
      <x:c r="J1029" s="1"/>
      <x:c r="K1029" s="1"/>
      <x:c r="L1029" s="1"/>
      <x:c r="M1029" s="1"/>
      <x:c r="N1029" s="1"/>
    </x:row>
    <x:row r="1030" ht="22" customHeight="1">
      <x:c r="A1030" s="1" t="n">
        <x:v>1014</x:v>
      </x:c>
      <x:c r="B1030" s="16" t="n">
        <x:v>-0.6689080701037162</x:v>
      </x:c>
      <x:c r="C1030" s="16" t="n">
        <x:f>$B$12+$D$12*B1030</x:f>
        <x:v>-0.008351134758969867</x:v>
      </x:c>
      <x:c r="D1030" s="12" t="n">
        <x:f>D1029*EXP(C1030)</x:f>
        <x:v>191.30693066746898</x:v>
      </x:c>
      <x:c r="E1030" s="16" t="n">
        <x:f>ABS(C1030)</x:f>
        <x:v>0.008351134758969867</x:v>
      </x:c>
      <x:c r="F1030" s="16" t="n">
        <x:f>C1030^2</x:f>
        <x:v>0.0000697414517624747</x:v>
      </x:c>
      <x:c r="G1030" s="1"/>
      <x:c r="H1030" s="1"/>
      <x:c r="I1030" s="1"/>
      <x:c r="J1030" s="1"/>
      <x:c r="K1030" s="1"/>
      <x:c r="L1030" s="1"/>
      <x:c r="M1030" s="1"/>
      <x:c r="N1030" s="1"/>
    </x:row>
    <x:row r="1031" ht="22" customHeight="1">
      <x:c r="A1031" s="1" t="n">
        <x:v>1015</x:v>
      </x:c>
      <x:c r="B1031" s="16" t="n">
        <x:v>0.0017555024720660075</x:v>
      </x:c>
      <x:c r="C1031" s="16" t="n">
        <x:f>$B$12+$D$12*B1031</x:f>
        <x:v>0.000515926747722555</x:v>
      </x:c>
      <x:c r="D1031" s="12" t="n">
        <x:f>D1030*EXP(C1031)</x:f>
        <x:v>191.4056564954828</x:v>
      </x:c>
      <x:c r="E1031" s="16" t="n">
        <x:f>ABS(C1031)</x:f>
        <x:v>0.000515926747722555</x:v>
      </x:c>
      <x:c r="F1031" s="16" t="n">
        <x:f>C1031^2</x:f>
        <x:v>2.661804090155729e-7</x:v>
      </x:c>
      <x:c r="G1031" s="1"/>
      <x:c r="H1031" s="1"/>
      <x:c r="I1031" s="1"/>
      <x:c r="J1031" s="1"/>
      <x:c r="K1031" s="1"/>
      <x:c r="L1031" s="1"/>
      <x:c r="M1031" s="1"/>
      <x:c r="N1031" s="1"/>
    </x:row>
    <x:row r="1032" ht="22" customHeight="1">
      <x:c r="A1032" s="1" t="n">
        <x:v>1016</x:v>
      </x:c>
      <x:c r="B1032" s="16" t="n">
        <x:v>0.49015247281580276</x:v>
      </x:c>
      <x:c r="C1032" s="16" t="n">
        <x:f>$B$12+$D$12*B1032</x:f>
        <x:v>0.006973182147904295</x:v>
      </x:c>
      <x:c r="D1032" s="12" t="n">
        <x:f>D1031*EXP(C1032)</x:f>
        <x:v>192.74502741378524</x:v>
      </x:c>
      <x:c r="E1032" s="16" t="n">
        <x:f>ABS(C1032)</x:f>
        <x:v>0.006973182147904295</x:v>
      </x:c>
      <x:c r="F1032" s="16" t="n">
        <x:f>C1032^2</x:f>
        <x:v>0.00004862526926785116</x:v>
      </x:c>
      <x:c r="G1032" s="1"/>
      <x:c r="H1032" s="1"/>
      <x:c r="I1032" s="1"/>
      <x:c r="J1032" s="1"/>
      <x:c r="K1032" s="1"/>
      <x:c r="L1032" s="1"/>
      <x:c r="M1032" s="1"/>
      <x:c r="N1032" s="1"/>
    </x:row>
    <x:row r="1033" ht="22" customHeight="1">
      <x:c r="A1033" s="1" t="n">
        <x:v>1017</x:v>
      </x:c>
      <x:c r="B1033" s="16" t="n">
        <x:v>-0.230830676384051</x:v>
      </x:c>
      <x:c r="C1033" s="16" t="n">
        <x:f>$B$12+$D$12*B1033</x:f>
        <x:v>-0.0025591708688111297</x:v>
      </x:c>
      <x:c r="D1033" s="12" t="n">
        <x:f>D1032*EXP(C1033)</x:f>
        <x:v>192.25239059428947</x:v>
      </x:c>
      <x:c r="E1033" s="16" t="n">
        <x:f>ABS(C1033)</x:f>
        <x:v>0.0025591708688111297</x:v>
      </x:c>
      <x:c r="F1033" s="16" t="n">
        <x:f>C1033^2</x:f>
        <x:v>0.000006549355535771513</x:v>
      </x:c>
      <x:c r="G1033" s="1"/>
      <x:c r="H1033" s="1"/>
      <x:c r="I1033" s="1"/>
      <x:c r="J1033" s="1"/>
      <x:c r="K1033" s="1"/>
      <x:c r="L1033" s="1"/>
      <x:c r="M1033" s="1"/>
      <x:c r="N1033" s="1"/>
    </x:row>
    <x:row r="1034" ht="22" customHeight="1">
      <x:c r="A1034" s="1" t="n">
        <x:v>1018</x:v>
      </x:c>
      <x:c r="B1034" s="16" t="n">
        <x:v>-0.7971820688438194</x:v>
      </x:c>
      <x:c r="C1034" s="16" t="n">
        <x:f>$B$12+$D$12*B1034</x:f>
        <x:v>-0.01004708707105009</x:v>
      </x:c>
      <x:c r="D1034" s="12" t="n">
        <x:f>D1033*EXP(C1034)</x:f>
        <x:v>190.33048502968185</x:v>
      </x:c>
      <x:c r="E1034" s="16" t="n">
        <x:f>ABS(C1034)</x:f>
        <x:v>0.01004708707105009</x:v>
      </x:c>
      <x:c r="F1034" s="16" t="n">
        <x:f>C1034^2</x:f>
        <x:v>0.00010094395861326189</x:v>
      </x:c>
      <x:c r="G1034" s="1"/>
      <x:c r="H1034" s="1"/>
      <x:c r="I1034" s="1"/>
      <x:c r="J1034" s="1"/>
      <x:c r="K1034" s="1"/>
      <x:c r="L1034" s="1"/>
      <x:c r="M1034" s="1"/>
      <x:c r="N1034" s="1"/>
    </x:row>
    <x:row r="1035" ht="22" customHeight="1">
      <x:c r="A1035" s="1" t="n">
        <x:v>1019</x:v>
      </x:c>
      <x:c r="B1035" s="16" t="n">
        <x:v>1.4822957401934584</x:v>
      </x:c>
      <x:c r="C1035" s="16" t="n">
        <x:f>$B$12+$D$12*B1035</x:f>
        <x:v>0.020090631395223282</x:v>
      </x:c>
      <x:c r="D1035" s="12" t="n">
        <x:f>D1034*EXP(C1035)</x:f>
        <x:v>194.19301506159002</x:v>
      </x:c>
      <x:c r="E1035" s="16" t="n">
        <x:f>ABS(C1035)</x:f>
        <x:v>0.020090631395223282</x:v>
      </x:c>
      <x:c r="F1035" s="16" t="n">
        <x:f>C1035^2</x:f>
        <x:v>0.00040363346985873143</x:v>
      </x:c>
      <x:c r="G1035" s="1"/>
      <x:c r="H1035" s="1"/>
      <x:c r="I1035" s="1"/>
      <x:c r="J1035" s="1"/>
      <x:c r="K1035" s="1"/>
      <x:c r="L1035" s="1"/>
      <x:c r="M1035" s="1"/>
      <x:c r="N1035" s="1"/>
    </x:row>
    <x:row r="1036" ht="22" customHeight="1">
      <x:c r="A1036" s="1" t="n">
        <x:v>1020</x:v>
      </x:c>
      <x:c r="B1036" s="16" t="n">
        <x:v>-0.6035402653019469</x:v>
      </x:c>
      <x:c r="C1036" s="16" t="n">
        <x:f>$B$12+$D$12*B1036</x:f>
        <x:v>-0.007486885723483065</x:v>
      </x:c>
      <x:c r="D1036" s="12" t="n">
        <x:f>D1035*EXP(C1036)</x:f>
        <x:v>192.74454318720564</x:v>
      </x:c>
      <x:c r="E1036" s="16" t="n">
        <x:f>ABS(C1036)</x:f>
        <x:v>0.007486885723483065</x:v>
      </x:c>
      <x:c r="F1036" s="16" t="n">
        <x:f>C1036^2</x:f>
        <x:v>0.00005605345783649453</x:v>
      </x:c>
      <x:c r="G1036" s="1"/>
      <x:c r="H1036" s="1"/>
      <x:c r="I1036" s="1"/>
      <x:c r="J1036" s="1"/>
      <x:c r="K1036" s="1"/>
      <x:c r="L1036" s="1"/>
      <x:c r="M1036" s="1"/>
      <x:c r="N1036" s="1"/>
    </x:row>
    <x:row r="1037" ht="22" customHeight="1">
      <x:c r="A1037" s="1" t="n">
        <x:v>1021</x:v>
      </x:c>
      <x:c r="B1037" s="16" t="n">
        <x:v>-0.5024548860103801</x:v>
      </x:c>
      <x:c r="C1037" s="16" t="n">
        <x:f>$B$12+$D$12*B1037</x:f>
        <x:v>-0.0061504030035954066</x:v>
      </x:c>
      <x:c r="D1037" s="12" t="n">
        <x:f>D1036*EXP(C1037)</x:f>
        <x:v>191.56272462550643</x:v>
      </x:c>
      <x:c r="E1037" s="16" t="n">
        <x:f>ABS(C1037)</x:f>
        <x:v>0.0061504030035954066</x:v>
      </x:c>
      <x:c r="F1037" s="16" t="n">
        <x:f>C1037^2</x:f>
        <x:v>0.000037827457106635396</x:v>
      </x:c>
      <x:c r="G1037" s="1"/>
      <x:c r="H1037" s="1"/>
      <x:c r="I1037" s="1"/>
      <x:c r="J1037" s="1"/>
      <x:c r="K1037" s="1"/>
      <x:c r="L1037" s="1"/>
      <x:c r="M1037" s="1"/>
      <x:c r="N1037" s="1"/>
    </x:row>
    <x:row r="1038" ht="22" customHeight="1">
      <x:c r="A1038" s="1" t="n">
        <x:v>1022</x:v>
      </x:c>
      <x:c r="B1038" s="16" t="n">
        <x:v>1.6490092762703257</x:v>
      </x:c>
      <x:c r="C1038" s="16" t="n">
        <x:f>$B$12+$D$12*B1038</x:f>
        <x:v>0.022294805348960316</x:v>
      </x:c>
      <x:c r="D1038" s="12" t="n">
        <x:f>D1037*EXP(C1038)</x:f>
        <x:v>195.8815430000701</x:v>
      </x:c>
      <x:c r="E1038" s="16" t="n">
        <x:f>ABS(C1038)</x:f>
        <x:v>0.022294805348960316</x:v>
      </x:c>
      <x:c r="F1038" s="16" t="n">
        <x:f>C1038^2</x:f>
        <x:v>0.0004970583455480295</x:v>
      </x:c>
      <x:c r="G1038" s="1"/>
      <x:c r="H1038" s="1"/>
      <x:c r="I1038" s="1"/>
      <x:c r="J1038" s="1"/>
      <x:c r="K1038" s="1"/>
      <x:c r="L1038" s="1"/>
      <x:c r="M1038" s="1"/>
      <x:c r="N1038" s="1"/>
    </x:row>
    <x:row r="1039" ht="22" customHeight="1">
      <x:c r="A1039" s="1" t="n">
        <x:v>1023</x:v>
      </x:c>
      <x:c r="B1039" s="16" t="n">
        <x:v>0.5014249368122414</x:v>
      </x:c>
      <x:c r="C1039" s="16" t="n">
        <x:f>$B$12+$D$12*B1039</x:f>
        <x:v>0.007122219065482077</x:v>
      </x:c>
      <x:c r="D1039" s="12" t="n">
        <x:f>D1038*EXP(C1039)</x:f>
        <x:v>197.28163421997672</x:v>
      </x:c>
      <x:c r="E1039" s="16" t="n">
        <x:f>ABS(C1039)</x:f>
        <x:v>0.007122219065482077</x:v>
      </x:c>
      <x:c r="F1039" s="16" t="n">
        <x:f>C1039^2</x:f>
        <x:v>0.00005072600441671639</x:v>
      </x:c>
      <x:c r="G1039" s="1"/>
      <x:c r="H1039" s="1"/>
      <x:c r="I1039" s="1"/>
      <x:c r="J1039" s="1"/>
      <x:c r="K1039" s="1"/>
      <x:c r="L1039" s="1"/>
      <x:c r="M1039" s="1"/>
      <x:c r="N1039" s="1"/>
    </x:row>
    <x:row r="1040" ht="22" customHeight="1">
      <x:c r="A1040" s="1" t="n">
        <x:v>1024</x:v>
      </x:c>
      <x:c r="B1040" s="16" t="n">
        <x:v>-1.060125886799609</x:v>
      </x:c>
      <x:c r="C1040" s="16" t="n">
        <x:f>$B$12+$D$12*B1040</x:f>
        <x:v>-0.013523552920632323</x:v>
      </x:c>
      <x:c r="D1040" s="12" t="n">
        <x:f>D1039*EXP(C1040)</x:f>
        <x:v>194.631644623756</x:v>
      </x:c>
      <x:c r="E1040" s="16" t="n">
        <x:f>ABS(C1040)</x:f>
        <x:v>0.013523552920632323</x:v>
      </x:c>
      <x:c r="F1040" s="16" t="n">
        <x:f>C1040^2</x:f>
        <x:v>0.00018288648359714304</x:v>
      </x:c>
      <x:c r="G1040" s="1"/>
      <x:c r="H1040" s="1"/>
      <x:c r="I1040" s="1"/>
      <x:c r="J1040" s="1"/>
      <x:c r="K1040" s="1"/>
      <x:c r="L1040" s="1"/>
      <x:c r="M1040" s="1"/>
      <x:c r="N1040" s="1"/>
    </x:row>
    <x:row r="1041" ht="22" customHeight="1">
      <x:c r="A1041" s="1" t="n">
        <x:v>1025</x:v>
      </x:c>
      <x:c r="B1041" s="16" t="n">
        <x:v>-0.08635045625782671</x:v>
      </x:c>
      <x:c r="C1041" s="16" t="n">
        <x:f>$B$12+$D$12*B1041</x:f>
        <x:v>-0.0006489508259372039</x:v>
      </x:c>
      <x:c r="D1041" s="12" t="n">
        <x:f>D1040*EXP(C1041)</x:f>
        <x:v>194.5053792316704</x:v>
      </x:c>
      <x:c r="E1041" s="16" t="n">
        <x:f>ABS(C1041)</x:f>
        <x:v>0.0006489508259372039</x:v>
      </x:c>
      <x:c r="F1041" s="16" t="n">
        <x:f>C1041^2</x:f>
        <x:v>4.2113717448457907e-7</x:v>
      </x:c>
      <x:c r="G1041" s="1"/>
      <x:c r="H1041" s="1"/>
      <x:c r="I1041" s="1"/>
      <x:c r="J1041" s="1"/>
      <x:c r="K1041" s="1"/>
      <x:c r="L1041" s="1"/>
      <x:c r="M1041" s="1"/>
      <x:c r="N1041" s="1"/>
    </x:row>
    <x:row r="1042" ht="22" customHeight="1">
      <x:c r="A1042" s="1" t="n">
        <x:v>1026</x:v>
      </x:c>
      <x:c r="B1042" s="16" t="n">
        <x:v>0.4581714260507663</x:v>
      </x:c>
      <x:c r="C1042" s="16" t="n">
        <x:f>$B$12+$D$12*B1042</x:f>
        <x:v>0.0065503503134200355</x:v>
      </x:c>
      <x:c r="D1042" s="12" t="n">
        <x:f>D1041*EXP(C1042)</x:f>
        <x:v>195.78363955941913</x:v>
      </x:c>
      <x:c r="E1042" s="16" t="n">
        <x:f>ABS(C1042)</x:f>
        <x:v>0.0065503503134200355</x:v>
      </x:c>
      <x:c r="F1042" s="16" t="n">
        <x:f>C1042^2</x:f>
        <x:v>0.00004290708922852196</x:v>
      </x:c>
      <x:c r="G1042" s="1"/>
      <x:c r="H1042" s="1"/>
      <x:c r="I1042" s="1"/>
      <x:c r="J1042" s="1"/>
      <x:c r="K1042" s="1"/>
      <x:c r="L1042" s="1"/>
      <x:c r="M1042" s="1"/>
      <x:c r="N1042" s="1"/>
    </x:row>
    <x:row r="1043" ht="22" customHeight="1">
      <x:c r="A1043" s="1" t="n">
        <x:v>1027</x:v>
      </x:c>
      <x:c r="B1043" s="16" t="n">
        <x:v>-1.6032542683196227</x:v>
      </x:c>
      <x:c r="C1043" s="16" t="n">
        <x:f>$B$12+$D$12*B1043</x:f>
        <x:v>-0.020704430132245134</x:v>
      </x:c>
      <x:c r="D1043" s="12" t="n">
        <x:f>D1042*EXP(C1043)</x:f>
        <x:v>191.77172637690697</x:v>
      </x:c>
      <x:c r="E1043" s="16" t="n">
        <x:f>ABS(C1043)</x:f>
        <x:v>0.020704430132245134</x:v>
      </x:c>
      <x:c r="F1043" s="16" t="n">
        <x:f>C1043^2</x:f>
        <x:v>0.00042867342710102026</x:v>
      </x:c>
      <x:c r="G1043" s="1"/>
      <x:c r="H1043" s="1"/>
      <x:c r="I1043" s="1"/>
      <x:c r="J1043" s="1"/>
      <x:c r="K1043" s="1"/>
      <x:c r="L1043" s="1"/>
      <x:c r="M1043" s="1"/>
      <x:c r="N1043" s="1"/>
    </x:row>
    <x:row r="1044" ht="22" customHeight="1">
      <x:c r="A1044" s="1" t="n">
        <x:v>1028</x:v>
      </x:c>
      <x:c r="B1044" s="16" t="n">
        <x:v>0.6530236334699271</x:v>
      </x:c>
      <x:c r="C1044" s="16" t="n">
        <x:f>$B$12+$D$12*B1044</x:f>
        <x:v>0.009126554804838507</x:v>
      </x:c>
      <x:c r="D1044" s="12" t="n">
        <x:f>D1043*EXP(C1044)</x:f>
        <x:v>193.52995261765224</x:v>
      </x:c>
      <x:c r="E1044" s="16" t="n">
        <x:f>ABS(C1044)</x:f>
        <x:v>0.009126554804838507</x:v>
      </x:c>
      <x:c r="F1044" s="16" t="n">
        <x:f>C1044^2</x:f>
        <x:v>0.00008329400260572083</x:v>
      </x:c>
      <x:c r="G1044" s="1"/>
      <x:c r="H1044" s="1"/>
      <x:c r="I1044" s="1"/>
      <x:c r="J1044" s="1"/>
      <x:c r="K1044" s="1"/>
      <x:c r="L1044" s="1"/>
      <x:c r="M1044" s="1"/>
      <x:c r="N1044" s="1"/>
    </x:row>
    <x:row r="1045" ht="22" customHeight="1">
      <x:c r="A1045" s="1" t="n">
        <x:v>1029</x:v>
      </x:c>
      <x:c r="B1045" s="16" t="n">
        <x:v>-0.5558709995767126</x:v>
      </x:c>
      <x:c r="C1045" s="16" t="n">
        <x:f>$B$12+$D$12*B1045</x:f>
        <x:v>-0.006856634836975051</x:v>
      </x:c>
      <x:c r="D1045" s="12" t="n">
        <x:f>D1044*EXP(C1045)</x:f>
        <x:v>192.2075272773412</x:v>
      </x:c>
      <x:c r="E1045" s="16" t="n">
        <x:f>ABS(C1045)</x:f>
        <x:v>0.006856634836975051</x:v>
      </x:c>
      <x:c r="F1045" s="16" t="n">
        <x:f>C1045^2</x:f>
        <x:v>0.00004701344128761989</x:v>
      </x:c>
      <x:c r="G1045" s="1"/>
      <x:c r="H1045" s="1"/>
      <x:c r="I1045" s="1"/>
      <x:c r="J1045" s="1"/>
      <x:c r="K1045" s="1"/>
      <x:c r="L1045" s="1"/>
      <x:c r="M1045" s="1"/>
      <x:c r="N1045" s="1"/>
    </x:row>
    <x:row r="1046" ht="22" customHeight="1">
      <x:c r="A1046" s="1" t="n">
        <x:v>1030</x:v>
      </x:c>
      <x:c r="B1046" s="16" t="n">
        <x:v>0.18307577446886442</x:v>
      </x:c>
      <x:c r="C1046" s="16" t="n">
        <x:f>$B$12+$D$12*B1046</x:f>
        <x:v>0.0029132211140035546</x:v>
      </x:c>
      <x:c r="D1046" s="12" t="n">
        <x:f>D1045*EXP(C1046)</x:f>
        <x:v>192.76828671560327</x:v>
      </x:c>
      <x:c r="E1046" s="16" t="n">
        <x:f>ABS(C1046)</x:f>
        <x:v>0.0029132211140035546</x:v>
      </x:c>
      <x:c r="F1046" s="16" t="n">
        <x:f>C1046^2</x:f>
        <x:v>0.000008486857259076112</x:v>
      </x:c>
      <x:c r="G1046" s="1"/>
      <x:c r="H1046" s="1"/>
      <x:c r="I1046" s="1"/>
      <x:c r="J1046" s="1"/>
      <x:c r="K1046" s="1"/>
      <x:c r="L1046" s="1"/>
      <x:c r="M1046" s="1"/>
      <x:c r="N1046" s="1"/>
    </x:row>
    <x:row r="1047" ht="22" customHeight="1">
      <x:c r="A1047" s="1" t="n">
        <x:v>1031</x:v>
      </x:c>
      <x:c r="B1047" s="16" t="n">
        <x:v>-1.212351121143707</x:v>
      </x:c>
      <x:c r="C1047" s="16" t="n">
        <x:f>$B$12+$D$12*B1047</x:f>
        <x:v>-0.01553617231878409</x:v>
      </x:c>
      <x:c r="D1047" s="12" t="n">
        <x:f>D1046*EXP(C1047)</x:f>
        <x:v>189.79654987781774</x:v>
      </x:c>
      <x:c r="E1047" s="16" t="n">
        <x:f>ABS(C1047)</x:f>
        <x:v>0.01553617231878409</x:v>
      </x:c>
      <x:c r="F1047" s="16" t="n">
        <x:f>C1047^2</x:f>
        <x:v>0.00024137265031895302</x:v>
      </x:c>
      <x:c r="G1047" s="1"/>
      <x:c r="H1047" s="1"/>
      <x:c r="I1047" s="1"/>
      <x:c r="J1047" s="1"/>
      <x:c r="K1047" s="1"/>
      <x:c r="L1047" s="1"/>
      <x:c r="M1047" s="1"/>
      <x:c r="N1047" s="1"/>
    </x:row>
    <x:row r="1048" ht="22" customHeight="1">
      <x:c r="A1048" s="1" t="n">
        <x:v>1032</x:v>
      </x:c>
      <x:c r="B1048" s="16" t="n">
        <x:v>0.14207739461975682</x:v>
      </x:c>
      <x:c r="C1048" s="16" t="n">
        <x:f>$B$12+$D$12*B1048</x:f>
        <x:v>0.002371168182157911</x:v>
      </x:c>
      <x:c r="D1048" s="12" t="n">
        <x:f>D1047*EXP(C1048)</x:f>
        <x:v>190.2471233996606</x:v>
      </x:c>
      <x:c r="E1048" s="16" t="n">
        <x:f>ABS(C1048)</x:f>
        <x:v>0.002371168182157911</x:v>
      </x:c>
      <x:c r="F1048" s="16" t="n">
        <x:f>C1048^2</x:f>
        <x:v>0.000005622438548078053</x:v>
      </x:c>
      <x:c r="G1048" s="1"/>
      <x:c r="H1048" s="1"/>
      <x:c r="I1048" s="1"/>
      <x:c r="J1048" s="1"/>
      <x:c r="K1048" s="1"/>
      <x:c r="L1048" s="1"/>
      <x:c r="M1048" s="1"/>
      <x:c r="N1048" s="1"/>
    </x:row>
    <x:row r="1049" ht="22" customHeight="1">
      <x:c r="A1049" s="1" t="n">
        <x:v>1033</x:v>
      </x:c>
      <x:c r="B1049" s="16" t="n">
        <x:v>0.15139424404966362</x:v>
      </x:c>
      <x:c r="C1049" s="16" t="n">
        <x:f>$B$12+$D$12*B1049</x:f>
        <x:v>0.0024943492826704798</x:v>
      </x:c>
      <x:c r="D1049" s="12" t="n">
        <x:f>D1048*EXP(C1049)</x:f>
        <x:v>190.7222585055492</x:v>
      </x:c>
      <x:c r="E1049" s="16" t="n">
        <x:f>ABS(C1049)</x:f>
        <x:v>0.0024943492826704798</x:v>
      </x:c>
      <x:c r="F1049" s="16" t="n">
        <x:f>C1049^2</x:f>
        <x:v>0.000006221778343958737</x:v>
      </x:c>
      <x:c r="G1049" s="1"/>
      <x:c r="H1049" s="1"/>
      <x:c r="I1049" s="1"/>
      <x:c r="J1049" s="1"/>
      <x:c r="K1049" s="1"/>
      <x:c r="L1049" s="1"/>
      <x:c r="M1049" s="1"/>
      <x:c r="N1049" s="1"/>
    </x:row>
    <x:row r="1050" ht="22" customHeight="1">
      <x:c r="A1050" s="1" t="n">
        <x:v>1034</x:v>
      </x:c>
      <x:c r="B1050" s="16" t="n">
        <x:v>-0.04245548564961168</x:v>
      </x:c>
      <x:c r="C1050" s="16" t="n">
        <x:f>$B$12+$D$12*B1050</x:f>
        <x:v>-0.00006860112433846601</x:v>
      </x:c>
      <x:c r="D1050" s="12" t="n">
        <x:f>D1049*EXP(C1050)</x:f>
        <x:v>190.70917519294946</x:v>
      </x:c>
      <x:c r="E1050" s="16" t="n">
        <x:f>ABS(C1050)</x:f>
        <x:v>0.00006860112433846601</x:v>
      </x:c>
      <x:c r="F1050" s="16" t="n">
        <x:f>C1050^2</x:f>
        <x:v>4.706114260501674e-9</x:v>
      </x:c>
      <x:c r="G1050" s="1"/>
      <x:c r="H1050" s="1"/>
      <x:c r="I1050" s="1"/>
      <x:c r="J1050" s="1"/>
      <x:c r="K1050" s="1"/>
      <x:c r="L1050" s="1"/>
      <x:c r="M1050" s="1"/>
      <x:c r="N1050" s="1"/>
    </x:row>
    <x:row r="1051" ht="22" customHeight="1">
      <x:c r="A1051" s="1" t="n">
        <x:v>1035</x:v>
      </x:c>
      <x:c r="B1051" s="16" t="n">
        <x:v>1.0631029302629298</x:v>
      </x:c>
      <x:c r="C1051" s="16" t="n">
        <x:f>$B$12+$D$12*B1051</x:f>
        <x:v>0.014548346737445456</x:v>
      </x:c>
      <x:c r="D1051" s="12" t="n">
        <x:f>D1050*EXP(C1051)</x:f>
        <x:v>193.50395884664792</x:v>
      </x:c>
      <x:c r="E1051" s="16" t="n">
        <x:f>ABS(C1051)</x:f>
        <x:v>0.014548346737445456</x:v>
      </x:c>
      <x:c r="F1051" s="16" t="n">
        <x:f>C1051^2</x:f>
        <x:v>0.00021165439279293983</x:v>
      </x:c>
      <x:c r="G1051" s="1"/>
      <x:c r="H1051" s="1"/>
      <x:c r="I1051" s="1"/>
      <x:c r="J1051" s="1"/>
      <x:c r="K1051" s="1"/>
      <x:c r="L1051" s="1"/>
      <x:c r="M1051" s="1"/>
      <x:c r="N1051" s="1"/>
    </x:row>
    <x:row r="1052" ht="22" customHeight="1">
      <x:c r="A1052" s="1" t="n">
        <x:v>1036</x:v>
      </x:c>
      <x:c r="B1052" s="16" t="n">
        <x:v>-0.12847521158799768</x:v>
      </x:c>
      <x:c r="C1052" s="16" t="n">
        <x:f>$B$12+$D$12*B1052</x:f>
        <x:v>-0.0012058959348424424</x:v>
      </x:c>
      <x:c r="D1052" s="12" t="n">
        <x:f>D1051*EXP(C1052)</x:f>
        <x:v>193.270753848039</x:v>
      </x:c>
      <x:c r="E1052" s="16" t="n">
        <x:f>ABS(C1052)</x:f>
        <x:v>0.0012058959348424424</x:v>
      </x:c>
      <x:c r="F1052" s="16" t="n">
        <x:f>C1052^2</x:f>
        <x:v>0.000001454185005669528</x:v>
      </x:c>
      <x:c r="G1052" s="1"/>
      <x:c r="H1052" s="1"/>
      <x:c r="I1052" s="1"/>
      <x:c r="J1052" s="1"/>
      <x:c r="K1052" s="1"/>
      <x:c r="L1052" s="1"/>
      <x:c r="M1052" s="1"/>
      <x:c r="N1052" s="1"/>
    </x:row>
    <x:row r="1053" ht="22" customHeight="1">
      <x:c r="A1053" s="1" t="n">
        <x:v>1037</x:v>
      </x:c>
      <x:c r="B1053" s="16" t="n">
        <x:v>-0.15510611082254586</x:v>
      </x:c>
      <x:c r="C1053" s="16" t="n">
        <x:f>$B$12+$D$12*B1053</x:f>
        <x:v>-0.0015579917264542408</x:v>
      </x:c>
      <x:c r="D1053" s="12" t="n">
        <x:f>D1052*EXP(C1053)</x:f>
        <x:v>192.9698740575517</x:v>
      </x:c>
      <x:c r="E1053" s="16" t="n">
        <x:f>ABS(C1053)</x:f>
        <x:v>0.0015579917264542408</x:v>
      </x:c>
      <x:c r="F1053" s="16" t="n">
        <x:f>C1053^2</x:f>
        <x:v>0.000002427338219699866</x:v>
      </x:c>
      <x:c r="G1053" s="1"/>
      <x:c r="H1053" s="1"/>
      <x:c r="I1053" s="1"/>
      <x:c r="J1053" s="1"/>
      <x:c r="K1053" s="1"/>
      <x:c r="L1053" s="1"/>
      <x:c r="M1053" s="1"/>
      <x:c r="N1053" s="1"/>
    </x:row>
    <x:row r="1054" ht="22" customHeight="1">
      <x:c r="A1054" s="1" t="n">
        <x:v>1038</x:v>
      </x:c>
      <x:c r="B1054" s="16" t="n">
        <x:v>0.21384014341218816</x:v>
      </x:c>
      <x:c r="C1054" s="16" t="n">
        <x:f>$B$12+$D$12*B1054</x:f>
        <x:v>0.0033199668547739102</x:v>
      </x:c>
      <x:c r="D1054" s="12" t="n">
        <x:f>D1053*EXP(C1054)</x:f>
        <x:v>193.61159229560516</x:v>
      </x:c>
      <x:c r="E1054" s="16" t="n">
        <x:f>ABS(C1054)</x:f>
        <x:v>0.0033199668547739102</x:v>
      </x:c>
      <x:c r="F1054" s="16" t="n">
        <x:f>C1054^2</x:f>
        <x:v>0.00001102217991679737</x:v>
      </x:c>
      <x:c r="G1054" s="1"/>
      <x:c r="H1054" s="1"/>
      <x:c r="I1054" s="1"/>
      <x:c r="J1054" s="1"/>
      <x:c r="K1054" s="1"/>
      <x:c r="L1054" s="1"/>
      <x:c r="M1054" s="1"/>
      <x:c r="N1054" s="1"/>
    </x:row>
    <x:row r="1055" ht="22" customHeight="1">
      <x:c r="A1055" s="1" t="n">
        <x:v>1039</x:v>
      </x:c>
      <x:c r="B1055" s="16" t="n">
        <x:v>0.6947291338282998</x:v>
      </x:c>
      <x:c r="C1055" s="16" t="n">
        <x:f>$B$12+$D$12*B1055</x:f>
        <x:v>0.00967795680722367</x:v>
      </x:c>
      <x:c r="D1055" s="12" t="n">
        <x:f>D1054*EXP(C1055)</x:f>
        <x:v>195.49445335104969</x:v>
      </x:c>
      <x:c r="E1055" s="16" t="n">
        <x:f>ABS(C1055)</x:f>
        <x:v>0.00967795680722367</x:v>
      </x:c>
      <x:c r="F1055" s="16" t="n">
        <x:f>C1055^2</x:f>
        <x:v>0.00009366284796248697</x:v>
      </x:c>
      <x:c r="G1055" s="1"/>
      <x:c r="H1055" s="1"/>
      <x:c r="I1055" s="1"/>
      <x:c r="J1055" s="1"/>
      <x:c r="K1055" s="1"/>
      <x:c r="L1055" s="1"/>
      <x:c r="M1055" s="1"/>
      <x:c r="N1055" s="1"/>
    </x:row>
    <x:row r="1056" ht="22" customHeight="1">
      <x:c r="A1056" s="1" t="n">
        <x:v>1040</x:v>
      </x:c>
      <x:c r="B1056" s="16" t="n">
        <x:v>-0.49215133976812686</x:v>
      </x:c>
      <x:c r="C1056" s="16" t="n">
        <x:f>$B$12+$D$12*B1056</x:f>
        <x:v>-0.006014176463191222</x:v>
      </x:c>
      <x:c r="D1056" s="12" t="n">
        <x:f>D1055*EXP(C1056)</x:f>
        <x:v>194.32224368218587</x:v>
      </x:c>
      <x:c r="E1056" s="16" t="n">
        <x:f>ABS(C1056)</x:f>
        <x:v>0.006014176463191222</x:v>
      </x:c>
      <x:c r="F1056" s="16" t="n">
        <x:f>C1056^2</x:f>
        <x:v>0.000036170318530403274</x:v>
      </x:c>
      <x:c r="G1056" s="1"/>
      <x:c r="H1056" s="1"/>
      <x:c r="I1056" s="1"/>
      <x:c r="J1056" s="1"/>
      <x:c r="K1056" s="1"/>
      <x:c r="L1056" s="1"/>
      <x:c r="M1056" s="1"/>
      <x:c r="N1056" s="1"/>
    </x:row>
    <x:row r="1057" ht="22" customHeight="1">
      <x:c r="A1057" s="1" t="n">
        <x:v>1041</x:v>
      </x:c>
      <x:c r="B1057" s="16" t="n">
        <x:v>1.0172159622726191</x:v>
      </x:c>
      <x:c r="C1057" s="16" t="n">
        <x:f>$B$12+$D$12*B1057</x:f>
        <x:v>0.013941660189728217</x:v>
      </x:c>
      <x:c r="D1057" s="12" t="n">
        <x:f>D1056*EXP(C1057)</x:f>
        <x:v>197.0503916377724</x:v>
      </x:c>
      <x:c r="E1057" s="16" t="n">
        <x:f>ABS(C1057)</x:f>
        <x:v>0.013941660189728217</x:v>
      </x:c>
      <x:c r="F1057" s="16" t="n">
        <x:f>C1057^2</x:f>
        <x:v>0.00019436988884585264</x:v>
      </x:c>
      <x:c r="G1057" s="1"/>
      <x:c r="H1057" s="1"/>
      <x:c r="I1057" s="1"/>
      <x:c r="J1057" s="1"/>
      <x:c r="K1057" s="1"/>
      <x:c r="L1057" s="1"/>
      <x:c r="M1057" s="1"/>
      <x:c r="N1057" s="1"/>
    </x:row>
    <x:row r="1058" ht="22" customHeight="1">
      <x:c r="A1058" s="1" t="n">
        <x:v>1042</x:v>
      </x:c>
      <x:c r="B1058" s="16" t="n">
        <x:v>0.9506612082012209</x:v>
      </x:c>
      <x:c r="C1058" s="16" t="n">
        <x:f>$B$12+$D$12*B1058</x:f>
        <x:v>0.01306171811139625</x:v>
      </x:c>
      <x:c r="D1058" s="12" t="n">
        <x:f>D1057*EXP(C1058)</x:f>
        <x:v>199.6410909664215</x:v>
      </x:c>
      <x:c r="E1058" s="16" t="n">
        <x:f>ABS(C1058)</x:f>
        <x:v>0.01306171811139625</x:v>
      </x:c>
      <x:c r="F1058" s="16" t="n">
        <x:f>C1058^2</x:f>
        <x:v>0.0001706084800215768</x:v>
      </x:c>
      <x:c r="G1058" s="1"/>
      <x:c r="H1058" s="1"/>
      <x:c r="I1058" s="1"/>
      <x:c r="J1058" s="1"/>
      <x:c r="K1058" s="1"/>
      <x:c r="L1058" s="1"/>
      <x:c r="M1058" s="1"/>
      <x:c r="N1058" s="1"/>
    </x:row>
    <x:row r="1059" ht="22" customHeight="1">
      <x:c r="A1059" s="1" t="n">
        <x:v>1043</x:v>
      </x:c>
      <x:c r="B1059" s="16" t="n">
        <x:v>0.6026137072289867</x:v>
      </x:c>
      <x:c r="C1059" s="16" t="n">
        <x:f>$B$12+$D$12*B1059</x:f>
        <x:v>0.0084600687531069</x:v>
      </x:c>
      <x:c r="D1059" s="12" t="n">
        <x:f>D1058*EXP(C1059)</x:f>
        <x:v>201.33723294436496</x:v>
      </x:c>
      <x:c r="E1059" s="16" t="n">
        <x:f>ABS(C1059)</x:f>
        <x:v>0.0084600687531069</x:v>
      </x:c>
      <x:c r="F1059" s="16" t="n">
        <x:f>C1059^2</x:f>
        <x:v>0.00007157276330729572</x:v>
      </x:c>
      <x:c r="G1059" s="1"/>
      <x:c r="H1059" s="1"/>
      <x:c r="I1059" s="1"/>
      <x:c r="J1059" s="1"/>
      <x:c r="K1059" s="1"/>
      <x:c r="L1059" s="1"/>
      <x:c r="M1059" s="1"/>
      <x:c r="N1059" s="1"/>
    </x:row>
    <x:row r="1060" ht="22" customHeight="1">
      <x:c r="A1060" s="1" t="n">
        <x:v>1044</x:v>
      </x:c>
      <x:c r="B1060" s="16" t="n">
        <x:v>1.3359534266977025</x:v>
      </x:c>
      <x:c r="C1060" s="16" t="n">
        <x:f>$B$12+$D$12*B1060</x:f>
        <x:v>0.018155792009486544</x:v>
      </x:c>
      <x:c r="D1060" s="12" t="n">
        <x:f>D1059*EXP(C1060)</x:f>
        <x:v>205.02605528589007</x:v>
      </x:c>
      <x:c r="E1060" s="16" t="n">
        <x:f>ABS(C1060)</x:f>
        <x:v>0.018155792009486544</x:v>
      </x:c>
      <x:c r="F1060" s="16" t="n">
        <x:f>C1060^2</x:f>
        <x:v>0.0003296327834917354</x:v>
      </x:c>
      <x:c r="G1060" s="1"/>
      <x:c r="H1060" s="1"/>
      <x:c r="I1060" s="1"/>
      <x:c r="J1060" s="1"/>
      <x:c r="K1060" s="1"/>
      <x:c r="L1060" s="1"/>
      <x:c r="M1060" s="1"/>
      <x:c r="N1060" s="1"/>
    </x:row>
    <x:row r="1061" ht="22" customHeight="1">
      <x:c r="A1061" s="1" t="n">
        <x:v>1045</x:v>
      </x:c>
      <x:c r="B1061" s="16" t="n">
        <x:v>-0.03904259384912196</x:v>
      </x:c>
      <x:c r="C1061" s="16" t="n">
        <x:f>$B$12+$D$12*B1061</x:f>
        <x:v>-0.000023478170374525965</x:v>
      </x:c>
      <x:c r="D1061" s="12" t="n">
        <x:f>D1060*EXP(C1061)</x:f>
        <x:v>205.0212417057401</x:v>
      </x:c>
      <x:c r="E1061" s="16" t="n">
        <x:f>ABS(C1061)</x:f>
        <x:v>0.000023478170374525965</x:v>
      </x:c>
      <x:c r="F1061" s="16" t="n">
        <x:f>C1061^2</x:f>
        <x:v>5.512244841352687e-10</x:v>
      </x:c>
      <x:c r="G1061" s="1"/>
      <x:c r="H1061" s="1"/>
      <x:c r="I1061" s="1"/>
      <x:c r="J1061" s="1"/>
      <x:c r="K1061" s="1"/>
      <x:c r="L1061" s="1"/>
      <x:c r="M1061" s="1"/>
      <x:c r="N1061" s="1"/>
    </x:row>
    <x:row r="1062" ht="22" customHeight="1">
      <x:c r="A1062" s="1" t="n">
        <x:v>1046</x:v>
      </x:c>
      <x:c r="B1062" s="16" t="n">
        <x:v>-1.3374798556595016</x:v>
      </x:c>
      <x:c r="C1062" s="16" t="n">
        <x:f>$B$12+$D$12*B1062</x:f>
        <x:v>-0.0171905400682428</x:v>
      </x:c>
      <x:c r="D1062" s="12" t="n">
        <x:f>D1061*EXP(C1062)</x:f>
        <x:v>201.52693638429207</x:v>
      </x:c>
      <x:c r="E1062" s="16" t="n">
        <x:f>ABS(C1062)</x:f>
        <x:v>0.0171905400682428</x:v>
      </x:c>
      <x:c r="F1062" s="16" t="n">
        <x:f>C1062^2</x:f>
        <x:v>0.0002955146678378612</x:v>
      </x:c>
      <x:c r="G1062" s="1"/>
      <x:c r="H1062" s="1"/>
      <x:c r="I1062" s="1"/>
      <x:c r="J1062" s="1"/>
      <x:c r="K1062" s="1"/>
      <x:c r="L1062" s="1"/>
      <x:c r="M1062" s="1"/>
      <x:c r="N1062" s="1"/>
    </x:row>
    <x:row r="1063" ht="22" customHeight="1">
      <x:c r="A1063" s="1" t="n">
        <x:v>1047</x:v>
      </x:c>
      <x:c r="B1063" s="16" t="n">
        <x:v>0.2933856445973709</x:v>
      </x:c>
      <x:c r="C1063" s="16" t="n">
        <x:f>$B$12+$D$12*B1063</x:f>
        <x:v>0.004371663831367924</x:v>
      </x:c>
      <x:c r="D1063" s="12" t="n">
        <x:f>D1062*EXP(C1063)</x:f>
        <x:v>202.4098729478675</x:v>
      </x:c>
      <x:c r="E1063" s="16" t="n">
        <x:f>ABS(C1063)</x:f>
        <x:v>0.004371663831367924</x:v>
      </x:c>
      <x:c r="F1063" s="16" t="n">
        <x:f>C1063^2</x:f>
        <x:v>0.000019111444654490475</x:v>
      </x:c>
      <x:c r="G1063" s="1"/>
      <x:c r="H1063" s="1"/>
      <x:c r="I1063" s="1"/>
      <x:c r="J1063" s="1"/>
      <x:c r="K1063" s="1"/>
      <x:c r="L1063" s="1"/>
      <x:c r="M1063" s="1"/>
      <x:c r="N1063" s="1"/>
    </x:row>
    <x:row r="1064" ht="22" customHeight="1">
      <x:c r="A1064" s="1" t="n">
        <x:v>1048</x:v>
      </x:c>
      <x:c r="B1064" s="16" t="n">
        <x:v>-0.37205038602854856</x:v>
      </x:c>
      <x:c r="C1064" s="16" t="n">
        <x:f>$B$12+$D$12*B1064</x:f>
        <x:v>-0.004426282640762201</x:v>
      </x:c>
      <x:c r="D1064" s="12" t="n">
        <x:f>D1063*EXP(C1064)</x:f>
        <x:v>201.5159295235594</x:v>
      </x:c>
      <x:c r="E1064" s="16" t="n">
        <x:f>ABS(C1064)</x:f>
        <x:v>0.004426282640762201</x:v>
      </x:c>
      <x:c r="F1064" s="16" t="n">
        <x:f>C1064^2</x:f>
        <x:v>0.000019591978015912806</x:v>
      </x:c>
      <x:c r="G1064" s="1"/>
      <x:c r="H1064" s="1"/>
      <x:c r="I1064" s="1"/>
      <x:c r="J1064" s="1"/>
      <x:c r="K1064" s="1"/>
      <x:c r="L1064" s="1"/>
      <x:c r="M1064" s="1"/>
      <x:c r="N1064" s="1"/>
    </x:row>
    <x:row r="1065" ht="22" customHeight="1">
      <x:c r="A1065" s="1" t="n">
        <x:v>1049</x:v>
      </x:c>
      <x:c r="B1065" s="16" t="n">
        <x:v>-1.010511553057346</x:v>
      </x:c>
      <x:c r="C1065" s="16" t="n">
        <x:f>$B$12+$D$12*B1065</x:f>
        <x:v>-0.012867585656424754</x:v>
      </x:c>
      <x:c r="D1065" s="12" t="n">
        <x:f>D1064*EXP(C1065)</x:f>
        <x:v>198.93951768823587</x:v>
      </x:c>
      <x:c r="E1065" s="16" t="n">
        <x:f>ABS(C1065)</x:f>
        <x:v>0.012867585656424754</x:v>
      </x:c>
      <x:c r="F1065" s="16" t="n">
        <x:f>C1065^2</x:f>
        <x:v>0.00016557476062542808</x:v>
      </x:c>
      <x:c r="G1065" s="1"/>
      <x:c r="H1065" s="1"/>
      <x:c r="I1065" s="1"/>
      <x:c r="J1065" s="1"/>
      <x:c r="K1065" s="1"/>
      <x:c r="L1065" s="1"/>
      <x:c r="M1065" s="1"/>
      <x:c r="N1065" s="1"/>
    </x:row>
    <x:row r="1066" ht="22" customHeight="1">
      <x:c r="A1066" s="1" t="n">
        <x:v>1050</x:v>
      </x:c>
      <x:c r="B1066" s="16" t="n">
        <x:v>-0.583414844067901</x:v>
      </x:c>
      <x:c r="C1066" s="16" t="n">
        <x:f>$B$12+$D$12*B1066</x:f>
        <x:v>-0.007220800975141951</x:v>
      </x:c>
      <x:c r="D1066" s="12" t="n">
        <x:f>D1065*EXP(C1066)</x:f>
        <x:v>197.5081889141364</x:v>
      </x:c>
      <x:c r="E1066" s="16" t="n">
        <x:f>ABS(C1066)</x:f>
        <x:v>0.007220800975141951</x:v>
      </x:c>
      <x:c r="F1066" s="16" t="n">
        <x:f>C1066^2</x:f>
        <x:v>0.00005213996672261095</x:v>
      </x:c>
      <x:c r="G1066" s="1"/>
      <x:c r="H1066" s="1"/>
      <x:c r="I1066" s="1"/>
      <x:c r="J1066" s="1"/>
      <x:c r="K1066" s="1"/>
      <x:c r="L1066" s="1"/>
      <x:c r="M1066" s="1"/>
      <x:c r="N1066" s="1"/>
    </x:row>
    <x:row r="1067" ht="22" customHeight="1">
      <x:c r="A1067" s="1" t="n">
        <x:v>1051</x:v>
      </x:c>
      <x:c r="B1067" s="16" t="n">
        <x:v>0.2588410111147202</x:v>
      </x:c>
      <x:c r="C1067" s="16" t="n">
        <x:f>$B$12+$D$12*B1067</x:f>
        <x:v>0.003914937982011914</x:v>
      </x:c>
      <x:c r="D1067" s="12" t="n">
        <x:f>D1066*EXP(C1067)</x:f>
        <x:v>198.28293678006855</x:v>
      </x:c>
      <x:c r="E1067" s="16" t="n">
        <x:f>ABS(C1067)</x:f>
        <x:v>0.003914937982011914</x:v>
      </x:c>
      <x:c r="F1067" s="16" t="n">
        <x:f>C1067^2</x:f>
        <x:v>0.000015326739402999516</x:v>
      </x:c>
      <x:c r="G1067" s="1"/>
      <x:c r="H1067" s="1"/>
      <x:c r="I1067" s="1"/>
      <x:c r="J1067" s="1"/>
      <x:c r="K1067" s="1"/>
      <x:c r="L1067" s="1"/>
      <x:c r="M1067" s="1"/>
      <x:c r="N1067" s="1"/>
    </x:row>
    <x:row r="1068" ht="22" customHeight="1">
      <x:c r="A1068" s="1" t="n">
        <x:v>1052</x:v>
      </x:c>
      <x:c r="B1068" s="16" t="n">
        <x:v>1.1095853499945787</x:v>
      </x:c>
      <x:c r="C1068" s="16" t="n">
        <x:f>$B$12+$D$12*B1068</x:f>
        <x:v>0.015162905946554507</x:v>
      </x:c>
      <x:c r="D1068" s="12" t="n">
        <x:f>D1067*EXP(C1068)</x:f>
        <x:v>201.3123919304768</x:v>
      </x:c>
      <x:c r="E1068" s="16" t="n">
        <x:f>ABS(C1068)</x:f>
        <x:v>0.015162905946554507</x:v>
      </x:c>
      <x:c r="F1068" s="16" t="n">
        <x:f>C1068^2</x:f>
        <x:v>0.00022991371674405803</x:v>
      </x:c>
      <x:c r="G1068" s="1"/>
      <x:c r="H1068" s="1"/>
      <x:c r="I1068" s="1"/>
      <x:c r="J1068" s="1"/>
      <x:c r="K1068" s="1"/>
      <x:c r="L1068" s="1"/>
      <x:c r="M1068" s="1"/>
      <x:c r="N1068" s="1"/>
    </x:row>
    <x:row r="1069" ht="22" customHeight="1">
      <x:c r="A1069" s="1" t="n">
        <x:v>1053</x:v>
      </x:c>
      <x:c r="B1069" s="16" t="n">
        <x:v>-0.8441783598424756</x:v>
      </x:c>
      <x:c r="C1069" s="16" t="n">
        <x:f>$B$12+$D$12*B1069</x:f>
        <x:v>-0.010668440339531677</x:v>
      </x:c>
      <x:c r="D1069" s="12" t="n">
        <x:f>D1068*EXP(C1069)</x:f>
        <x:v>199.17611830316608</x:v>
      </x:c>
      <x:c r="E1069" s="16" t="n">
        <x:f>ABS(C1069)</x:f>
        <x:v>0.010668440339531677</x:v>
      </x:c>
      <x:c r="F1069" s="16" t="n">
        <x:f>C1069^2</x:f>
        <x:v>0.00011381561927814676</x:v>
      </x:c>
      <x:c r="G1069" s="1"/>
      <x:c r="H1069" s="1"/>
      <x:c r="I1069" s="1"/>
      <x:c r="J1069" s="1"/>
      <x:c r="K1069" s="1"/>
      <x:c r="L1069" s="1"/>
      <x:c r="M1069" s="1"/>
      <x:c r="N1069" s="1"/>
    </x:row>
    <x:row r="1070" ht="22" customHeight="1">
      <x:c r="A1070" s="1" t="n">
        <x:v>1054</x:v>
      </x:c>
      <x:c r="B1070" s="16" t="n">
        <x:v>0.6094103262791057</x:v>
      </x:c>
      <x:c r="C1070" s="16" t="n">
        <x:f>$B$12+$D$12*B1070</x:f>
        <x:v>0.008549929067009894</x:v>
      </x:c>
      <x:c r="D1070" s="12" t="n">
        <x:f>D1069*EXP(C1070)</x:f>
        <x:v>200.88636079409503</x:v>
      </x:c>
      <x:c r="E1070" s="16" t="n">
        <x:f>ABS(C1070)</x:f>
        <x:v>0.008549929067009894</x:v>
      </x:c>
      <x:c r="F1070" s="16" t="n">
        <x:f>C1070^2</x:f>
        <x:v>0.00007310128705090067</x:v>
      </x:c>
      <x:c r="G1070" s="1"/>
      <x:c r="H1070" s="1"/>
      <x:c r="I1070" s="1"/>
      <x:c r="J1070" s="1"/>
      <x:c r="K1070" s="1"/>
      <x:c r="L1070" s="1"/>
      <x:c r="M1070" s="1"/>
      <x:c r="N1070" s="1"/>
    </x:row>
    <x:row r="1071" ht="22" customHeight="1">
      <x:c r="A1071" s="1" t="n">
        <x:v>1055</x:v>
      </x:c>
      <x:c r="B1071" s="16" t="n">
        <x:v>-1.3227884719708305</x:v>
      </x:c>
      <x:c r="C1071" s="16" t="n">
        <x:f>$B$12+$D$12*B1071</x:f>
        <x:v>-0.01699630049998126</x:v>
      </x:c>
      <x:c r="D1071" s="12" t="n">
        <x:f>D1070*EXP(C1071)</x:f>
        <x:v>197.50088759719029</x:v>
      </x:c>
      <x:c r="E1071" s="16" t="n">
        <x:f>ABS(C1071)</x:f>
        <x:v>0.01699630049998126</x:v>
      </x:c>
      <x:c r="F1071" s="16" t="n">
        <x:f>C1071^2</x:f>
        <x:v>0.0002888742306856632</x:v>
      </x:c>
      <x:c r="G1071" s="1"/>
      <x:c r="H1071" s="1"/>
      <x:c r="I1071" s="1"/>
      <x:c r="J1071" s="1"/>
      <x:c r="K1071" s="1"/>
      <x:c r="L1071" s="1"/>
      <x:c r="M1071" s="1"/>
      <x:c r="N1071" s="1"/>
    </x:row>
    <x:row r="1072" ht="22" customHeight="1">
      <x:c r="A1072" s="1" t="n">
        <x:v>1056</x:v>
      </x:c>
      <x:c r="B1072" s="16" t="n">
        <x:v>-0.7752832292350039</x:v>
      </x:c>
      <x:c r="C1072" s="16" t="n">
        <x:f>$B$12+$D$12*B1072</x:f>
        <x:v>-0.009757555380830524</x:v>
      </x:c>
      <x:c r="D1072" s="12" t="n">
        <x:f>D1071*EXP(C1072)</x:f>
        <x:v>195.58313326150648</x:v>
      </x:c>
      <x:c r="E1072" s="16" t="n">
        <x:f>ABS(C1072)</x:f>
        <x:v>0.009757555380830524</x:v>
      </x:c>
      <x:c r="F1072" s="16" t="n">
        <x:f>C1072^2</x:f>
        <x:v>0.00009520988700997472</x:v>
      </x:c>
      <x:c r="G1072" s="1"/>
      <x:c r="H1072" s="1"/>
      <x:c r="I1072" s="1"/>
      <x:c r="J1072" s="1"/>
      <x:c r="K1072" s="1"/>
      <x:c r="L1072" s="1"/>
      <x:c r="M1072" s="1"/>
      <x:c r="N1072" s="1"/>
    </x:row>
    <x:row r="1073" ht="22" customHeight="1">
      <x:c r="A1073" s="1" t="n">
        <x:v>1057</x:v>
      </x:c>
      <x:c r="B1073" s="16" t="n">
        <x:v>-0.6328500027118075</x:v>
      </x:c>
      <x:c r="C1073" s="16" t="n">
        <x:f>$B$12+$D$12*B1073</x:f>
        <x:v>-0.007874399307022554</x:v>
      </x:c>
      <x:c r="D1073" s="12" t="n">
        <x:f>D1072*EXP(C1073)</x:f>
        <x:v>194.04908136778582</x:v>
      </x:c>
      <x:c r="E1073" s="16" t="n">
        <x:f>ABS(C1073)</x:f>
        <x:v>0.007874399307022554</x:v>
      </x:c>
      <x:c r="F1073" s="16" t="n">
        <x:f>C1073^2</x:f>
        <x:v>0.00006200616444643728</x:v>
      </x:c>
      <x:c r="G1073" s="1"/>
      <x:c r="H1073" s="1"/>
      <x:c r="I1073" s="1"/>
      <x:c r="J1073" s="1"/>
      <x:c r="K1073" s="1"/>
      <x:c r="L1073" s="1"/>
      <x:c r="M1073" s="1"/>
      <x:c r="N1073" s="1"/>
    </x:row>
    <x:row r="1074" ht="22" customHeight="1">
      <x:c r="A1074" s="1" t="n">
        <x:v>1058</x:v>
      </x:c>
      <x:c r="B1074" s="16" t="n">
        <x:v>0.559786534606546</x:v>
      </x:c>
      <x:c r="C1074" s="16" t="n">
        <x:f>$B$12+$D$12*B1074</x:f>
        <x:v>0.007893836756425725</x:v>
      </x:c>
      <x:c r="D1074" s="12" t="n">
        <x:f>D1073*EXP(C1074)</x:f>
        <x:v>195.58693493571067</x:v>
      </x:c>
      <x:c r="E1074" s="16" t="n">
        <x:f>ABS(C1074)</x:f>
        <x:v>0.007893836756425725</x:v>
      </x:c>
      <x:c r="F1074" s="16" t="n">
        <x:f>C1074^2</x:f>
        <x:v>0.00006231265873709782</x:v>
      </x:c>
      <x:c r="G1074" s="1"/>
      <x:c r="H1074" s="1"/>
      <x:c r="I1074" s="1"/>
      <x:c r="J1074" s="1"/>
      <x:c r="K1074" s="1"/>
      <x:c r="L1074" s="1"/>
      <x:c r="M1074" s="1"/>
      <x:c r="N1074" s="1"/>
    </x:row>
    <x:row r="1075" ht="22" customHeight="1">
      <x:c r="A1075" s="1" t="n">
        <x:v>1059</x:v>
      </x:c>
      <x:c r="B1075" s="16" t="n">
        <x:v>-0.35985125645305305</x:v>
      </x:c>
      <x:c r="C1075" s="16" t="n">
        <x:f>$B$12+$D$12*B1075</x:f>
        <x:v>-0.004264993975778378</x:v>
      </x:c>
      <x:c r="D1075" s="12" t="n">
        <x:f>D1074*EXP(C1075)</x:f>
        <x:v>194.75453419034358</x:v>
      </x:c>
      <x:c r="E1075" s="16" t="n">
        <x:f>ABS(C1075)</x:f>
        <x:v>0.004264993975778378</x:v>
      </x:c>
      <x:c r="F1075" s="16" t="n">
        <x:f>C1075^2</x:f>
        <x:v>0.00001819017361342586</x:v>
      </x:c>
      <x:c r="G1075" s="1"/>
      <x:c r="H1075" s="1"/>
      <x:c r="I1075" s="1"/>
      <x:c r="J1075" s="1"/>
      <x:c r="K1075" s="1"/>
      <x:c r="L1075" s="1"/>
      <x:c r="M1075" s="1"/>
      <x:c r="N1075" s="1"/>
    </x:row>
    <x:row r="1076" ht="22" customHeight="1">
      <x:c r="A1076" s="1" t="n">
        <x:v>1060</x:v>
      </x:c>
      <x:c r="B1076" s="16" t="n">
        <x:v>0.4805029154502113</x:v>
      </x:c>
      <x:c r="C1076" s="16" t="n">
        <x:f>$B$12+$D$12*B1076</x:f>
        <x:v>0.006845602207421709</x:v>
      </x:c>
      <x:c r="D1076" s="12" t="n">
        <x:f>D1075*EXP(C1076)</x:f>
        <x:v>196.09232000997977</x:v>
      </x:c>
      <x:c r="E1076" s="16" t="n">
        <x:f>ABS(C1076)</x:f>
        <x:v>0.006845602207421709</x:v>
      </x:c>
      <x:c r="F1076" s="16" t="n">
        <x:f>C1076^2</x:f>
        <x:v>0.000046862269582256976</x:v>
      </x:c>
      <x:c r="G1076" s="1"/>
      <x:c r="H1076" s="1"/>
      <x:c r="I1076" s="1"/>
      <x:c r="J1076" s="1"/>
      <x:c r="K1076" s="1"/>
      <x:c r="L1076" s="1"/>
      <x:c r="M1076" s="1"/>
      <x:c r="N1076" s="1"/>
    </x:row>
    <x:row r="1077" ht="22" customHeight="1">
      <x:c r="A1077" s="1" t="n">
        <x:v>1061</x:v>
      </x:c>
      <x:c r="B1077" s="16" t="n">
        <x:v>0.8934721624699463</x:v>
      </x:c>
      <x:c r="C1077" s="16" t="n">
        <x:f>$B$12+$D$12*B1077</x:f>
        <x:v>0.012305603113140611</x:v>
      </x:c>
      <x:c r="D1077" s="12" t="n">
        <x:f>D1076*EXP(C1077)</x:f>
        <x:v>198.5202622824514</x:v>
      </x:c>
      <x:c r="E1077" s="16" t="n">
        <x:f>ABS(C1077)</x:f>
        <x:v>0.012305603113140611</x:v>
      </x:c>
      <x:c r="F1077" s="16" t="n">
        <x:f>C1077^2</x:f>
        <x:v>0.0001514278679781359</x:v>
      </x:c>
      <x:c r="G1077" s="1"/>
      <x:c r="H1077" s="1"/>
      <x:c r="I1077" s="1"/>
      <x:c r="J1077" s="1"/>
      <x:c r="K1077" s="1"/>
      <x:c r="L1077" s="1"/>
      <x:c r="M1077" s="1"/>
      <x:c r="N1077" s="1"/>
    </x:row>
    <x:row r="1078" ht="22" customHeight="1">
      <x:c r="A1078" s="1" t="n">
        <x:v>1062</x:v>
      </x:c>
      <x:c r="B1078" s="16" t="n">
        <x:v>-1.1199661735916442</x:v>
      </x:c>
      <x:c r="C1078" s="16" t="n">
        <x:f>$B$12+$D$12*B1078</x:f>
        <x:v>-0.014314720840376665</x:v>
      </x:c>
      <x:c r="D1078" s="12" t="n">
        <x:f>D1077*EXP(C1078)</x:f>
        <x:v>195.69874295738086</x:v>
      </x:c>
      <x:c r="E1078" s="16" t="n">
        <x:f>ABS(C1078)</x:f>
        <x:v>0.014314720840376665</x:v>
      </x:c>
      <x:c r="F1078" s="16" t="n">
        <x:f>C1078^2</x:f>
        <x:v>0.00020491123273791401</x:v>
      </x:c>
      <x:c r="G1078" s="1"/>
      <x:c r="H1078" s="1"/>
      <x:c r="I1078" s="1"/>
      <x:c r="J1078" s="1"/>
      <x:c r="K1078" s="1"/>
      <x:c r="L1078" s="1"/>
      <x:c r="M1078" s="1"/>
      <x:c r="N1078" s="1"/>
    </x:row>
    <x:row r="1079" ht="22" customHeight="1">
      <x:c r="A1079" s="1" t="n">
        <x:v>1063</x:v>
      </x:c>
      <x:c r="B1079" s="16" t="n">
        <x:v>0.43008296444544314</x:v>
      </x:c>
      <x:c r="C1079" s="16" t="n">
        <x:f>$B$12+$D$12*B1079</x:f>
        <x:v>0.006178983615022791</x:v>
      </x:c>
      <x:c r="D1079" s="12" t="n">
        <x:f>D1078*EXP(C1079)</x:f>
        <x:v>196.91170586333095</x:v>
      </x:c>
      <x:c r="E1079" s="16" t="n">
        <x:f>ABS(C1079)</x:f>
        <x:v>0.006178983615022791</x:v>
      </x:c>
      <x:c r="F1079" s="16" t="n">
        <x:f>C1079^2</x:f>
        <x:v>0.00003817983851472012</x:v>
      </x:c>
      <x:c r="G1079" s="1"/>
      <x:c r="H1079" s="1"/>
      <x:c r="I1079" s="1"/>
      <x:c r="J1079" s="1"/>
      <x:c r="K1079" s="1"/>
      <x:c r="L1079" s="1"/>
      <x:c r="M1079" s="1"/>
      <x:c r="N1079" s="1"/>
    </x:row>
    <x:row r="1080" ht="22" customHeight="1">
      <x:c r="A1080" s="1" t="n">
        <x:v>1064</x:v>
      </x:c>
      <x:c r="B1080" s="16" t="n">
        <x:v>-0.6462093963190759</x:v>
      </x:c>
      <x:c r="C1080" s="16" t="n">
        <x:f>$B$12+$D$12*B1080</x:f>
        <x:v>-0.00805102820063132</x:v>
      </x:c>
      <x:c r="D1080" s="12" t="n">
        <x:f>D1079*EXP(C1080)</x:f>
        <x:v>195.33272888943708</x:v>
      </x:c>
      <x:c r="E1080" s="16" t="n">
        <x:f>ABS(C1080)</x:f>
        <x:v>0.00805102820063132</x:v>
      </x:c>
      <x:c r="F1080" s="16" t="n">
        <x:f>C1080^2</x:f>
        <x:v>0.0000648190550873608</x:v>
      </x:c>
      <x:c r="G1080" s="1"/>
      <x:c r="H1080" s="1"/>
      <x:c r="I1080" s="1"/>
      <x:c r="J1080" s="1"/>
      <x:c r="K1080" s="1"/>
      <x:c r="L1080" s="1"/>
      <x:c r="M1080" s="1"/>
      <x:c r="N1080" s="1"/>
    </x:row>
    <x:row r="1081" ht="22" customHeight="1">
      <x:c r="A1081" s="1" t="n">
        <x:v>1065</x:v>
      </x:c>
      <x:c r="B1081" s="16" t="n">
        <x:v>0.8252653694532225</x:v>
      </x:c>
      <x:c r="C1081" s="16" t="n">
        <x:f>$B$12+$D$12*B1081</x:f>
        <x:v>0.011403818889896267</x:v>
      </x:c>
      <x:c r="D1081" s="12" t="n">
        <x:f>D1080*EXP(C1081)</x:f>
        <x:v>197.57301759777482</x:v>
      </x:c>
      <x:c r="E1081" s="16" t="n">
        <x:f>ABS(C1081)</x:f>
        <x:v>0.011403818889896267</x:v>
      </x:c>
      <x:c r="F1081" s="16" t="n">
        <x:f>C1081^2</x:f>
        <x:v>0.00013004708527355492</x:v>
      </x:c>
      <x:c r="G1081" s="1"/>
      <x:c r="H1081" s="1"/>
      <x:c r="I1081" s="1"/>
      <x:c r="J1081" s="1"/>
      <x:c r="K1081" s="1"/>
      <x:c r="L1081" s="1"/>
      <x:c r="M1081" s="1"/>
      <x:c r="N1081" s="1"/>
    </x:row>
    <x:row r="1082" ht="22" customHeight="1">
      <x:c r="A1082" s="1" t="n">
        <x:v>1066</x:v>
      </x:c>
      <x:c r="B1082" s="16" t="n">
        <x:v>-0.23143654217794463</x:v>
      </x:c>
      <x:c r="C1082" s="16" t="n">
        <x:f>$B$12+$D$12*B1082</x:f>
        <x:v>-0.002567181217783302</x:v>
      </x:c>
      <x:c r="D1082" s="12" t="n">
        <x:f>D1081*EXP(C1082)</x:f>
        <x:v>197.06646234562254</x:v>
      </x:c>
      <x:c r="E1082" s="16" t="n">
        <x:f>ABS(C1082)</x:f>
        <x:v>0.002567181217783302</x:v>
      </x:c>
      <x:c r="F1082" s="16" t="n">
        <x:f>C1082^2</x:f>
        <x:v>0.000006590419404939356</x:v>
      </x:c>
      <x:c r="G1082" s="1"/>
      <x:c r="H1082" s="1"/>
      <x:c r="I1082" s="1"/>
      <x:c r="J1082" s="1"/>
      <x:c r="K1082" s="1"/>
      <x:c r="L1082" s="1"/>
      <x:c r="M1082" s="1"/>
      <x:c r="N1082" s="1"/>
    </x:row>
    <x:row r="1083" ht="22" customHeight="1">
      <x:c r="A1083" s="1" t="n">
        <x:v>1067</x:v>
      </x:c>
      <x:c r="B1083" s="16" t="n">
        <x:v>-0.7599186759189266</x:v>
      </x:c>
      <x:c r="C1083" s="16" t="n">
        <x:f>$B$12+$D$12*B1083</x:f>
        <x:v>-0.009554415617695234</x:v>
      </x:c>
      <x:c r="D1083" s="12" t="n">
        <x:f>D1082*EXP(C1083)</x:f>
        <x:v>195.19257367076972</x:v>
      </x:c>
      <x:c r="E1083" s="16" t="n">
        <x:f>ABS(C1083)</x:f>
        <x:v>0.009554415617695234</x:v>
      </x:c>
      <x:c r="F1083" s="16" t="n">
        <x:f>C1083^2</x:f>
        <x:v>0.0000912868577956586</x:v>
      </x:c>
      <x:c r="G1083" s="1"/>
      <x:c r="H1083" s="1"/>
      <x:c r="I1083" s="1"/>
      <x:c r="J1083" s="1"/>
      <x:c r="K1083" s="1"/>
      <x:c r="L1083" s="1"/>
      <x:c r="M1083" s="1"/>
      <x:c r="N1083" s="1"/>
    </x:row>
    <x:row r="1084" ht="22" customHeight="1">
      <x:c r="A1084" s="1" t="n">
        <x:v>1068</x:v>
      </x:c>
      <x:c r="B1084" s="16" t="n">
        <x:v>-0.6225498889138448</x:v>
      </x:c>
      <x:c r="C1084" s="16" t="n">
        <x:f>$B$12+$D$12*B1084</x:f>
        <x:v>-0.007738218148082172</x:v>
      </x:c>
      <x:c r="D1084" s="12" t="n">
        <x:f>D1083*EXP(C1084)</x:f>
        <x:v>193.68795997733127</x:v>
      </x:c>
      <x:c r="E1084" s="16" t="n">
        <x:f>ABS(C1084)</x:f>
        <x:v>0.007738218148082172</x:v>
      </x:c>
      <x:c r="F1084" s="16" t="n">
        <x:f>C1084^2</x:f>
        <x:v>0.000059880020107308284</x:v>
      </x:c>
      <x:c r="G1084" s="1"/>
      <x:c r="H1084" s="1"/>
      <x:c r="I1084" s="1"/>
      <x:c r="J1084" s="1"/>
      <x:c r="K1084" s="1"/>
      <x:c r="L1084" s="1"/>
      <x:c r="M1084" s="1"/>
      <x:c r="N1084" s="1"/>
    </x:row>
    <x:row r="1085" ht="22" customHeight="1">
      <x:c r="A1085" s="1" t="n">
        <x:v>1069</x:v>
      </x:c>
      <x:c r="B1085" s="16" t="n">
        <x:v>0.45525931307156453</x:v>
      </x:c>
      <x:c r="C1085" s="16" t="n">
        <x:f>$B$12+$D$12*B1085</x:f>
        <x:v>0.006511848319339984</x:v>
      </x:c>
      <x:c r="D1085" s="12" t="n">
        <x:f>D1084*EXP(C1085)</x:f>
        <x:v>194.95334211079233</x:v>
      </x:c>
      <x:c r="E1085" s="16" t="n">
        <x:f>ABS(C1085)</x:f>
        <x:v>0.006511848319339984</x:v>
      </x:c>
      <x:c r="F1085" s="16" t="n">
        <x:f>C1085^2</x:f>
        <x:v>0.000042404168534090976</x:v>
      </x:c>
      <x:c r="G1085" s="1"/>
      <x:c r="H1085" s="1"/>
      <x:c r="I1085" s="1"/>
      <x:c r="J1085" s="1"/>
      <x:c r="K1085" s="1"/>
      <x:c r="L1085" s="1"/>
      <x:c r="M1085" s="1"/>
      <x:c r="N1085" s="1"/>
    </x:row>
    <x:row r="1086" ht="22" customHeight="1">
      <x:c r="A1086" s="1" t="n">
        <x:v>1070</x:v>
      </x:c>
      <x:c r="B1086" s="16" t="n">
        <x:v>-0.6723587050157883</x:v>
      </x:c>
      <x:c r="C1086" s="16" t="n">
        <x:f>$B$12+$D$12*B1086</x:f>
        <x:v>-0.008396756726903761</x:v>
      </x:c>
      <x:c r="D1086" s="12" t="n">
        <x:f>D1085*EXP(C1086)</x:f>
        <x:v>193.32321977205572</x:v>
      </x:c>
      <x:c r="E1086" s="16" t="n">
        <x:f>ABS(C1086)</x:f>
        <x:v>0.008396756726903761</x:v>
      </x:c>
      <x:c r="F1086" s="16" t="n">
        <x:f>C1086^2</x:f>
        <x:v>0.00007050552353080356</x:v>
      </x:c>
      <x:c r="G1086" s="1"/>
      <x:c r="H1086" s="1"/>
      <x:c r="I1086" s="1"/>
      <x:c r="J1086" s="1"/>
      <x:c r="K1086" s="1"/>
      <x:c r="L1086" s="1"/>
      <x:c r="M1086" s="1"/>
      <x:c r="N1086" s="1"/>
    </x:row>
    <x:row r="1087" ht="22" customHeight="1">
      <x:c r="A1087" s="1" t="n">
        <x:v>1071</x:v>
      </x:c>
      <x:c r="B1087" s="16" t="n">
        <x:v>0.6264520511048002</x:v>
      </x:c>
      <x:c r="C1087" s="16" t="n">
        <x:f>$B$12+$D$12*B1087</x:f>
        <x:v>0.008775243260874933</x:v>
      </x:c>
      <x:c r="D1087" s="12" t="n">
        <x:f>D1086*EXP(C1087)</x:f>
        <x:v>195.02714329102938</x:v>
      </x:c>
      <x:c r="E1087" s="16" t="n">
        <x:f>ABS(C1087)</x:f>
        <x:v>0.008775243260874933</x:v>
      </x:c>
      <x:c r="F1087" s="16" t="n">
        <x:f>C1087^2</x:f>
        <x:v>0.00007700489428753093</x:v>
      </x:c>
      <x:c r="G1087" s="1"/>
      <x:c r="H1087" s="1"/>
      <x:c r="I1087" s="1"/>
      <x:c r="J1087" s="1"/>
      <x:c r="K1087" s="1"/>
      <x:c r="L1087" s="1"/>
      <x:c r="M1087" s="1"/>
      <x:c r="N1087" s="1"/>
    </x:row>
    <x:row r="1088" ht="22" customHeight="1">
      <x:c r="A1088" s="1" t="n">
        <x:v>1072</x:v>
      </x:c>
      <x:c r="B1088" s="16" t="n">
        <x:v>0.26246506789430507</x:v>
      </x:c>
      <x:c r="C1088" s="16" t="n">
        <x:f>$B$12+$D$12*B1088</x:f>
        <x:v>0.003962852816934149</x:v>
      </x:c>
      <x:c r="D1088" s="12" t="n">
        <x:f>D1087*EXP(C1088)</x:f>
        <x:v>195.80154055294355</x:v>
      </x:c>
      <x:c r="E1088" s="16" t="n">
        <x:f>ABS(C1088)</x:f>
        <x:v>0.003962852816934149</x:v>
      </x:c>
      <x:c r="F1088" s="16" t="n">
        <x:f>C1088^2</x:f>
        <x:v>0.00001570420244868292</x:v>
      </x:c>
      <x:c r="G1088" s="1"/>
      <x:c r="H1088" s="1"/>
      <x:c r="I1088" s="1"/>
      <x:c r="J1088" s="1"/>
      <x:c r="K1088" s="1"/>
      <x:c r="L1088" s="1"/>
      <x:c r="M1088" s="1"/>
      <x:c r="N1088" s="1"/>
    </x:row>
    <x:row r="1089" ht="22" customHeight="1">
      <x:c r="A1089" s="1" t="n">
        <x:v>1073</x:v>
      </x:c>
      <x:c r="B1089" s="16" t="n">
        <x:v>-0.45491222604355874</x:v>
      </x:c>
      <x:c r="C1089" s="16" t="n">
        <x:f>$B$12+$D$12*B1089</x:f>
        <x:v>-0.005521826013050816</x:v>
      </x:c>
      <x:c r="D1089" s="12" t="n">
        <x:f>D1088*EXP(C1089)</x:f>
        <x:v>194.7233380757478</x:v>
      </x:c>
      <x:c r="E1089" s="16" t="n">
        <x:f>ABS(C1089)</x:f>
        <x:v>0.005521826013050816</x:v>
      </x:c>
      <x:c r="F1089" s="16" t="n">
        <x:f>C1089^2</x:f>
        <x:v>0.00003049056251840467</x:v>
      </x:c>
      <x:c r="G1089" s="1"/>
      <x:c r="H1089" s="1"/>
      <x:c r="I1089" s="1"/>
      <x:c r="J1089" s="1"/>
      <x:c r="K1089" s="1"/>
      <x:c r="L1089" s="1"/>
      <x:c r="M1089" s="1"/>
      <x:c r="N1089" s="1"/>
    </x:row>
    <x:row r="1090" ht="22" customHeight="1">
      <x:c r="A1090" s="1" t="n">
        <x:v>1074</x:v>
      </x:c>
      <x:c r="B1090" s="16" t="n">
        <x:v>-0.27688494918684337</x:v>
      </x:c>
      <x:c r="C1090" s="16" t="n">
        <x:f>$B$12+$D$12*B1090</x:f>
        <x:v>-0.0031680694079400133</x:v>
      </x:c>
      <x:c r="D1090" s="12" t="n">
        <x:f>D1089*EXP(C1090)</x:f>
        <x:v>194.10741718060004</x:v>
      </x:c>
      <x:c r="E1090" s="16" t="n">
        <x:f>ABS(C1090)</x:f>
        <x:v>0.0031680694079400133</x:v>
      </x:c>
      <x:c r="F1090" s="16" t="n">
        <x:f>C1090^2</x:f>
        <x:v>0.000010036663773525385</x:v>
      </x:c>
      <x:c r="G1090" s="1"/>
      <x:c r="H1090" s="1"/>
      <x:c r="I1090" s="1"/>
      <x:c r="J1090" s="1"/>
      <x:c r="K1090" s="1"/>
      <x:c r="L1090" s="1"/>
      <x:c r="M1090" s="1"/>
      <x:c r="N1090" s="1"/>
    </x:row>
    <x:row r="1091" ht="22" customHeight="1">
      <x:c r="A1091" s="1" t="n">
        <x:v>1075</x:v>
      </x:c>
      <x:c r="B1091" s="16" t="n">
        <x:v>-0.7248153442835269</x:v>
      </x:c>
      <x:c r="C1091" s="16" t="n">
        <x:f>$B$12+$D$12*B1091</x:f>
        <x:v>-0.009090303038111616</x:v>
      </x:c>
      <x:c r="D1091" s="12" t="n">
        <x:f>D1090*EXP(C1091)</x:f>
        <x:v>192.35091758874646</x:v>
      </x:c>
      <x:c r="E1091" s="16" t="n">
        <x:f>ABS(C1091)</x:f>
        <x:v>0.009090303038111616</x:v>
      </x:c>
      <x:c r="F1091" s="16" t="n">
        <x:f>C1091^2</x:f>
        <x:v>0.00008263360932470127</x:v>
      </x:c>
      <x:c r="G1091" s="1"/>
      <x:c r="H1091" s="1"/>
      <x:c r="I1091" s="1"/>
      <x:c r="J1091" s="1"/>
      <x:c r="K1091" s="1"/>
      <x:c r="L1091" s="1"/>
      <x:c r="M1091" s="1"/>
      <x:c r="N1091" s="1"/>
    </x:row>
    <x:row r="1092" ht="22" customHeight="1">
      <x:c r="A1092" s="1" t="n">
        <x:v>1076</x:v>
      </x:c>
      <x:c r="B1092" s="16" t="n">
        <x:v>-1.1298875329178004</x:v>
      </x:c>
      <x:c r="C1092" s="16" t="n">
        <x:f>$B$12+$D$12*B1092</x:f>
        <x:v>-0.01444589436309708</x:v>
      </x:c>
      <x:c r="D1092" s="12" t="n">
        <x:f>D1091*EXP(C1092)</x:f>
        <x:v>189.5922105226795</x:v>
      </x:c>
      <x:c r="E1092" s="16" t="n">
        <x:f>ABS(C1092)</x:f>
        <x:v>0.01444589436309708</x:v>
      </x:c>
      <x:c r="F1092" s="16" t="n">
        <x:f>C1092^2</x:f>
        <x:v>0.00020868386394975997</x:v>
      </x:c>
      <x:c r="G1092" s="1"/>
      <x:c r="H1092" s="1"/>
      <x:c r="I1092" s="1"/>
      <x:c r="J1092" s="1"/>
      <x:c r="K1092" s="1"/>
      <x:c r="L1092" s="1"/>
      <x:c r="M1092" s="1"/>
      <x:c r="N1092" s="1"/>
    </x:row>
    <x:row r="1093" ht="22" customHeight="1">
      <x:c r="A1093" s="1" t="n">
        <x:v>1077</x:v>
      </x:c>
      <x:c r="B1093" s="16" t="n">
        <x:v>0.009727310964209448</x:v>
      </x:c>
      <x:c r="C1093" s="16" t="n">
        <x:f>$B$12+$D$12*B1093</x:f>
        <x:v>0.0006213246239601548</x:v>
      </x:c>
      <x:c r="D1093" s="12" t="n">
        <x:f>D1092*EXP(C1093)</x:f>
        <x:v>189.7100454346637</x:v>
      </x:c>
      <x:c r="E1093" s="16" t="n">
        <x:f>ABS(C1093)</x:f>
        <x:v>0.0006213246239601548</x:v>
      </x:c>
      <x:c r="F1093" s="16" t="n">
        <x:f>C1093^2</x:f>
        <x:v>3.860442883392278e-7</x:v>
      </x:c>
      <x:c r="G1093" s="1"/>
      <x:c r="H1093" s="1"/>
      <x:c r="I1093" s="1"/>
      <x:c r="J1093" s="1"/>
      <x:c r="K1093" s="1"/>
      <x:c r="L1093" s="1"/>
      <x:c r="M1093" s="1"/>
      <x:c r="N1093" s="1"/>
    </x:row>
    <x:row r="1094" ht="22" customHeight="1">
      <x:c r="A1094" s="1" t="n">
        <x:v>1078</x:v>
      </x:c>
      <x:c r="B1094" s="16" t="n">
        <x:v>-0.5908410752108318</x:v>
      </x:c>
      <x:c r="C1094" s="16" t="n">
        <x:f>$B$12+$D$12*B1094</x:f>
        <x:v>-0.007318985595568524</x:v>
      </x:c>
      <x:c r="D1094" s="12" t="n">
        <x:f>D1093*EXP(C1094)</x:f>
        <x:v>188.32662912233707</x:v>
      </x:c>
      <x:c r="E1094" s="16" t="n">
        <x:f>ABS(C1094)</x:f>
        <x:v>0.007318985595568524</x:v>
      </x:c>
      <x:c r="F1094" s="16" t="n">
        <x:f>C1094^2</x:f>
        <x:v>0.000053567550148139546</x:v>
      </x:c>
      <x:c r="G1094" s="1"/>
      <x:c r="H1094" s="1"/>
      <x:c r="I1094" s="1"/>
      <x:c r="J1094" s="1"/>
      <x:c r="K1094" s="1"/>
      <x:c r="L1094" s="1"/>
      <x:c r="M1094" s="1"/>
      <x:c r="N1094" s="1"/>
    </x:row>
    <x:row r="1095" ht="22" customHeight="1">
      <x:c r="A1095" s="1" t="n">
        <x:v>1079</x:v>
      </x:c>
      <x:c r="B1095" s="16" t="n">
        <x:v>-0.9483977200392686</x:v>
      </x:c>
      <x:c r="C1095" s="16" t="n">
        <x:f>$B$12+$D$12*B1095</x:f>
        <x:v>-0.012046358441604642</x:v>
      </x:c>
      <x:c r="D1095" s="12" t="n">
        <x:f>D1094*EXP(C1095)</x:f>
        <x:v>186.07158882558946</x:v>
      </x:c>
      <x:c r="E1095" s="16" t="n">
        <x:f>ABS(C1095)</x:f>
        <x:v>0.012046358441604642</x:v>
      </x:c>
      <x:c r="F1095" s="16" t="n">
        <x:f>C1095^2</x:f>
        <x:v>0.00014511475170361941</x:v>
      </x:c>
      <x:c r="G1095" s="1"/>
      <x:c r="H1095" s="1"/>
      <x:c r="I1095" s="1"/>
      <x:c r="J1095" s="1"/>
      <x:c r="K1095" s="1"/>
      <x:c r="L1095" s="1"/>
      <x:c r="M1095" s="1"/>
      <x:c r="N1095" s="1"/>
    </x:row>
    <x:row r="1096" ht="22" customHeight="1">
      <x:c r="A1096" s="1" t="n">
        <x:v>1080</x:v>
      </x:c>
      <x:c r="B1096" s="16" t="n">
        <x:v>1.268421195265513</x:v>
      </x:c>
      <x:c r="C1096" s="16" t="n">
        <x:f>$B$12+$D$12*B1096</x:f>
        <x:v>0.01726292638463445</x:v>
      </x:c>
      <x:c r="D1096" s="12" t="n">
        <x:f>D1095*EXP(C1096)</x:f>
        <x:v>189.31161466697822</x:v>
      </x:c>
      <x:c r="E1096" s="16" t="n">
        <x:f>ABS(C1096)</x:f>
        <x:v>0.01726292638463445</x:v>
      </x:c>
      <x:c r="F1096" s="16" t="n">
        <x:f>C1096^2</x:f>
        <x:v>0.00029800862736130824</x:v>
      </x:c>
      <x:c r="G1096" s="1"/>
      <x:c r="H1096" s="1"/>
      <x:c r="I1096" s="1"/>
      <x:c r="J1096" s="1"/>
      <x:c r="K1096" s="1"/>
      <x:c r="L1096" s="1"/>
      <x:c r="M1096" s="1"/>
      <x:c r="N1096" s="1"/>
    </x:row>
    <x:row r="1097" ht="22" customHeight="1">
      <x:c r="A1097" s="1" t="n">
        <x:v>1081</x:v>
      </x:c>
      <x:c r="B1097" s="16" t="n">
        <x:v>-0.34678605985501</x:v>
      </x:c>
      <x:c r="C1097" s="16" t="n">
        <x:f>$B$12+$D$12*B1097</x:f>
        <x:v>-0.004092254756639134</x:v>
      </x:c>
      <x:c r="D1097" s="12" t="n">
        <x:f>D1096*EXP(C1097)</x:f>
        <x:v>188.53848630940533</x:v>
      </x:c>
      <x:c r="E1097" s="16" t="n">
        <x:f>ABS(C1097)</x:f>
        <x:v>0.004092254756639134</x:v>
      </x:c>
      <x:c r="F1097" s="16" t="n">
        <x:f>C1097^2</x:f>
        <x:v>0.00001674654899323562</x:v>
      </x:c>
      <x:c r="G1097" s="1"/>
      <x:c r="H1097" s="1"/>
      <x:c r="I1097" s="1"/>
      <x:c r="J1097" s="1"/>
      <x:c r="K1097" s="1"/>
      <x:c r="L1097" s="1"/>
      <x:c r="M1097" s="1"/>
      <x:c r="N1097" s="1"/>
    </x:row>
    <x:row r="1098" ht="22" customHeight="1">
      <x:c r="A1098" s="1" t="n">
        <x:v>1082</x:v>
      </x:c>
      <x:c r="B1098" s="16" t="n">
        <x:v>1.1921494289217345</x:v>
      </x:c>
      <x:c r="C1098" s="16" t="n">
        <x:f>$B$12+$D$12*B1098</x:f>
        <x:v>0.01625451252252934</x:v>
      </x:c>
      <x:c r="D1098" s="12" t="n">
        <x:f>D1097*EXP(C1098)</x:f>
        <x:v>191.62812979474754</x:v>
      </x:c>
      <x:c r="E1098" s="16" t="n">
        <x:f>ABS(C1098)</x:f>
        <x:v>0.01625451252252934</x:v>
      </x:c>
      <x:c r="F1098" s="16" t="n">
        <x:f>C1098^2</x:f>
        <x:v>0.00026420917734506317</x:v>
      </x:c>
      <x:c r="G1098" s="1"/>
      <x:c r="H1098" s="1"/>
      <x:c r="I1098" s="1"/>
      <x:c r="J1098" s="1"/>
      <x:c r="K1098" s="1"/>
      <x:c r="L1098" s="1"/>
      <x:c r="M1098" s="1"/>
      <x:c r="N1098" s="1"/>
    </x:row>
    <x:row r="1099" ht="22" customHeight="1">
      <x:c r="A1099" s="1" t="n">
        <x:v>1083</x:v>
      </x:c>
      <x:c r="B1099" s="16" t="n">
        <x:v>0.6522564303276084</x:v>
      </x:c>
      <x:c r="C1099" s="16" t="n">
        <x:f>$B$12+$D$12*B1099</x:f>
        <x:v>0.009116411362240394</x:v>
      </x:c>
      <x:c r="D1099" s="12" t="n">
        <x:f>D1098*EXP(C1099)</x:f>
        <x:v>193.38307791471507</x:v>
      </x:c>
      <x:c r="E1099" s="16" t="n">
        <x:f>ABS(C1099)</x:f>
        <x:v>0.009116411362240394</x:v>
      </x:c>
      <x:c r="F1099" s="16" t="n">
        <x:f>C1099^2</x:f>
        <x:v>0.00008310895612558575</x:v>
      </x:c>
      <x:c r="G1099" s="1"/>
      <x:c r="H1099" s="1"/>
      <x:c r="I1099" s="1"/>
      <x:c r="J1099" s="1"/>
      <x:c r="K1099" s="1"/>
      <x:c r="L1099" s="1"/>
      <x:c r="M1099" s="1"/>
      <x:c r="N1099" s="1"/>
    </x:row>
    <x:row r="1100" ht="22" customHeight="1">
      <x:c r="A1100" s="1" t="n">
        <x:v>1084</x:v>
      </x:c>
      <x:c r="B1100" s="16" t="n">
        <x:v>0.4785143041495707</x:v>
      </x:c>
      <x:c r="C1100" s="16" t="n">
        <x:f>$B$12+$D$12*B1100</x:f>
        <x:v>0.006819310129788864</x:v>
      </x:c>
      <x:c r="D1100" s="12" t="n">
        <x:f>D1099*EXP(C1100)</x:f>
        <x:v>194.70632378093495</x:v>
      </x:c>
      <x:c r="E1100" s="16" t="n">
        <x:f>ABS(C1100)</x:f>
        <x:v>0.006819310129788864</x:v>
      </x:c>
      <x:c r="F1100" s="16" t="n">
        <x:f>C1100^2</x:f>
        <x:v>0.00004650299064624101</x:v>
      </x:c>
      <x:c r="G1100" s="1"/>
      <x:c r="H1100" s="1"/>
      <x:c r="I1100" s="1"/>
      <x:c r="J1100" s="1"/>
      <x:c r="K1100" s="1"/>
      <x:c r="L1100" s="1"/>
      <x:c r="M1100" s="1"/>
      <x:c r="N1100" s="1"/>
    </x:row>
    <x:row r="1101" ht="22" customHeight="1">
      <x:c r="A1101" s="1" t="n">
        <x:v>1085</x:v>
      </x:c>
      <x:c r="B1101" s="16" t="n">
        <x:v>-0.0795457662867005</x:v>
      </x:c>
      <x:c r="C1101" s="16" t="n">
        <x:f>$B$12+$D$12*B1101</x:f>
        <x:v>-0.0005589838037591337</x:v>
      </x:c>
      <x:c r="D1101" s="12" t="n">
        <x:f>D1100*EXP(C1101)</x:f>
        <x:v>194.59751651303537</x:v>
      </x:c>
      <x:c r="E1101" s="16" t="n">
        <x:f>ABS(C1101)</x:f>
        <x:v>0.0005589838037591337</x:v>
      </x:c>
      <x:c r="F1101" s="16" t="n">
        <x:f>C1101^2</x:f>
        <x:v>3.124628928650297e-7</x:v>
      </x:c>
      <x:c r="G1101" s="1"/>
      <x:c r="H1101" s="1"/>
      <x:c r="I1101" s="1"/>
      <x:c r="J1101" s="1"/>
      <x:c r="K1101" s="1"/>
      <x:c r="L1101" s="1"/>
      <x:c r="M1101" s="1"/>
      <x:c r="N1101" s="1"/>
    </x:row>
    <x:row r="1102" ht="22" customHeight="1">
      <x:c r="A1102" s="1" t="n">
        <x:v>1086</x:v>
      </x:c>
      <x:c r="B1102" s="16" t="n">
        <x:v>2.095323529814084</x:v>
      </x:c>
      <x:c r="C1102" s="16" t="n">
        <x:f>$B$12+$D$12*B1102</x:f>
        <x:v>0.0281956714453351</x:v>
      </x:c>
      <x:c r="D1102" s="12" t="n">
        <x:f>D1101*EXP(C1102)</x:f>
        <x:v>200.1624084172987</x:v>
      </x:c>
      <x:c r="E1102" s="16" t="n">
        <x:f>ABS(C1102)</x:f>
        <x:v>0.0281956714453351</x:v>
      </x:c>
      <x:c r="F1102" s="16" t="n">
        <x:f>C1102^2</x:f>
        <x:v>0.0007949958882532852</x:v>
      </x:c>
      <x:c r="G1102" s="1"/>
      <x:c r="H1102" s="1"/>
      <x:c r="I1102" s="1"/>
      <x:c r="J1102" s="1"/>
      <x:c r="K1102" s="1"/>
      <x:c r="L1102" s="1"/>
      <x:c r="M1102" s="1"/>
      <x:c r="N1102" s="1"/>
    </x:row>
    <x:row r="1103" ht="22" customHeight="1">
      <x:c r="A1103" s="1" t="n">
        <x:v>1087</x:v>
      </x:c>
      <x:c r="B1103" s="16" t="n">
        <x:v>0.5680704127168472</x:v>
      </x:c>
      <x:c r="C1103" s="16" t="n">
        <x:f>$B$12+$D$12*B1103</x:f>
        <x:v>0.00800336060671608</x:v>
      </x:c>
      <x:c r="D1103" s="12" t="n">
        <x:f>D1102*EXP(C1103)</x:f>
        <x:v>201.77080806764107</x:v>
      </x:c>
      <x:c r="E1103" s="16" t="n">
        <x:f>ABS(C1103)</x:f>
        <x:v>0.00800336060671608</x:v>
      </x:c>
      <x:c r="F1103" s="16" t="n">
        <x:f>C1103^2</x:f>
        <x:v>0.00006405378100113477</x:v>
      </x:c>
      <x:c r="G1103" s="1"/>
      <x:c r="H1103" s="1"/>
      <x:c r="I1103" s="1"/>
      <x:c r="J1103" s="1"/>
      <x:c r="K1103" s="1"/>
      <x:c r="L1103" s="1"/>
      <x:c r="M1103" s="1"/>
      <x:c r="N1103" s="1"/>
    </x:row>
    <x:row r="1104" ht="22" customHeight="1">
      <x:c r="A1104" s="1" t="n">
        <x:v>1088</x:v>
      </x:c>
      <x:c r="B1104" s="16" t="n">
        <x:v>0.31875254602672665</x:v>
      </x:c>
      <x:c r="C1104" s="16" t="n">
        <x:f>$B$12+$D$12*B1104</x:f>
        <x:v>0.004707047896353629</x:v>
      </x:c>
      <x:c r="D1104" s="12" t="n">
        <x:f>D1103*EXP(C1104)</x:f>
        <x:v>202.7227916838382</x:v>
      </x:c>
      <x:c r="E1104" s="16" t="n">
        <x:f>ABS(C1104)</x:f>
        <x:v>0.004707047896353629</x:v>
      </x:c>
      <x:c r="F1104" s="16" t="n">
        <x:f>C1104^2</x:f>
        <x:v>0.000022156299898567127</x:v>
      </x:c>
      <x:c r="G1104" s="1"/>
      <x:c r="H1104" s="1"/>
      <x:c r="I1104" s="1"/>
      <x:c r="J1104" s="1"/>
      <x:c r="K1104" s="1"/>
      <x:c r="L1104" s="1"/>
      <x:c r="M1104" s="1"/>
      <x:c r="N1104" s="1"/>
    </x:row>
    <x:row r="1105" ht="22" customHeight="1">
      <x:c r="A1105" s="1" t="n">
        <x:v>1089</x:v>
      </x:c>
      <x:c r="B1105" s="16" t="n">
        <x:v>0.7603058931692157</x:v>
      </x:c>
      <x:c r="C1105" s="16" t="n">
        <x:f>$B$12+$D$12*B1105</x:f>
        <x:v>0.010544968498722338</x:v>
      </x:c>
      <x:c r="D1105" s="12" t="n">
        <x:f>D1104*EXP(C1105)</x:f>
        <x:v>204.8718078766173</x:v>
      </x:c>
      <x:c r="E1105" s="16" t="n">
        <x:f>ABS(C1105)</x:f>
        <x:v>0.010544968498722338</x:v>
      </x:c>
      <x:c r="F1105" s="16" t="n">
        <x:f>C1105^2</x:f>
        <x:v>0.00011119636063904643</x:v>
      </x:c>
      <x:c r="G1105" s="1"/>
      <x:c r="H1105" s="1"/>
      <x:c r="I1105" s="1"/>
      <x:c r="J1105" s="1"/>
      <x:c r="K1105" s="1"/>
      <x:c r="L1105" s="1"/>
      <x:c r="M1105" s="1"/>
      <x:c r="N1105" s="1"/>
    </x:row>
    <x:row r="1106" ht="22" customHeight="1">
      <x:c r="A1106" s="1" t="n">
        <x:v>1090</x:v>
      </x:c>
      <x:c r="B1106" s="16" t="n">
        <x:v>-0.19679080240652583</x:v>
      </x:c>
      <x:c r="C1106" s="16" t="n">
        <x:f>$B$12+$D$12*B1106</x:f>
        <x:v>-0.0021091186092564054</x:v>
      </x:c>
      <x:c r="D1106" s="12" t="n">
        <x:f>D1105*EXP(C1106)</x:f>
        <x:v>204.4401642878851</x:v>
      </x:c>
      <x:c r="E1106" s="16" t="n">
        <x:f>ABS(C1106)</x:f>
        <x:v>0.0021091186092564054</x:v>
      </x:c>
      <x:c r="F1106" s="16" t="n">
        <x:f>C1106^2</x:f>
        <x:v>0.000004448381307911674</x:v>
      </x:c>
      <x:c r="G1106" s="1"/>
      <x:c r="H1106" s="1"/>
      <x:c r="I1106" s="1"/>
      <x:c r="J1106" s="1"/>
      <x:c r="K1106" s="1"/>
      <x:c r="L1106" s="1"/>
      <x:c r="M1106" s="1"/>
      <x:c r="N1106" s="1"/>
    </x:row>
    <x:row r="1107" ht="22" customHeight="1">
      <x:c r="A1107" s="1" t="n">
        <x:v>1091</x:v>
      </x:c>
      <x:c r="B1107" s="16" t="n">
        <x:v>-2.714263616510639</x:v>
      </x:c>
      <x:c r="C1107" s="16" t="n">
        <x:f>$B$12+$D$12*B1107</x:f>
        <x:v>-0.035393446544877014</x:v>
      </x:c>
      <x:c r="D1107" s="12" t="n">
        <x:f>D1106*EXP(C1107)</x:f>
        <x:v>197.33087551037028</x:v>
      </x:c>
      <x:c r="E1107" s="16" t="n">
        <x:f>ABS(C1107)</x:f>
        <x:v>0.035393446544877014</x:v>
      </x:c>
      <x:c r="F1107" s="16" t="n">
        <x:f>C1107^2</x:f>
        <x:v>0.0012526960583250665</x:v>
      </x:c>
      <x:c r="G1107" s="1"/>
      <x:c r="H1107" s="1"/>
      <x:c r="I1107" s="1"/>
      <x:c r="J1107" s="1"/>
      <x:c r="K1107" s="1"/>
      <x:c r="L1107" s="1"/>
      <x:c r="M1107" s="1"/>
      <x:c r="N1107" s="1"/>
    </x:row>
    <x:row r="1108" ht="22" customHeight="1">
      <x:c r="A1108" s="1" t="n">
        <x:v>1092</x:v>
      </x:c>
      <x:c r="B1108" s="16" t="n">
        <x:v>-0.04319858401130768</x:v>
      </x:c>
      <x:c r="C1108" s="16" t="n">
        <x:f>$B$12+$D$12*B1108</x:f>
        <x:v>-0.00007842586978181018</x:v>
      </x:c>
      <x:c r="D1108" s="12" t="n">
        <x:f>D1107*EXP(C1108)</x:f>
        <x:v>197.31540027166102</x:v>
      </x:c>
      <x:c r="E1108" s="16" t="n">
        <x:f>ABS(C1108)</x:f>
        <x:v>0.00007842586978181018</x:v>
      </x:c>
      <x:c r="F1108" s="16" t="n">
        <x:f>C1108^2</x:f>
        <x:v>6.1506170510334475e-9</x:v>
      </x:c>
      <x:c r="G1108" s="1"/>
      <x:c r="H1108" s="1"/>
      <x:c r="I1108" s="1"/>
      <x:c r="J1108" s="1"/>
      <x:c r="K1108" s="1"/>
      <x:c r="L1108" s="1"/>
      <x:c r="M1108" s="1"/>
      <x:c r="N1108" s="1"/>
    </x:row>
    <x:row r="1109" ht="22" customHeight="1">
      <x:c r="A1109" s="1" t="n">
        <x:v>1093</x:v>
      </x:c>
      <x:c r="B1109" s="16" t="n">
        <x:v>0.5753529524406602</x:v>
      </x:c>
      <x:c r="C1109" s="16" t="n">
        <x:f>$B$12+$D$12*B1109</x:f>
        <x:v>0.008099645436094796</x:v>
      </x:c>
      <x:c r="D1109" s="12" t="n">
        <x:f>D1108*EXP(C1109)</x:f>
        <x:v>198.92007492804007</x:v>
      </x:c>
      <x:c r="E1109" s="16" t="n">
        <x:f>ABS(C1109)</x:f>
        <x:v>0.008099645436094796</x:v>
      </x:c>
      <x:c r="F1109" s="16" t="n">
        <x:f>C1109^2</x:f>
        <x:v>0.00006560425619045126</x:v>
      </x:c>
      <x:c r="G1109" s="1"/>
      <x:c r="H1109" s="1"/>
      <x:c r="I1109" s="1"/>
      <x:c r="J1109" s="1"/>
      <x:c r="K1109" s="1"/>
      <x:c r="L1109" s="1"/>
      <x:c r="M1109" s="1"/>
      <x:c r="N1109" s="1"/>
    </x:row>
    <x:row r="1110" ht="22" customHeight="1">
      <x:c r="A1110" s="1" t="n">
        <x:v>1094</x:v>
      </x:c>
      <x:c r="B1110" s="16" t="n">
        <x:v>0.8980104171962945</x:v>
      </x:c>
      <x:c r="C1110" s="16" t="n">
        <x:f>$B$12+$D$12*B1110</x:f>
        <x:v>0.012365604856842027</x:v>
      </x:c>
      <x:c r="D1110" s="12" t="n">
        <x:f>D1109*EXP(C1110)</x:f>
        <x:v>201.3951131070382</x:v>
      </x:c>
      <x:c r="E1110" s="16" t="n">
        <x:f>ABS(C1110)</x:f>
        <x:v>0.012365604856842027</x:v>
      </x:c>
      <x:c r="F1110" s="16" t="n">
        <x:f>C1110^2</x:f>
        <x:v>0.0001529081834755551</x:v>
      </x:c>
      <x:c r="G1110" s="1"/>
      <x:c r="H1110" s="1"/>
      <x:c r="I1110" s="1"/>
      <x:c r="J1110" s="1"/>
      <x:c r="K1110" s="1"/>
      <x:c r="L1110" s="1"/>
      <x:c r="M1110" s="1"/>
      <x:c r="N1110" s="1"/>
    </x:row>
    <x:row r="1111" ht="22" customHeight="1">
      <x:c r="A1111" s="1" t="n">
        <x:v>1095</x:v>
      </x:c>
      <x:c r="B1111" s="16" t="n">
        <x:v>-0.628804552321748</x:v>
      </x:c>
      <x:c r="C1111" s="16" t="n">
        <x:f>$B$12+$D$12*B1111</x:f>
        <x:v>-0.007820913089941818</x:v>
      </x:c>
      <x:c r="D1111" s="12" t="n">
        <x:f>D1110*EXP(C1111)</x:f>
        <x:v>199.82616274020225</x:v>
      </x:c>
      <x:c r="E1111" s="16" t="n">
        <x:f>ABS(C1111)</x:f>
        <x:v>0.007820913089941818</x:v>
      </x:c>
      <x:c r="F1111" s="16" t="n">
        <x:f>C1111^2</x:f>
        <x:v>0.00006116668156042328</x:v>
      </x:c>
      <x:c r="G1111" s="1"/>
      <x:c r="H1111" s="1"/>
      <x:c r="I1111" s="1"/>
      <x:c r="J1111" s="1"/>
      <x:c r="K1111" s="1"/>
      <x:c r="L1111" s="1"/>
      <x:c r="M1111" s="1"/>
      <x:c r="N1111" s="1"/>
    </x:row>
    <x:row r="1112" ht="22" customHeight="1">
      <x:c r="A1112" s="1" t="n">
        <x:v>1096</x:v>
      </x:c>
      <x:c r="B1112" s="16" t="n">
        <x:v>-0.8643427422775052</x:v>
      </x:c>
      <x:c r="C1112" s="16" t="n">
        <x:f>$B$12+$D$12*B1112</x:f>
        <x:v>-0.010935040206599413</x:v>
      </x:c>
      <x:c r="D1112" s="12" t="n">
        <x:f>D1111*EXP(C1112)</x:f>
        <x:v>197.65295930482165</x:v>
      </x:c>
      <x:c r="E1112" s="16" t="n">
        <x:f>ABS(C1112)</x:f>
        <x:v>0.010935040206599413</x:v>
      </x:c>
      <x:c r="F1112" s="16" t="n">
        <x:f>C1112^2</x:f>
        <x:v>0.00011957510431994573</x:v>
      </x:c>
      <x:c r="G1112" s="1"/>
      <x:c r="H1112" s="1"/>
      <x:c r="I1112" s="1"/>
      <x:c r="J1112" s="1"/>
      <x:c r="K1112" s="1"/>
      <x:c r="L1112" s="1"/>
      <x:c r="M1112" s="1"/>
      <x:c r="N1112" s="1"/>
    </x:row>
    <x:row r="1113" ht="22" customHeight="1">
      <x:c r="A1113" s="1" t="n">
        <x:v>1097</x:v>
      </x:c>
      <x:c r="B1113" s="16" t="n">
        <x:v>-0.7297237006309362</x:v>
      </x:c>
      <x:c r="C1113" s="16" t="n">
        <x:f>$B$12+$D$12*B1113</x:f>
        <x:v>-0.009155198015875336</x:v>
      </x:c>
      <x:c r="D1113" s="12" t="n">
        <x:f>D1112*EXP(C1113)</x:f>
        <x:v>195.8516655063342</x:v>
      </x:c>
      <x:c r="E1113" s="16" t="n">
        <x:f>ABS(C1113)</x:f>
        <x:v>0.009155198015875336</x:v>
      </x:c>
      <x:c r="F1113" s="16" t="n">
        <x:f>C1113^2</x:f>
        <x:v>0.00008381765070988768</x:v>
      </x:c>
      <x:c r="G1113" s="1"/>
      <x:c r="H1113" s="1"/>
      <x:c r="I1113" s="1"/>
      <x:c r="J1113" s="1"/>
      <x:c r="K1113" s="1"/>
      <x:c r="L1113" s="1"/>
      <x:c r="M1113" s="1"/>
      <x:c r="N1113" s="1"/>
    </x:row>
    <x:row r="1114" ht="22" customHeight="1">
      <x:c r="A1114" s="1" t="n">
        <x:v>1098</x:v>
      </x:c>
      <x:c r="B1114" s="16" t="n">
        <x:v>0.7369906731105299</x:v>
      </x:c>
      <x:c r="C1114" s="16" t="n">
        <x:f>$B$12+$D$12*B1114</x:f>
        <x:v>0.010236710381305239</x:v>
      </x:c>
      <x:c r="D1114" s="12" t="n">
        <x:f>D1113*EXP(C1114)</x:f>
        <x:v>197.8668390603264</x:v>
      </x:c>
      <x:c r="E1114" s="16" t="n">
        <x:f>ABS(C1114)</x:f>
        <x:v>0.010236710381305239</x:v>
      </x:c>
      <x:c r="F1114" s="16" t="n">
        <x:f>C1114^2</x:f>
        <x:v>0.00010479023943072245</x:v>
      </x:c>
      <x:c r="G1114" s="1"/>
      <x:c r="H1114" s="1"/>
      <x:c r="I1114" s="1"/>
      <x:c r="J1114" s="1"/>
      <x:c r="K1114" s="1"/>
      <x:c r="L1114" s="1"/>
      <x:c r="M1114" s="1"/>
      <x:c r="N1114" s="1"/>
    </x:row>
    <x:row r="1115" ht="22" customHeight="1">
      <x:c r="A1115" s="1" t="n">
        <x:v>1099</x:v>
      </x:c>
      <x:c r="B1115" s="16" t="n">
        <x:v>0.901012670847665</x:v>
      </x:c>
      <x:c r="C1115" s="16" t="n">
        <x:f>$B$12+$D$12*B1115</x:f>
        <x:v>0.012405298630104753</x:v>
      </x:c>
      <x:c r="D1115" s="12" t="n">
        <x:f>D1114*EXP(C1115)</x:f>
        <x:v>200.3367244463266</x:v>
      </x:c>
      <x:c r="E1115" s="16" t="n">
        <x:f>ABS(C1115)</x:f>
        <x:v>0.012405298630104753</x:v>
      </x:c>
      <x:c r="F1115" s="16" t="n">
        <x:f>C1115^2</x:f>
        <x:v>0.00015389143410207888</x:v>
      </x:c>
      <x:c r="G1115" s="1"/>
      <x:c r="H1115" s="1"/>
      <x:c r="I1115" s="1"/>
      <x:c r="J1115" s="1"/>
      <x:c r="K1115" s="1"/>
      <x:c r="L1115" s="1"/>
      <x:c r="M1115" s="1"/>
      <x:c r="N1115" s="1"/>
    </x:row>
    <x:row r="1116" ht="22" customHeight="1">
      <x:c r="A1116" s="1" t="n">
        <x:v>1100</x:v>
      </x:c>
      <x:c r="B1116" s="16" t="n">
        <x:v>1.9160753148704959</x:v>
      </x:c>
      <x:c r="C1116" s="16" t="n">
        <x:f>$B$12+$D$12*B1116</x:f>
        <x:v>0.02582577242015728</x:v>
      </x:c>
      <x:c r="D1116" s="12" t="n">
        <x:f>D1115*EXP(C1116)</x:f>
        <x:v>205.57796331092237</x:v>
      </x:c>
      <x:c r="E1116" s="16" t="n">
        <x:f>ABS(C1116)</x:f>
        <x:v>0.02582577242015728</x:v>
      </x:c>
      <x:c r="F1116" s="16" t="n">
        <x:f>C1116^2</x:f>
        <x:v>0.0006669705210977564</x:v>
      </x:c>
      <x:c r="G1116" s="1"/>
      <x:c r="H1116" s="1"/>
      <x:c r="I1116" s="1"/>
      <x:c r="J1116" s="1"/>
      <x:c r="K1116" s="1"/>
      <x:c r="L1116" s="1"/>
      <x:c r="M1116" s="1"/>
      <x:c r="N1116" s="1"/>
    </x:row>
    <x:row r="1117" ht="22" customHeight="1">
      <x:c r="A1117" s="1" t="n">
        <x:v>1101</x:v>
      </x:c>
      <x:c r="B1117" s="16" t="n">
        <x:v>-1.0550504987117313</x:v>
      </x:c>
      <x:c r="C1117" s="16" t="n">
        <x:f>$B$12+$D$12*B1117</x:f>
        <x:v>-0.013456449561830976</x:v>
      </x:c>
      <x:c r="D1117" s="12" t="n">
        <x:f>D1116*EXP(C1117)</x:f>
        <x:v>202.8301432313299</x:v>
      </x:c>
      <x:c r="E1117" s="16" t="n">
        <x:f>ABS(C1117)</x:f>
        <x:v>0.013456449561830976</x:v>
      </x:c>
      <x:c r="F1117" s="16" t="n">
        <x:f>C1117^2</x:f>
        <x:v>0.00018107603481010108</x:v>
      </x:c>
      <x:c r="G1117" s="1"/>
      <x:c r="H1117" s="1"/>
      <x:c r="I1117" s="1"/>
      <x:c r="J1117" s="1"/>
      <x:c r="K1117" s="1"/>
      <x:c r="L1117" s="1"/>
      <x:c r="M1117" s="1"/>
      <x:c r="N1117" s="1"/>
    </x:row>
    <x:row r="1118" ht="22" customHeight="1">
      <x:c r="A1118" s="1" t="n">
        <x:v>1102</x:v>
      </x:c>
      <x:c r="B1118" s="16" t="n">
        <x:v>-1.8026094759452382</x:v>
      </x:c>
      <x:c r="C1118" s="16" t="n">
        <x:f>$B$12+$D$12*B1118</x:f>
        <x:v>-0.023340170255876237</x:v>
      </x:c>
      <x:c r="D1118" s="12" t="n">
        <x:f>D1117*EXP(C1118)</x:f>
        <x:v>198.15087305925456</x:v>
      </x:c>
      <x:c r="E1118" s="16" t="n">
        <x:f>ABS(C1118)</x:f>
        <x:v>0.023340170255876237</x:v>
      </x:c>
      <x:c r="F1118" s="16" t="n">
        <x:f>C1118^2</x:f>
        <x:v>0.0005447635475732899</x:v>
      </x:c>
      <x:c r="G1118" s="1"/>
      <x:c r="H1118" s="1"/>
      <x:c r="I1118" s="1"/>
      <x:c r="J1118" s="1"/>
      <x:c r="K1118" s="1"/>
      <x:c r="L1118" s="1"/>
      <x:c r="M1118" s="1"/>
      <x:c r="N1118" s="1"/>
    </x:row>
    <x:row r="1119" ht="22" customHeight="1">
      <x:c r="A1119" s="1" t="n">
        <x:v>1103</x:v>
      </x:c>
      <x:c r="B1119" s="16" t="n">
        <x:v>0.7547545335565535</x:v>
      </x:c>
      <x:c r="C1119" s="16" t="n">
        <x:f>$B$12+$D$12*B1119</x:f>
        <x:v>0.010471572165383117</x:v>
      </x:c>
      <x:c r="D1119" s="12" t="n">
        <x:f>D1118*EXP(C1119)</x:f>
        <x:v>200.23672624710642</x:v>
      </x:c>
      <x:c r="E1119" s="16" t="n">
        <x:f>ABS(C1119)</x:f>
        <x:v>0.010471572165383117</x:v>
      </x:c>
      <x:c r="F1119" s="16" t="n">
        <x:f>C1119^2</x:f>
        <x:v>0.00010965382361482646</x:v>
      </x:c>
      <x:c r="G1119" s="1"/>
      <x:c r="H1119" s="1"/>
      <x:c r="I1119" s="1"/>
      <x:c r="J1119" s="1"/>
      <x:c r="K1119" s="1"/>
      <x:c r="L1119" s="1"/>
      <x:c r="M1119" s="1"/>
      <x:c r="N1119" s="1"/>
    </x:row>
    <x:row r="1120" ht="22" customHeight="1">
      <x:c r="A1120" s="1" t="n">
        <x:v>1104</x:v>
      </x:c>
      <x:c r="B1120" s="16" t="n">
        <x:v>-0.5773937061001002</x:v>
      </x:c>
      <x:c r="C1120" s="16" t="n">
        <x:f>$B$12+$D$12*B1120</x:f>
        <x:v>-0.007141193549177664</x:v>
      </x:c>
      <x:c r="D1120" s="12" t="n">
        <x:f>D1119*EXP(C1120)</x:f>
        <x:v>198.81189059804302</x:v>
      </x:c>
      <x:c r="E1120" s="16" t="n">
        <x:f>ABS(C1120)</x:f>
        <x:v>0.007141193549177664</x:v>
      </x:c>
      <x:c r="F1120" s="16" t="n">
        <x:f>C1120^2</x:f>
        <x:v>0.00005099664530681668</x:v>
      </x:c>
      <x:c r="G1120" s="1"/>
      <x:c r="H1120" s="1"/>
      <x:c r="I1120" s="1"/>
      <x:c r="J1120" s="1"/>
      <x:c r="K1120" s="1"/>
      <x:c r="L1120" s="1"/>
      <x:c r="M1120" s="1"/>
      <x:c r="N1120" s="1"/>
    </x:row>
    <x:row r="1121" ht="22" customHeight="1">
      <x:c r="A1121" s="1" t="n">
        <x:v>1105</x:v>
      </x:c>
      <x:c r="B1121" s="16" t="n">
        <x:v>-0.42301854102282144</x:v>
      </x:c>
      <x:c r="C1121" s="16" t="n">
        <x:f>$B$12+$D$12*B1121</x:f>
        <x:v>-0.0051001492166388605</x:v>
      </x:c>
      <x:c r="D1121" s="12" t="n">
        <x:f>D1120*EXP(C1121)</x:f>
        <x:v>197.8005015996678</x:v>
      </x:c>
      <x:c r="E1121" s="16" t="n">
        <x:f>ABS(C1121)</x:f>
        <x:v>0.0051001492166388605</x:v>
      </x:c>
      <x:c r="F1121" s="16" t="n">
        <x:f>C1121^2</x:f>
        <x:v>0.000026011522031981982</x:v>
      </x:c>
      <x:c r="G1121" s="1"/>
      <x:c r="H1121" s="1"/>
      <x:c r="I1121" s="1"/>
      <x:c r="J1121" s="1"/>
      <x:c r="K1121" s="1"/>
      <x:c r="L1121" s="1"/>
      <x:c r="M1121" s="1"/>
      <x:c r="N1121" s="1"/>
    </x:row>
    <x:row r="1122" ht="22" customHeight="1">
      <x:c r="A1122" s="1" t="n">
        <x:v>1106</x:v>
      </x:c>
      <x:c r="B1122" s="16" t="n">
        <x:v>-1.3639390785789405</x:v>
      </x:c>
      <x:c r="C1122" s="16" t="n">
        <x:f>$B$12+$D$12*B1122</x:f>
        <x:v>-0.017540366071383057</x:v>
      </x:c>
      <x:c r="D1122" s="12" t="n">
        <x:f>D1121*EXP(C1122)</x:f>
        <x:v>194.36125935376708</x:v>
      </x:c>
      <x:c r="E1122" s="16" t="n">
        <x:f>ABS(C1122)</x:f>
        <x:v>0.017540366071383057</x:v>
      </x:c>
      <x:c r="F1122" s="16" t="n">
        <x:f>C1122^2</x:f>
        <x:v>0.00030766444191812593</x:v>
      </x:c>
      <x:c r="G1122" s="1"/>
      <x:c r="H1122" s="1"/>
      <x:c r="I1122" s="1"/>
      <x:c r="J1122" s="1"/>
      <x:c r="K1122" s="1"/>
      <x:c r="L1122" s="1"/>
      <x:c r="M1122" s="1"/>
      <x:c r="N1122" s="1"/>
    </x:row>
    <x:row r="1123" ht="22" customHeight="1">
      <x:c r="A1123" s="1" t="n">
        <x:v>1107</x:v>
      </x:c>
      <x:c r="B1123" s="16" t="n">
        <x:v>-0.25810386215875847</x:v>
      </x:c>
      <x:c r="C1123" s="16" t="n">
        <x:f>$B$12+$D$12*B1123</x:f>
        <x:v>-0.0029197585399425505</x:v>
      </x:c>
      <x:c r="D1123" s="12" t="n">
        <x:f>D1122*EXP(C1123)</x:f>
        <x:v>193.79459906510783</x:v>
      </x:c>
      <x:c r="E1123" s="16" t="n">
        <x:f>ABS(C1123)</x:f>
        <x:v>0.0029197585399425505</x:v>
      </x:c>
      <x:c r="F1123" s="16" t="n">
        <x:f>C1123^2</x:f>
        <x:v>0.000008524989931567454</x:v>
      </x:c>
      <x:c r="G1123" s="1"/>
      <x:c r="H1123" s="1"/>
      <x:c r="I1123" s="1"/>
      <x:c r="J1123" s="1"/>
      <x:c r="K1123" s="1"/>
      <x:c r="L1123" s="1"/>
      <x:c r="M1123" s="1"/>
      <x:c r="N1123" s="1"/>
    </x:row>
    <x:row r="1124" ht="22" customHeight="1">
      <x:c r="A1124" s="1" t="n">
        <x:v>1108</x:v>
      </x:c>
      <x:c r="B1124" s="16" t="n">
        <x:v>-1.68731103862698</x:v>
      </x:c>
      <x:c r="C1124" s="16" t="n">
        <x:f>$B$12+$D$12*B1124</x:f>
        <x:v>-0.021815772067079436</x:v>
      </x:c>
      <x:c r="D1124" s="12" t="n">
        <x:f>D1123*EXP(C1124)</x:f>
        <x:v>189.61260286146518</x:v>
      </x:c>
      <x:c r="E1124" s="16" t="n">
        <x:f>ABS(C1124)</x:f>
        <x:v>0.021815772067079436</x:v>
      </x:c>
      <x:c r="F1124" s="16" t="n">
        <x:f>C1124^2</x:f>
        <x:v>0.0004759279108827634</x:v>
      </x:c>
      <x:c r="G1124" s="1"/>
      <x:c r="H1124" s="1"/>
      <x:c r="I1124" s="1"/>
      <x:c r="J1124" s="1"/>
      <x:c r="K1124" s="1"/>
      <x:c r="L1124" s="1"/>
      <x:c r="M1124" s="1"/>
      <x:c r="N1124" s="1"/>
    </x:row>
    <x:row r="1125" ht="22" customHeight="1">
      <x:c r="A1125" s="1" t="n">
        <x:v>1109</x:v>
      </x:c>
      <x:c r="B1125" s="16" t="n">
        <x:v>0.4353590974210895</x:v>
      </x:c>
      <x:c r="C1125" s="16" t="n">
        <x:f>$B$12+$D$12*B1125</x:f>
        <x:v>0.006248741087361515</x:v>
      </x:c>
      <x:c r="D1125" s="12" t="n">
        <x:f>D1124*EXP(C1125)</x:f>
        <x:v>190.8011525257923</x:v>
      </x:c>
      <x:c r="E1125" s="16" t="n">
        <x:f>ABS(C1125)</x:f>
        <x:v>0.006248741087361515</x:v>
      </x:c>
      <x:c r="F1125" s="16" t="n">
        <x:f>C1125^2</x:f>
        <x:v>0.00003904676517687997</x:v>
      </x:c>
      <x:c r="G1125" s="1"/>
      <x:c r="H1125" s="1"/>
      <x:c r="I1125" s="1"/>
      <x:c r="J1125" s="1"/>
      <x:c r="K1125" s="1"/>
      <x:c r="L1125" s="1"/>
      <x:c r="M1125" s="1"/>
      <x:c r="N1125" s="1"/>
    </x:row>
    <x:row r="1126" ht="22" customHeight="1">
      <x:c r="A1126" s="1" t="n">
        <x:v>1110</x:v>
      </x:c>
      <x:c r="B1126" s="16" t="n">
        <x:v>0.2304525549349411</x:v>
      </x:c>
      <x:c r="C1126" s="16" t="n">
        <x:f>$B$12+$D$12*B1126</x:f>
        <x:v>0.003539604957647153</x:v>
      </x:c>
      <x:c r="D1126" s="12" t="n">
        <x:f>D1125*EXP(C1126)</x:f>
        <x:v>191.47770989774028</x:v>
      </x:c>
      <x:c r="E1126" s="16" t="n">
        <x:f>ABS(C1126)</x:f>
        <x:v>0.003539604957647153</x:v>
      </x:c>
      <x:c r="F1126" s="16" t="n">
        <x:f>C1126^2</x:f>
        <x:v>0.000012528803256200303</x:v>
      </x:c>
      <x:c r="G1126" s="1"/>
      <x:c r="H1126" s="1"/>
      <x:c r="I1126" s="1"/>
      <x:c r="J1126" s="1"/>
      <x:c r="K1126" s="1"/>
      <x:c r="L1126" s="1"/>
      <x:c r="M1126" s="1"/>
      <x:c r="N1126" s="1"/>
    </x:row>
    <x:row r="1127" ht="22" customHeight="1">
      <x:c r="A1127" s="1" t="n">
        <x:v>1111</x:v>
      </x:c>
      <x:c r="B1127" s="16" t="n">
        <x:v>0.4191145776478621</x:v>
      </x:c>
      <x:c r="C1127" s="16" t="n">
        <x:f>$B$12+$D$12*B1127</x:f>
        <x:v>0.006033967001119321</x:v>
      </x:c>
      <x:c r="D1127" s="12" t="n">
        <x:f>D1126*EXP(C1127)</x:f>
        <x:v>192.6365728350131</x:v>
      </x:c>
      <x:c r="E1127" s="16" t="n">
        <x:f>ABS(C1127)</x:f>
        <x:v>0.006033967001119321</x:v>
      </x:c>
      <x:c r="F1127" s="16" t="n">
        <x:f>C1127^2</x:f>
        <x:v>0.000036408757770596896</x:v>
      </x:c>
      <x:c r="G1127" s="1"/>
      <x:c r="H1127" s="1"/>
      <x:c r="I1127" s="1"/>
      <x:c r="J1127" s="1"/>
      <x:c r="K1127" s="1"/>
      <x:c r="L1127" s="1"/>
      <x:c r="M1127" s="1"/>
      <x:c r="N1127" s="1"/>
    </x:row>
    <x:row r="1128" ht="22" customHeight="1">
      <x:c r="A1128" s="1" t="n">
        <x:v>1112</x:v>
      </x:c>
      <x:c r="B1128" s="16" t="n">
        <x:v>-1.0786717760261348</x:v>
      </x:c>
      <x:c r="C1128" s="16" t="n">
        <x:f>$B$12+$D$12*B1128</x:f>
        <x:v>-0.013768754161898974</x:v>
      </x:c>
      <x:c r="D1128" s="12" t="n">
        <x:f>D1127*EXP(C1128)</x:f>
        <x:v>190.00238358849174</x:v>
      </x:c>
      <x:c r="E1128" s="16" t="n">
        <x:f>ABS(C1128)</x:f>
        <x:v>0.013768754161898974</x:v>
      </x:c>
      <x:c r="F1128" s="16" t="n">
        <x:f>C1128^2</x:f>
        <x:v>0.00018957859117081034</x:v>
      </x:c>
      <x:c r="G1128" s="1"/>
      <x:c r="H1128" s="1"/>
      <x:c r="I1128" s="1"/>
      <x:c r="J1128" s="1"/>
      <x:c r="K1128" s="1"/>
      <x:c r="L1128" s="1"/>
      <x:c r="M1128" s="1"/>
      <x:c r="N1128" s="1"/>
    </x:row>
    <x:row r="1129" ht="22" customHeight="1">
      <x:c r="A1129" s="1" t="n">
        <x:v>1113</x:v>
      </x:c>
      <x:c r="B1129" s="16" t="n">
        <x:v>0.028657570231078292</x:v>
      </x:c>
      <x:c r="C1129" s="16" t="n">
        <x:f>$B$12+$D$12*B1129</x:f>
        <x:v>0.0008716077467072058</x:v>
      </x:c>
      <x:c r="D1129" s="12" t="n">
        <x:f>D1128*EXP(C1129)</x:f>
        <x:v>190.16806333130506</x:v>
      </x:c>
      <x:c r="E1129" s="16" t="n">
        <x:f>ABS(C1129)</x:f>
        <x:v>0.0008716077467072058</x:v>
      </x:c>
      <x:c r="F1129" s="16" t="n">
        <x:f>C1129^2</x:f>
        <x:v>7.597000641200125e-7</x:v>
      </x:c>
      <x:c r="G1129" s="1"/>
      <x:c r="H1129" s="1"/>
      <x:c r="I1129" s="1"/>
      <x:c r="J1129" s="1"/>
      <x:c r="K1129" s="1"/>
      <x:c r="L1129" s="1"/>
      <x:c r="M1129" s="1"/>
      <x:c r="N1129" s="1"/>
    </x:row>
    <x:row r="1130" ht="22" customHeight="1">
      <x:c r="A1130" s="1" t="n">
        <x:v>1114</x:v>
      </x:c>
      <x:c r="B1130" s="16" t="n">
        <x:v>-1.9019434829739628</x:v>
      </x:c>
      <x:c r="C1130" s="16" t="n">
        <x:f>$B$12+$D$12*B1130</x:f>
        <x:v>-0.024653497512710947</x:v>
      </x:c>
      <x:c r="D1130" s="12" t="n">
        <x:f>D1129*EXP(C1130)</x:f>
        <x:v>185.5370750393661</x:v>
      </x:c>
      <x:c r="E1130" s="16" t="n">
        <x:f>ABS(C1130)</x:f>
        <x:v>0.024653497512710947</x:v>
      </x:c>
      <x:c r="F1130" s="16" t="n">
        <x:f>C1130^2</x:f>
        <x:v>0.0006077949396092448</x:v>
      </x:c>
      <x:c r="G1130" s="1"/>
      <x:c r="H1130" s="1"/>
      <x:c r="I1130" s="1"/>
      <x:c r="J1130" s="1"/>
      <x:c r="K1130" s="1"/>
      <x:c r="L1130" s="1"/>
      <x:c r="M1130" s="1"/>
      <x:c r="N1130" s="1"/>
    </x:row>
    <x:row r="1131" ht="22" customHeight="1">
      <x:c r="A1131" s="1" t="n">
        <x:v>1115</x:v>
      </x:c>
      <x:c r="B1131" s="16" t="n">
        <x:v>-0.9223385364304698</x:v>
      </x:c>
      <x:c r="C1131" s="16" t="n">
        <x:f>$B$12+$D$12*B1131</x:f>
        <x:v>-0.011701821488470364</x:v>
      </x:c>
      <x:c r="D1131" s="12" t="n">
        <x:f>D1130*EXP(C1131)</x:f>
        <x:v>183.3786069422787</x:v>
      </x:c>
      <x:c r="E1131" s="16" t="n">
        <x:f>ABS(C1131)</x:f>
        <x:v>0.011701821488470364</x:v>
      </x:c>
      <x:c r="F1131" s="16" t="n">
        <x:f>C1131^2</x:f>
        <x:v>0.00013693262614802678</x:v>
      </x:c>
      <x:c r="G1131" s="1"/>
      <x:c r="H1131" s="1"/>
      <x:c r="I1131" s="1"/>
      <x:c r="J1131" s="1"/>
      <x:c r="K1131" s="1"/>
      <x:c r="L1131" s="1"/>
      <x:c r="M1131" s="1"/>
      <x:c r="N1131" s="1"/>
    </x:row>
    <x:row r="1132" ht="22" customHeight="1">
      <x:c r="A1132" s="1" t="n">
        <x:v>1116</x:v>
      </x:c>
      <x:c r="B1132" s="16" t="n">
        <x:v>0.3066328786006716</x:v>
      </x:c>
      <x:c r="C1132" s="16" t="n">
        <x:f>$B$12+$D$12*B1132</x:f>
        <x:v>0.004546809826325838</x:v>
      </x:c>
      <x:c r="D1132" s="12" t="n">
        <x:f>D1131*EXP(C1132)</x:f>
        <x:v>184.21429300735693</x:v>
      </x:c>
      <x:c r="E1132" s="16" t="n">
        <x:f>ABS(C1132)</x:f>
        <x:v>0.004546809826325838</x:v>
      </x:c>
      <x:c r="F1132" s="16" t="n">
        <x:f>C1132^2</x:f>
        <x:v>0.000020673479596773198</x:v>
      </x:c>
      <x:c r="G1132" s="1"/>
      <x:c r="H1132" s="1"/>
      <x:c r="I1132" s="1"/>
      <x:c r="J1132" s="1"/>
      <x:c r="K1132" s="1"/>
      <x:c r="L1132" s="1"/>
      <x:c r="M1132" s="1"/>
      <x:c r="N1132" s="1"/>
    </x:row>
    <x:row r="1133" ht="22" customHeight="1">
      <x:c r="A1133" s="1" t="n">
        <x:v>1117</x:v>
      </x:c>
      <x:c r="B1133" s="16" t="n">
        <x:v>0.06399085299169018</x:v>
      </x:c>
      <x:c r="C1133" s="16" t="n">
        <x:f>$B$12+$D$12*B1133</x:f>
        <x:v>0.0013387605850049779</x:v>
      </x:c>
      <x:c r="D1133" s="12" t="n">
        <x:f>D1132*EXP(C1133)</x:f>
        <x:v>184.46107699751042</x:v>
      </x:c>
      <x:c r="E1133" s="16" t="n">
        <x:f>ABS(C1133)</x:f>
        <x:v>0.0013387605850049779</x:v>
      </x:c>
      <x:c r="F1133" s="16" t="n">
        <x:f>C1133^2</x:f>
        <x:v>0.0000017922799039628707</x:v>
      </x:c>
      <x:c r="G1133" s="1"/>
      <x:c r="H1133" s="1"/>
      <x:c r="I1133" s="1"/>
      <x:c r="J1133" s="1"/>
      <x:c r="K1133" s="1"/>
      <x:c r="L1133" s="1"/>
      <x:c r="M1133" s="1"/>
      <x:c r="N1133" s="1"/>
    </x:row>
    <x:row r="1134" ht="22" customHeight="1">
      <x:c r="A1134" s="1" t="n">
        <x:v>1118</x:v>
      </x:c>
      <x:c r="B1134" s="16" t="n">
        <x:v>-0.4891354220076042</x:v>
      </x:c>
      <x:c r="C1134" s="16" t="n">
        <x:f>$B$12+$D$12*B1134</x:f>
        <x:v>-0.00597430203229143</x:v>
      </x:c>
      <x:c r="D1134" s="12" t="n">
        <x:f>D1133*EXP(C1134)</x:f>
        <x:v>183.3623361831113</x:v>
      </x:c>
      <x:c r="E1134" s="16" t="n">
        <x:f>ABS(C1134)</x:f>
        <x:v>0.00597430203229143</x:v>
      </x:c>
      <x:c r="F1134" s="16" t="n">
        <x:f>C1134^2</x:f>
        <x:v>0.00003569228477304151</x:v>
      </x:c>
      <x:c r="G1134" s="1"/>
      <x:c r="H1134" s="1"/>
      <x:c r="I1134" s="1"/>
      <x:c r="J1134" s="1"/>
      <x:c r="K1134" s="1"/>
      <x:c r="L1134" s="1"/>
      <x:c r="M1134" s="1"/>
      <x:c r="N1134" s="1"/>
    </x:row>
    <x:row r="1135" ht="22" customHeight="1">
      <x:c r="A1135" s="1" t="n">
        <x:v>1119</x:v>
      </x:c>
      <x:c r="B1135" s="16" t="n">
        <x:v>1.660036089690114</x:v>
      </x:c>
      <x:c r="C1135" s="16" t="n">
        <x:f>$B$12+$D$12*B1135</x:f>
        <x:v>0.022440594440263674</x:v>
      </x:c>
      <x:c r="D1135" s="12" t="n">
        <x:f>D1134*EXP(C1135)</x:f>
        <x:v>187.5236121313943</x:v>
      </x:c>
      <x:c r="E1135" s="16" t="n">
        <x:f>ABS(C1135)</x:f>
        <x:v>0.022440594440263674</x:v>
      </x:c>
      <x:c r="F1135" s="16" t="n">
        <x:f>C1135^2</x:f>
        <x:v>0.0005035802788323929</x:v>
      </x:c>
      <x:c r="G1135" s="1"/>
      <x:c r="H1135" s="1"/>
      <x:c r="I1135" s="1"/>
      <x:c r="J1135" s="1"/>
      <x:c r="K1135" s="1"/>
      <x:c r="L1135" s="1"/>
      <x:c r="M1135" s="1"/>
      <x:c r="N1135" s="1"/>
    </x:row>
    <x:row r="1136" ht="22" customHeight="1">
      <x:c r="A1136" s="1" t="n">
        <x:v>1120</x:v>
      </x:c>
      <x:c r="B1136" s="16" t="n">
        <x:v>-0.6694168792570113</x:v>
      </x:c>
      <x:c r="C1136" s="16" t="n">
        <x:f>$B$12+$D$12*B1136</x:f>
        <x:v>-0.008357861890488443</x:v>
      </x:c>
      <x:c r="D1136" s="12" t="n">
        <x:f>D1135*EXP(C1136)</x:f>
        <x:v>185.9628470947485</x:v>
      </x:c>
      <x:c r="E1136" s="16" t="n">
        <x:f>ABS(C1136)</x:f>
        <x:v>0.008357861890488443</x:v>
      </x:c>
      <x:c r="F1136" s="16" t="n">
        <x:f>C1136^2</x:f>
        <x:v>0.00006985385538047905</x:v>
      </x:c>
      <x:c r="G1136" s="1"/>
      <x:c r="H1136" s="1"/>
      <x:c r="I1136" s="1"/>
      <x:c r="J1136" s="1"/>
      <x:c r="K1136" s="1"/>
      <x:c r="L1136" s="1"/>
      <x:c r="M1136" s="1"/>
      <x:c r="N1136" s="1"/>
    </x:row>
    <x:row r="1137" ht="22" customHeight="1">
      <x:c r="A1137" s="1" t="n">
        <x:v>1121</x:v>
      </x:c>
      <x:c r="B1137" s="16" t="n">
        <x:v>1.0443368388016723</x:v>
      </x:c>
      <x:c r="C1137" s="16" t="n">
        <x:f>$B$12+$D$12*B1137</x:f>
        <x:v>0.014300234130720594</x:v>
      </x:c>
      <x:c r="D1137" s="12" t="n">
        <x:f>D1136*EXP(C1137)</x:f>
        <x:v>188.64126470346392</x:v>
      </x:c>
      <x:c r="E1137" s="16" t="n">
        <x:f>ABS(C1137)</x:f>
        <x:v>0.014300234130720594</x:v>
      </x:c>
      <x:c r="F1137" s="16" t="n">
        <x:f>C1137^2</x:f>
        <x:v>0.00020449669619342618</x:v>
      </x:c>
      <x:c r="G1137" s="1"/>
      <x:c r="H1137" s="1"/>
      <x:c r="I1137" s="1"/>
      <x:c r="J1137" s="1"/>
      <x:c r="K1137" s="1"/>
      <x:c r="L1137" s="1"/>
      <x:c r="M1137" s="1"/>
      <x:c r="N1137" s="1"/>
    </x:row>
    <x:row r="1138" ht="22" customHeight="1">
      <x:c r="A1138" s="1" t="n">
        <x:v>1122</x:v>
      </x:c>
      <x:c r="B1138" s="16" t="n">
        <x:v>-0.506164455798141</x:v>
      </x:c>
      <x:c r="C1138" s="16" t="n">
        <x:f>$B$12+$D$12*B1138</x:f>
        <x:v>-0.006199448433847586</x:v>
      </x:c>
      <x:c r="D1138" s="12" t="n">
        <x:f>D1137*EXP(C1138)</x:f>
        <x:v>187.4754104709897</x:v>
      </x:c>
      <x:c r="E1138" s="16" t="n">
        <x:f>ABS(C1138)</x:f>
        <x:v>0.006199448433847586</x:v>
      </x:c>
      <x:c r="F1138" s="16" t="n">
        <x:f>C1138^2</x:f>
        <x:v>0.000038433160883935287</x:v>
      </x:c>
      <x:c r="G1138" s="1"/>
      <x:c r="H1138" s="1"/>
      <x:c r="I1138" s="1"/>
      <x:c r="J1138" s="1"/>
      <x:c r="K1138" s="1"/>
      <x:c r="L1138" s="1"/>
      <x:c r="M1138" s="1"/>
      <x:c r="N1138" s="1"/>
    </x:row>
    <x:row r="1139" ht="22" customHeight="1">
      <x:c r="A1139" s="1" t="n">
        <x:v>1123</x:v>
      </x:c>
      <x:c r="B1139" s="16" t="n">
        <x:v>-0.8624094750338289</x:v>
      </x:c>
      <x:c r="C1139" s="16" t="n">
        <x:f>$B$12+$D$12*B1139</x:f>
        <x:v>-0.01090947985076748</x:v>
      </x:c>
      <x:c r="D1139" s="12" t="n">
        <x:f>D1138*EXP(C1139)</x:f>
        <x:v>185.44126715542006</x:v>
      </x:c>
      <x:c r="E1139" s="16" t="n">
        <x:f>ABS(C1139)</x:f>
        <x:v>0.01090947985076748</x:v>
      </x:c>
      <x:c r="F1139" s="16" t="n">
        <x:f>C1139^2</x:f>
        <x:v>0.00011901675061430164</x:v>
      </x:c>
      <x:c r="G1139" s="1"/>
      <x:c r="H1139" s="1"/>
      <x:c r="I1139" s="1"/>
      <x:c r="J1139" s="1"/>
      <x:c r="K1139" s="1"/>
      <x:c r="L1139" s="1"/>
      <x:c r="M1139" s="1"/>
      <x:c r="N1139" s="1"/>
    </x:row>
    <x:row r="1140" ht="22" customHeight="1">
      <x:c r="A1140" s="1" t="n">
        <x:v>1124</x:v>
      </x:c>
      <x:c r="B1140" s="16" t="n">
        <x:v>-1.412591989354932</x:v>
      </x:c>
      <x:c r="C1140" s="16" t="n">
        <x:f>$B$12+$D$12*B1140</x:f>
        <x:v>-0.01818362204944885</x:v>
      </x:c>
      <x:c r="D1140" s="12" t="n">
        <x:f>D1139*EXP(C1140)</x:f>
        <x:v>182.0997457925506</x:v>
      </x:c>
      <x:c r="E1140" s="16" t="n">
        <x:f>ABS(C1140)</x:f>
        <x:v>0.01818362204944885</x:v>
      </x:c>
      <x:c r="F1140" s="16" t="n">
        <x:f>C1140^2</x:f>
        <x:v>0.0003306441108372024</x:v>
      </x:c>
      <x:c r="G1140" s="1"/>
      <x:c r="H1140" s="1"/>
      <x:c r="I1140" s="1"/>
      <x:c r="J1140" s="1"/>
      <x:c r="K1140" s="1"/>
      <x:c r="L1140" s="1"/>
      <x:c r="M1140" s="1"/>
      <x:c r="N1140" s="1"/>
    </x:row>
    <x:row r="1141" ht="22" customHeight="1">
      <x:c r="A1141" s="1" t="n">
        <x:v>1125</x:v>
      </x:c>
      <x:c r="B1141" s="16" t="n">
        <x:v>0.3615022457061281</x:v>
      </x:c>
      <x:c r="C1141" s="16" t="n">
        <x:f>$B$12+$D$12*B1141</x:f>
        <x:v>0.005272255598024424</x:v>
      </x:c>
      <x:c r="D1141" s="12" t="n">
        <x:f>D1140*EXP(C1141)</x:f>
        <x:v>183.06235753449369</x:v>
      </x:c>
      <x:c r="E1141" s="16" t="n">
        <x:f>ABS(C1141)</x:f>
        <x:v>0.005272255598024424</x:v>
      </x:c>
      <x:c r="F1141" s="16" t="n">
        <x:f>C1141^2</x:f>
        <x:v>0.00002779667909089988</x:v>
      </x:c>
      <x:c r="G1141" s="1"/>
      <x:c r="H1141" s="1"/>
      <x:c r="I1141" s="1"/>
      <x:c r="J1141" s="1"/>
      <x:c r="K1141" s="1"/>
      <x:c r="L1141" s="1"/>
      <x:c r="M1141" s="1"/>
      <x:c r="N1141" s="1"/>
    </x:row>
    <x:row r="1142" ht="22" customHeight="1">
      <x:c r="A1142" s="1" t="n">
        <x:v>1126</x:v>
      </x:c>
      <x:c r="B1142" s="16" t="n">
        <x:v>0.8589450017923987</x:v>
      </x:c>
      <x:c r="C1142" s="16" t="n">
        <x:f>$B$12+$D$12*B1142</x:f>
        <x:v>0.011849108277431204</x:v>
      </x:c>
      <x:c r="D1142" s="12" t="n">
        <x:f>D1141*EXP(C1142)</x:f>
        <x:v>185.24438524181292</x:v>
      </x:c>
      <x:c r="E1142" s="16" t="n">
        <x:f>ABS(C1142)</x:f>
        <x:v>0.011849108277431204</x:v>
      </x:c>
      <x:c r="F1142" s="16" t="n">
        <x:f>C1142^2</x:f>
        <x:v>0.00014040136697028867</x:v>
      </x:c>
      <x:c r="G1142" s="1"/>
      <x:c r="H1142" s="1"/>
      <x:c r="I1142" s="1"/>
      <x:c r="J1142" s="1"/>
      <x:c r="K1142" s="1"/>
      <x:c r="L1142" s="1"/>
      <x:c r="M1142" s="1"/>
      <x:c r="N1142" s="1"/>
    </x:row>
    <x:row r="1143" ht="22" customHeight="1">
      <x:c r="A1143" s="1" t="n">
        <x:v>1127</x:v>
      </x:c>
      <x:c r="B1143" s="16" t="n">
        <x:v>-0.30963308062697037</x:v>
      </x:c>
      <x:c r="C1143" s="16" t="n">
        <x:f>$B$12+$D$12*B1143</x:f>
        <x:v>-0.0036010431187285807</x:v>
      </x:c>
      <x:c r="D1143" s="12" t="n">
        <x:f>D1142*EXP(C1143)</x:f>
        <x:v>184.57851186199088</x:v>
      </x:c>
      <x:c r="E1143" s="16" t="n">
        <x:f>ABS(C1143)</x:f>
        <x:v>0.0036010431187285807</x:v>
      </x:c>
      <x:c r="F1143" s="16" t="n">
        <x:f>C1143^2</x:f>
        <x:v>0.000012967511542942464</x:v>
      </x:c>
      <x:c r="G1143" s="1"/>
      <x:c r="H1143" s="1"/>
      <x:c r="I1143" s="1"/>
      <x:c r="J1143" s="1"/>
      <x:c r="K1143" s="1"/>
      <x:c r="L1143" s="1"/>
      <x:c r="M1143" s="1"/>
      <x:c r="N1143" s="1"/>
    </x:row>
    <x:row r="1144" ht="22" customHeight="1">
      <x:c r="A1144" s="1" t="n">
        <x:v>1128</x:v>
      </x:c>
      <x:c r="B1144" s="16" t="n">
        <x:v>1.4813891774445909</x:v>
      </x:c>
      <x:c r="C1144" s="16" t="n">
        <x:f>$B$12+$D$12*B1144</x:f>
        <x:v>0.02007864543388202</x:v>
      </x:c>
      <x:c r="D1144" s="12" t="n">
        <x:f>D1143*EXP(C1144)</x:f>
        <x:v>188.32205522911008</x:v>
      </x:c>
      <x:c r="E1144" s="16" t="n">
        <x:f>ABS(C1144)</x:f>
        <x:v>0.02007864543388202</x:v>
      </x:c>
      <x:c r="F1144" s="16" t="n">
        <x:f>C1144^2</x:f>
        <x:v>0.00040315200245955127</x:v>
      </x:c>
      <x:c r="G1144" s="1"/>
      <x:c r="H1144" s="1"/>
      <x:c r="I1144" s="1"/>
      <x:c r="J1144" s="1"/>
      <x:c r="K1144" s="1"/>
      <x:c r="L1144" s="1"/>
      <x:c r="M1144" s="1"/>
      <x:c r="N1144" s="1"/>
    </x:row>
    <x:row r="1145" ht="22" customHeight="1">
      <x:c r="A1145" s="1" t="n">
        <x:v>1129</x:v>
      </x:c>
      <x:c r="B1145" s="16" t="n">
        <x:v>2.5698654569523818</x:v>
      </x:c>
      <x:c r="C1145" s="16" t="n">
        <x:f>$B$12+$D$12*B1145</x:f>
        <x:v>0.034469744807153445</x:v>
      </x:c>
      <x:c r="D1145" s="12" t="n">
        <x:f>D1144*EXP(C1145)</x:f>
        <x:v>194.92664372319715</x:v>
      </x:c>
      <x:c r="E1145" s="16" t="n">
        <x:f>ABS(C1145)</x:f>
        <x:v>0.034469744807153445</x:v>
      </x:c>
      <x:c r="F1145" s="16" t="n">
        <x:f>C1145^2</x:f>
        <x:v>0.0011881633070702819</x:v>
      </x:c>
      <x:c r="G1145" s="1"/>
      <x:c r="H1145" s="1"/>
      <x:c r="I1145" s="1"/>
      <x:c r="J1145" s="1"/>
      <x:c r="K1145" s="1"/>
      <x:c r="L1145" s="1"/>
      <x:c r="M1145" s="1"/>
      <x:c r="N1145" s="1"/>
    </x:row>
    <x:row r="1146" ht="22" customHeight="1">
      <x:c r="A1146" s="1" t="n">
        <x:v>1130</x:v>
      </x:c>
      <x:c r="B1146" s="16" t="n">
        <x:v>-0.13449750917137507</x:v>
      </x:c>
      <x:c r="C1146" s="16" t="n">
        <x:f>$B$12+$D$12*B1146</x:f>
        <x:v>-0.001285518692461917</x:v>
      </x:c>
      <x:c r="D1146" s="12" t="n">
        <x:f>D1145*EXP(C1146)</x:f>
        <x:v>194.67622287385976</x:v>
      </x:c>
      <x:c r="E1146" s="16" t="n">
        <x:f>ABS(C1146)</x:f>
        <x:v>0.001285518692461917</x:v>
      </x:c>
      <x:c r="F1146" s="16" t="n">
        <x:f>C1146^2</x:f>
        <x:v>0.0000016525583086689968</x:v>
      </x:c>
      <x:c r="G1146" s="1"/>
      <x:c r="H1146" s="1"/>
      <x:c r="I1146" s="1"/>
      <x:c r="J1146" s="1"/>
      <x:c r="K1146" s="1"/>
      <x:c r="L1146" s="1"/>
      <x:c r="M1146" s="1"/>
      <x:c r="N1146" s="1"/>
    </x:row>
    <x:row r="1147" ht="22" customHeight="1">
      <x:c r="A1147" s="1" t="n">
        <x:v>1131</x:v>
      </x:c>
      <x:c r="B1147" s="16" t="n">
        <x:v>-1.5567899227222346</x:v>
      </x:c>
      <x:c r="C1147" s="16" t="n">
        <x:f>$B$12+$D$12*B1147</x:f>
        <x:v>-0.02009010988715131</x:v>
      </x:c>
      <x:c r="D1147" s="12" t="n">
        <x:f>D1146*EXP(C1147)</x:f>
        <x:v>190.80418126741716</x:v>
      </x:c>
      <x:c r="E1147" s="16" t="n">
        <x:f>ABS(C1147)</x:f>
        <x:v>0.02009010988715131</x:v>
      </x:c>
      <x:c r="F1147" s="16" t="n">
        <x:f>C1147^2</x:f>
        <x:v>0.0004036125152778148</x:v>
      </x:c>
      <x:c r="G1147" s="1"/>
      <x:c r="H1147" s="1"/>
      <x:c r="I1147" s="1"/>
      <x:c r="J1147" s="1"/>
      <x:c r="K1147" s="1"/>
      <x:c r="L1147" s="1"/>
      <x:c r="M1147" s="1"/>
      <x:c r="N1147" s="1"/>
    </x:row>
    <x:row r="1148" ht="22" customHeight="1">
      <x:c r="A1148" s="1" t="n">
        <x:v>1132</x:v>
      </x:c>
      <x:c r="B1148" s="16" t="n">
        <x:v>-0.24903995382695948</x:v>
      </x:c>
      <x:c r="C1148" s="16" t="n">
        <x:f>$B$12+$D$12*B1148</x:f>
        <x:v>-0.002799921656062888</x:v>
      </x:c>
      <x:c r="D1148" s="12" t="n">
        <x:f>D1147*EXP(C1148)</x:f>
        <x:v>190.27069172121298</x:v>
      </x:c>
      <x:c r="E1148" s="16" t="n">
        <x:f>ABS(C1148)</x:f>
        <x:v>0.002799921656062888</x:v>
      </x:c>
      <x:c r="F1148" s="16" t="n">
        <x:f>C1148^2</x:f>
        <x:v>0.000007839561280089945</x:v>
      </x:c>
      <x:c r="G1148" s="1"/>
      <x:c r="H1148" s="1"/>
      <x:c r="I1148" s="1"/>
      <x:c r="J1148" s="1"/>
      <x:c r="K1148" s="1"/>
      <x:c r="L1148" s="1"/>
      <x:c r="M1148" s="1"/>
      <x:c r="N1148" s="1"/>
    </x:row>
    <x:row r="1149" ht="22" customHeight="1">
      <x:c r="A1149" s="1" t="n">
        <x:v>1133</x:v>
      </x:c>
      <x:c r="B1149" s="16" t="n">
        <x:v>0.8790625153365182</x:v>
      </x:c>
      <x:c r="C1149" s="16" t="n">
        <x:f>$B$12+$D$12*B1149</x:f>
        <x:v>0.012115088475628519</x:v>
      </x:c>
      <x:c r="D1149" s="12" t="n">
        <x:f>D1148*EXP(C1149)</x:f>
        <x:v>192.58985807219514</x:v>
      </x:c>
      <x:c r="E1149" s="16" t="n">
        <x:f>ABS(C1149)</x:f>
        <x:v>0.012115088475628519</x:v>
      </x:c>
      <x:c r="F1149" s="16" t="n">
        <x:f>C1149^2</x:f>
        <x:v>0.00014677536877230694</x:v>
      </x:c>
      <x:c r="G1149" s="1"/>
      <x:c r="H1149" s="1"/>
      <x:c r="I1149" s="1"/>
      <x:c r="J1149" s="1"/>
      <x:c r="K1149" s="1"/>
      <x:c r="L1149" s="1"/>
      <x:c r="M1149" s="1"/>
      <x:c r="N1149" s="1"/>
    </x:row>
    <x:row r="1150" ht="22" customHeight="1">
      <x:c r="A1150" s="1" t="n">
        <x:v>1134</x:v>
      </x:c>
      <x:c r="B1150" s="16" t="n">
        <x:v>-0.4523896131268899</x:v>
      </x:c>
      <x:c r="C1150" s="16" t="n">
        <x:f>$B$12+$D$12*B1150</x:f>
        <x:v>-0.00548847372614522</x:v>
      </x:c>
      <x:c r="D1150" s="12" t="n">
        <x:f>D1149*EXP(C1150)</x:f>
        <x:v>191.5357291219237</x:v>
      </x:c>
      <x:c r="E1150" s="16" t="n">
        <x:f>ABS(C1150)</x:f>
        <x:v>0.00548847372614522</x:v>
      </x:c>
      <x:c r="F1150" s="16" t="n">
        <x:f>C1150^2</x:f>
        <x:v>0.000030123343842586398</x:v>
      </x:c>
      <x:c r="G1150" s="1"/>
      <x:c r="H1150" s="1"/>
      <x:c r="I1150" s="1"/>
      <x:c r="J1150" s="1"/>
      <x:c r="K1150" s="1"/>
      <x:c r="L1150" s="1"/>
      <x:c r="M1150" s="1"/>
      <x:c r="N1150" s="1"/>
    </x:row>
    <x:row r="1151" ht="22" customHeight="1">
      <x:c r="A1151" s="1" t="n">
        <x:v>1135</x:v>
      </x:c>
      <x:c r="B1151" s="16" t="n">
        <x:v>-0.12095543521931865</x:v>
      </x:c>
      <x:c r="C1151" s="16" t="n">
        <x:f>$B$12+$D$12*B1151</x:f>
        <x:v>-0.0011064745225215656</x:v>
      </x:c>
      <x:c r="D1151" s="12" t="n">
        <x:f>D1150*EXP(C1151)</x:f>
        <x:v>191.32391692150927</x:v>
      </x:c>
      <x:c r="E1151" s="16" t="n">
        <x:f>ABS(C1151)</x:f>
        <x:v>0.0011064745225215656</x:v>
      </x:c>
      <x:c r="F1151" s="16" t="n">
        <x:f>C1151^2</x:f>
        <x:v>0.0000012242858689893265</x:v>
      </x:c>
      <x:c r="G1151" s="1"/>
      <x:c r="H1151" s="1"/>
      <x:c r="I1151" s="1"/>
      <x:c r="J1151" s="1"/>
      <x:c r="K1151" s="1"/>
      <x:c r="L1151" s="1"/>
      <x:c r="M1151" s="1"/>
      <x:c r="N1151" s="1"/>
    </x:row>
    <x:row r="1152" ht="22" customHeight="1">
      <x:c r="A1152" s="1" t="n">
        <x:v>1136</x:v>
      </x:c>
      <x:c r="B1152" s="16" t="n">
        <x:v>-0.20875086620071884</x:v>
      </x:c>
      <x:c r="C1152" s="16" t="n">
        <x:f>$B$12+$D$12*B1152</x:f>
        <x:v>-0.002267246507689552</x:v>
      </x:c>
      <x:c r="D1152" s="12" t="n">
        <x:f>D1151*EXP(C1152)</x:f>
        <x:v>190.89062980898382</x:v>
      </x:c>
      <x:c r="E1152" s="16" t="n">
        <x:f>ABS(C1152)</x:f>
        <x:v>0.002267246507689552</x:v>
      </x:c>
      <x:c r="F1152" s="16" t="n">
        <x:f>C1152^2</x:f>
        <x:v>0.0000051404067266304695</x:v>
      </x:c>
      <x:c r="G1152" s="1"/>
      <x:c r="H1152" s="1"/>
      <x:c r="I1152" s="1"/>
      <x:c r="J1152" s="1"/>
      <x:c r="K1152" s="1"/>
      <x:c r="L1152" s="1"/>
      <x:c r="M1152" s="1"/>
      <x:c r="N1152" s="1"/>
    </x:row>
    <x:row r="1153" ht="22" customHeight="1">
      <x:c r="A1153" s="1" t="n">
        <x:v>1137</x:v>
      </x:c>
      <x:c r="B1153" s="16" t="n">
        <x:v>0.1209183018187949</x:v>
      </x:c>
      <x:c r="C1153" s="16" t="n">
        <x:f>$B$12+$D$12*B1153</x:f>
        <x:v>0.002091416925396844</x:v>
      </x:c>
      <x:c r="D1153" s="12" t="n">
        <x:f>D1152*EXP(C1153)</x:f>
        <x:v>191.29027947443015</x:v>
      </x:c>
      <x:c r="E1153" s="16" t="n">
        <x:f>ABS(C1153)</x:f>
        <x:v>0.002091416925396844</x:v>
      </x:c>
      <x:c r="F1153" s="16" t="n">
        <x:f>C1153^2</x:f>
        <x:v>0.0000043740247558363875</x:v>
      </x:c>
      <x:c r="G1153" s="1"/>
      <x:c r="H1153" s="1"/>
      <x:c r="I1153" s="1"/>
      <x:c r="J1153" s="1"/>
      <x:c r="K1153" s="1"/>
      <x:c r="L1153" s="1"/>
      <x:c r="M1153" s="1"/>
      <x:c r="N1153" s="1"/>
    </x:row>
    <x:row r="1154" ht="22" customHeight="1">
      <x:c r="A1154" s="1" t="n">
        <x:v>1138</x:v>
      </x:c>
      <x:c r="B1154" s="16" t="n">
        <x:v>0.051776025314123966</x:v>
      </x:c>
      <x:c r="C1154" s="16" t="n">
        <x:f>$B$12+$D$12*B1154</x:f>
        <x:v>0.0011772643703013086</x:v>
      </x:c>
      <x:c r="D1154" s="12" t="n">
        <x:f>D1153*EXP(C1154)</x:f>
        <x:v>191.51561131638996</x:v>
      </x:c>
      <x:c r="E1154" s="16" t="n">
        <x:f>ABS(C1154)</x:f>
        <x:v>0.0011772643703013086</x:v>
      </x:c>
      <x:c r="F1154" s="16" t="n">
        <x:f>C1154^2</x:f>
        <x:v>0.0000013859513975809366</x:v>
      </x:c>
      <x:c r="G1154" s="1"/>
      <x:c r="H1154" s="1"/>
      <x:c r="I1154" s="1"/>
      <x:c r="J1154" s="1"/>
      <x:c r="K1154" s="1"/>
      <x:c r="L1154" s="1"/>
      <x:c r="M1154" s="1"/>
      <x:c r="N1154" s="1"/>
    </x:row>
    <x:row r="1155" ht="22" customHeight="1">
      <x:c r="A1155" s="1" t="n">
        <x:v>1139</x:v>
      </x:c>
      <x:c r="B1155" s="16" t="n">
        <x:v>0.06122197068988741</x:v>
      </x:c>
      <x:c r="C1155" s="16" t="n">
        <x:f>$B$12+$D$12*B1155</x:f>
        <x:v>0.0013021522903564672</x:v>
      </x:c>
      <x:c r="D1155" s="12" t="n">
        <x:f>D1154*EXP(C1155)</x:f>
        <x:v>191.76515624579457</x:v>
      </x:c>
      <x:c r="E1155" s="16" t="n">
        <x:f>ABS(C1155)</x:f>
        <x:v>0.0013021522903564672</x:v>
      </x:c>
      <x:c r="F1155" s="16" t="n">
        <x:f>C1155^2</x:f>
        <x:v>0.0000016956005872805932</x:v>
      </x:c>
      <x:c r="G1155" s="1"/>
      <x:c r="H1155" s="1"/>
      <x:c r="I1155" s="1"/>
      <x:c r="J1155" s="1"/>
      <x:c r="K1155" s="1"/>
      <x:c r="L1155" s="1"/>
      <x:c r="M1155" s="1"/>
      <x:c r="N1155" s="1"/>
    </x:row>
    <x:row r="1156" ht="22" customHeight="1">
      <x:c r="A1156" s="1" t="n">
        <x:v>1140</x:v>
      </x:c>
      <x:c r="B1156" s="16" t="n">
        <x:v>1.3366250779816973</x:v>
      </x:c>
      <x:c r="C1156" s="16" t="n">
        <x:f>$B$12+$D$12*B1156</x:f>
        <x:v>0.018164672129847573</x:v>
      </x:c>
      <x:c r="D1156" s="12" t="n">
        <x:f>D1155*EXP(C1156)</x:f>
        <x:v>195.28033683250126</x:v>
      </x:c>
      <x:c r="E1156" s="16" t="n">
        <x:f>ABS(C1156)</x:f>
        <x:v>0.018164672129847573</x:v>
      </x:c>
      <x:c r="F1156" s="16" t="n">
        <x:f>C1156^2</x:f>
        <x:v>0.0003299553135848612</x:v>
      </x:c>
      <x:c r="G1156" s="1"/>
      <x:c r="H1156" s="1"/>
      <x:c r="I1156" s="1"/>
      <x:c r="J1156" s="1"/>
      <x:c r="K1156" s="1"/>
      <x:c r="L1156" s="1"/>
      <x:c r="M1156" s="1"/>
      <x:c r="N1156" s="1"/>
    </x:row>
    <x:row r="1157" ht="22" customHeight="1">
      <x:c r="A1157" s="1" t="n">
        <x:v>1141</x:v>
      </x:c>
      <x:c r="B1157" s="16" t="n">
        <x:v>0.35457398398423656</x:v>
      </x:c>
      <x:c r="C1157" s="16" t="n">
        <x:f>$B$12+$D$12*B1157</x:f>
        <x:v>0.0051806547934861195</x:v>
      </x:c>
      <x:c r="D1157" s="12" t="n">
        <x:f>D1156*EXP(C1157)</x:f>
        <x:v>196.2946419593524</x:v>
      </x:c>
      <x:c r="E1157" s="16" t="n">
        <x:f>ABS(C1157)</x:f>
        <x:v>0.0051806547934861195</x:v>
      </x:c>
      <x:c r="F1157" s="16" t="n">
        <x:f>C1157^2</x:f>
        <x:v>0.000026839184089270708</x:v>
      </x:c>
      <x:c r="G1157" s="1"/>
      <x:c r="H1157" s="1"/>
      <x:c r="I1157" s="1"/>
      <x:c r="J1157" s="1"/>
      <x:c r="K1157" s="1"/>
      <x:c r="L1157" s="1"/>
      <x:c r="M1157" s="1"/>
      <x:c r="N1157" s="1"/>
    </x:row>
    <x:row r="1158" ht="22" customHeight="1">
      <x:c r="A1158" s="1" t="n">
        <x:v>1142</x:v>
      </x:c>
      <x:c r="B1158" s="16" t="n">
        <x:v>0.06339788139495388</x:v>
      </x:c>
      <x:c r="C1158" s="16" t="n">
        <x:f>$B$12+$D$12*B1158</x:f>
        <x:v>0.00133092071441265</x:v>
      </x:c>
      <x:c r="D1158" s="12" t="n">
        <x:f>D1157*EXP(C1158)</x:f>
        <x:v>196.5560684948702</x:v>
      </x:c>
      <x:c r="E1158" s="16" t="n">
        <x:f>ABS(C1158)</x:f>
        <x:v>0.00133092071441265</x:v>
      </x:c>
      <x:c r="F1158" s="16" t="n">
        <x:f>C1158^2</x:f>
        <x:v>0.000001771349948052679</x:v>
      </x:c>
      <x:c r="G1158" s="1"/>
      <x:c r="H1158" s="1"/>
      <x:c r="I1158" s="1"/>
      <x:c r="J1158" s="1"/>
      <x:c r="K1158" s="1"/>
      <x:c r="L1158" s="1"/>
      <x:c r="M1158" s="1"/>
      <x:c r="N1158" s="1"/>
    </x:row>
    <x:row r="1159" ht="22" customHeight="1">
      <x:c r="A1159" s="1" t="n">
        <x:v>1143</x:v>
      </x:c>
      <x:c r="B1159" s="16" t="n">
        <x:v>-0.16707442037379852</x:v>
      </x:c>
      <x:c r="C1159" s="16" t="n">
        <x:f>$B$12+$D$12*B1159</x:f>
        <x:v>-0.0017162286447268524</x:v>
      </x:c>
      <x:c r="D1159" s="12" t="n">
        <x:f>D1158*EXP(C1159)</x:f>
        <x:v>196.2190226464233</x:v>
      </x:c>
      <x:c r="E1159" s="16" t="n">
        <x:f>ABS(C1159)</x:f>
        <x:v>0.0017162286447268524</x:v>
      </x:c>
      <x:c r="F1159" s="16" t="n">
        <x:f>C1159^2</x:f>
        <x:v>0.0000029454407609809686</x:v>
      </x:c>
      <x:c r="G1159" s="1"/>
      <x:c r="H1159" s="1"/>
      <x:c r="I1159" s="1"/>
      <x:c r="J1159" s="1"/>
      <x:c r="K1159" s="1"/>
      <x:c r="L1159" s="1"/>
      <x:c r="M1159" s="1"/>
      <x:c r="N1159" s="1"/>
    </x:row>
    <x:row r="1160" ht="22" customHeight="1">
      <x:c r="A1160" s="1" t="n">
        <x:v>1144</x:v>
      </x:c>
      <x:c r="B1160" s="16" t="n">
        <x:v>-0.37980988800514287</x:v>
      </x:c>
      <x:c r="C1160" s="16" t="n">
        <x:f>$B$12+$D$12*B1160</x:f>
        <x:v>-0.004528873543416286</x:v>
      </x:c>
      <x:c r="D1160" s="12" t="n">
        <x:f>D1159*EXP(C1160)</x:f>
        <x:v>195.33238076599193</x:v>
      </x:c>
      <x:c r="E1160" s="16" t="n">
        <x:f>ABS(C1160)</x:f>
        <x:v>0.004528873543416286</x:v>
      </x:c>
      <x:c r="F1160" s="16" t="n">
        <x:f>C1160^2</x:f>
        <x:v>0.000020510695572255987</x:v>
      </x:c>
      <x:c r="G1160" s="1"/>
      <x:c r="H1160" s="1"/>
      <x:c r="I1160" s="1"/>
      <x:c r="J1160" s="1"/>
      <x:c r="K1160" s="1"/>
      <x:c r="L1160" s="1"/>
      <x:c r="M1160" s="1"/>
      <x:c r="N1160" s="1"/>
    </x:row>
    <x:row r="1161" ht="22" customHeight="1">
      <x:c r="A1161" s="1" t="n">
        <x:v>1145</x:v>
      </x:c>
      <x:c r="B1161" s="16" t="n">
        <x:v>-1.2884563870581074</x:v>
      </x:c>
      <x:c r="C1161" s="16" t="n">
        <x:f>$B$12+$D$12*B1161</x:f>
        <x:v>-0.01654238482448853</x:v>
      </x:c>
      <x:c r="D1161" s="12" t="n">
        <x:f>D1160*EXP(C1161)</x:f>
        <x:v>192.12769699074482</x:v>
      </x:c>
      <x:c r="E1161" s="16" t="n">
        <x:f>ABS(C1161)</x:f>
        <x:v>0.01654238482448853</x:v>
      </x:c>
      <x:c r="F1161" s="16" t="n">
        <x:f>C1161^2</x:f>
        <x:v>0.00027365049568146843</x:v>
      </x:c>
      <x:c r="G1161" s="1"/>
      <x:c r="H1161" s="1"/>
      <x:c r="I1161" s="1"/>
      <x:c r="J1161" s="1"/>
      <x:c r="K1161" s="1"/>
      <x:c r="L1161" s="1"/>
      <x:c r="M1161" s="1"/>
      <x:c r="N1161" s="1"/>
    </x:row>
    <x:row r="1162" ht="22" customHeight="1">
      <x:c r="A1162" s="1" t="n">
        <x:v>1146</x:v>
      </x:c>
      <x:c r="B1162" s="16" t="n">
        <x:v>-1.5677005056916165</x:v>
      </x:c>
      <x:c r="C1162" s="16" t="n">
        <x:f>$B$12+$D$12*B1162</x:f>
        <x:v>-0.0202343622578173</x:v>
      </x:c>
      <x:c r="D1162" s="12" t="n">
        <x:f>D1161*EXP(C1162)</x:f>
        <x:v>188.27918299030085</x:v>
      </x:c>
      <x:c r="E1162" s="16" t="n">
        <x:f>ABS(C1162)</x:f>
        <x:v>0.0202343622578173</x:v>
      </x:c>
      <x:c r="F1162" s="16" t="n">
        <x:f>C1162^2</x:f>
        <x:v>0.00040942941598058125</x:v>
      </x:c>
      <x:c r="G1162" s="1"/>
      <x:c r="H1162" s="1"/>
      <x:c r="I1162" s="1"/>
      <x:c r="J1162" s="1"/>
      <x:c r="K1162" s="1"/>
      <x:c r="L1162" s="1"/>
      <x:c r="M1162" s="1"/>
      <x:c r="N1162" s="1"/>
    </x:row>
    <x:row r="1163" ht="22" customHeight="1">
      <x:c r="A1163" s="1" t="n">
        <x:v>1147</x:v>
      </x:c>
      <x:c r="B1163" s="16" t="n">
        <x:v>0.5481849411465096</x:v>
      </x:c>
      <x:c r="C1163" s="16" t="n">
        <x:f>$B$12+$D$12*B1163</x:f>
        <x:v>0.007740448311022783</x:v>
      </x:c>
      <x:c r="D1163" s="12" t="n">
        <x:f>D1162*EXP(C1163)</x:f>
        <x:v>189.7422031857046</x:v>
      </x:c>
      <x:c r="E1163" s="16" t="n">
        <x:f>ABS(C1163)</x:f>
        <x:v>0.007740448311022783</x:v>
      </x:c>
      <x:c r="F1163" s="16" t="n">
        <x:f>C1163^2</x:f>
        <x:v>0.00005991454005561545</x:v>
      </x:c>
      <x:c r="G1163" s="1"/>
      <x:c r="H1163" s="1"/>
      <x:c r="I1163" s="1"/>
      <x:c r="J1163" s="1"/>
      <x:c r="K1163" s="1"/>
      <x:c r="L1163" s="1"/>
      <x:c r="M1163" s="1"/>
      <x:c r="N1163" s="1"/>
    </x:row>
    <x:row r="1164" ht="22" customHeight="1">
      <x:c r="A1164" s="1" t="n">
        <x:v>1148</x:v>
      </x:c>
      <x:c r="B1164" s="16" t="n">
        <x:v>0.5485873904739493</x:v>
      </x:c>
      <x:c r="C1164" s="16" t="n">
        <x:f>$B$12+$D$12*B1164</x:f>
        <x:v>0.007745769224645733</x:v>
      </x:c>
      <x:c r="D1164" s="12" t="n">
        <x:f>D1163*EXP(C1164)</x:f>
        <x:v>191.21760920437694</x:v>
      </x:c>
      <x:c r="E1164" s="16" t="n">
        <x:f>ABS(C1164)</x:f>
        <x:v>0.007745769224645733</x:v>
      </x:c>
      <x:c r="F1164" s="16" t="n">
        <x:f>C1164^2</x:f>
        <x:v>0.00005999694088146896</x:v>
      </x:c>
      <x:c r="G1164" s="1"/>
      <x:c r="H1164" s="1"/>
      <x:c r="I1164" s="1"/>
      <x:c r="J1164" s="1"/>
      <x:c r="K1164" s="1"/>
      <x:c r="L1164" s="1"/>
      <x:c r="M1164" s="1"/>
      <x:c r="N1164" s="1"/>
    </x:row>
    <x:row r="1165" ht="22" customHeight="1">
      <x:c r="A1165" s="1" t="n">
        <x:v>1149</x:v>
      </x:c>
      <x:c r="B1165" s="16" t="n">
        <x:v>0.33040405524142</x:v>
      </x:c>
      <x:c r="C1165" s="16" t="n">
        <x:f>$B$12+$D$12*B1165</x:f>
        <x:v>0.004861096294204857</x:v>
      </x:c>
      <x:c r="D1165" s="12" t="n">
        <x:f>D1164*EXP(C1165)</x:f>
        <x:v>192.1493993417897</x:v>
      </x:c>
      <x:c r="E1165" s="16" t="n">
        <x:f>ABS(C1165)</x:f>
        <x:v>0.004861096294204857</x:v>
      </x:c>
      <x:c r="F1165" s="16" t="n">
        <x:f>C1165^2</x:f>
        <x:v>0.000023630257181532197</x:v>
      </x:c>
      <x:c r="G1165" s="1"/>
      <x:c r="H1165" s="1"/>
      <x:c r="I1165" s="1"/>
      <x:c r="J1165" s="1"/>
      <x:c r="K1165" s="1"/>
      <x:c r="L1165" s="1"/>
      <x:c r="M1165" s="1"/>
      <x:c r="N1165" s="1"/>
    </x:row>
    <x:row r="1166" ht="22" customHeight="1">
      <x:c r="A1166" s="1" t="n">
        <x:v>1150</x:v>
      </x:c>
      <x:c r="B1166" s="16" t="n">
        <x:v>-0.20196587211021405</x:v>
      </x:c>
      <x:c r="C1166" s="16" t="n">
        <x:f>$B$12+$D$12*B1166</x:f>
        <x:v>-0.002177539891163496</x:v>
      </x:c>
      <x:c r="D1166" s="12" t="n">
        <x:f>D1165*EXP(C1166)</x:f>
        <x:v>191.73144158465612</x:v>
      </x:c>
      <x:c r="E1166" s="16" t="n">
        <x:f>ABS(C1166)</x:f>
        <x:v>0.002177539891163496</x:v>
      </x:c>
      <x:c r="F1166" s="16" t="n">
        <x:f>C1166^2</x:f>
        <x:v>0.000004741679977608329</x:v>
      </x:c>
      <x:c r="G1166" s="1"/>
      <x:c r="H1166" s="1"/>
      <x:c r="I1166" s="1"/>
      <x:c r="J1166" s="1"/>
      <x:c r="K1166" s="1"/>
      <x:c r="L1166" s="1"/>
      <x:c r="M1166" s="1"/>
      <x:c r="N1166" s="1"/>
    </x:row>
    <x:row r="1167" ht="22" customHeight="1">
      <x:c r="A1167" s="1" t="n">
        <x:v>1151</x:v>
      </x:c>
      <x:c r="B1167" s="16" t="n">
        <x:v>-0.8686095157297482</x:v>
      </x:c>
      <x:c r="C1167" s="16" t="n">
        <x:f>$B$12+$D$12*B1167</x:f>
        <x:v>-0.010991452607963116</x:v>
      </x:c>
      <x:c r="D1167" s="12" t="n">
        <x:f>D1166*EXP(C1167)</x:f>
        <x:v>189.6355739463908</x:v>
      </x:c>
      <x:c r="E1167" s="16" t="n">
        <x:f>ABS(C1167)</x:f>
        <x:v>0.010991452607963116</x:v>
      </x:c>
      <x:c r="F1167" s="16" t="n">
        <x:f>C1167^2</x:f>
        <x:v>0.00012081203043309919</x:v>
      </x:c>
      <x:c r="G1167" s="1"/>
      <x:c r="H1167" s="1"/>
      <x:c r="I1167" s="1"/>
      <x:c r="J1167" s="1"/>
      <x:c r="K1167" s="1"/>
      <x:c r="L1167" s="1"/>
      <x:c r="M1167" s="1"/>
      <x:c r="N1167" s="1"/>
    </x:row>
    <x:row r="1168" ht="22" customHeight="1">
      <x:c r="A1168" s="1" t="n">
        <x:v>1152</x:v>
      </x:c>
      <x:c r="B1168" s="16" t="n">
        <x:v>-1.264761992298922</x:v>
      </x:c>
      <x:c r="C1168" s="16" t="n">
        <x:f>$B$12+$D$12*B1168</x:f>
        <x:v>-0.01622911351487106</x:v>
      </x:c>
      <x:c r="D1168" s="12" t="n">
        <x:f>D1167*EXP(C1168)</x:f>
        <x:v>186.58279563736485</x:v>
      </x:c>
      <x:c r="E1168" s="16" t="n">
        <x:f>ABS(C1168)</x:f>
        <x:v>0.01622911351487106</x:v>
      </x:c>
      <x:c r="F1168" s="16" t="n">
        <x:f>C1168^2</x:f>
        <x:v>0.00026338412547857043</x:v>
      </x:c>
      <x:c r="G1168" s="1"/>
      <x:c r="H1168" s="1"/>
      <x:c r="I1168" s="1"/>
      <x:c r="J1168" s="1"/>
      <x:c r="K1168" s="1"/>
      <x:c r="L1168" s="1"/>
      <x:c r="M1168" s="1"/>
      <x:c r="N1168" s="1"/>
    </x:row>
    <x:row r="1169" ht="22" customHeight="1">
      <x:c r="A1169" s="1" t="n">
        <x:v>1153</x:v>
      </x:c>
      <x:c r="B1169" s="16" t="n">
        <x:v>0.3127701547704802</x:v>
      </x:c>
      <x:c r="C1169" s="16" t="n">
        <x:f>$B$12+$D$12*B1169</x:f>
        <x:v>0.004627952753281367</x:v>
      </x:c>
      <x:c r="D1169" s="12" t="n">
        <x:f>D1168*EXP(C1169)</x:f>
        <x:v>187.44829319629062</x:v>
      </x:c>
      <x:c r="E1169" s="16" t="n">
        <x:f>ABS(C1169)</x:f>
        <x:v>0.004627952753281367</x:v>
      </x:c>
      <x:c r="F1169" s="16" t="n">
        <x:f>C1169^2</x:f>
        <x:v>0.000021417946686604588</x:v>
      </x:c>
      <x:c r="G1169" s="1"/>
      <x:c r="H1169" s="1"/>
      <x:c r="I1169" s="1"/>
      <x:c r="J1169" s="1"/>
      <x:c r="K1169" s="1"/>
      <x:c r="L1169" s="1"/>
      <x:c r="M1169" s="1"/>
      <x:c r="N1169" s="1"/>
    </x:row>
    <x:row r="1170" ht="22" customHeight="1">
      <x:c r="A1170" s="1" t="n">
        <x:v>1154</x:v>
      </x:c>
      <x:c r="B1170" s="16" t="n">
        <x:v>0.7602159035470322</x:v>
      </x:c>
      <x:c r="C1170" s="16" t="n">
        <x:f>$B$12+$D$12*B1170</x:f>
        <x:v>0.010543778716620707</x:v>
      </x:c>
      <x:c r="D1170" s="12" t="n">
        <x:f>D1169*EXP(C1170)</x:f>
        <x:v>189.43516266972784</x:v>
      </x:c>
      <x:c r="E1170" s="16" t="n">
        <x:f>ABS(C1170)</x:f>
        <x:v>0.010543778716620707</x:v>
      </x:c>
      <x:c r="F1170" s="16" t="n">
        <x:f>C1170^2</x:f>
        <x:v>0.00011117126962506381</x:v>
      </x:c>
      <x:c r="G1170" s="1"/>
      <x:c r="H1170" s="1"/>
      <x:c r="I1170" s="1"/>
      <x:c r="J1170" s="1"/>
      <x:c r="K1170" s="1"/>
      <x:c r="L1170" s="1"/>
      <x:c r="M1170" s="1"/>
      <x:c r="N1170" s="1"/>
    </x:row>
    <x:row r="1171" ht="22" customHeight="1">
      <x:c r="A1171" s="1" t="n">
        <x:v>1155</x:v>
      </x:c>
      <x:c r="B1171" s="16" t="n">
        <x:v>0.47500334229340274</x:v>
      </x:c>
      <x:c r="C1171" s="16" t="n">
        <x:f>$B$12+$D$12*B1171</x:f>
        <x:v>0.0067728905596805234</x:v>
      </x:c>
      <x:c r="D1171" s="12" t="n">
        <x:f>D1170*EXP(C1171)</x:f>
        <x:v>190.72254100972853</x:v>
      </x:c>
      <x:c r="E1171" s="16" t="n">
        <x:f>ABS(C1171)</x:f>
        <x:v>0.0067728905596805234</x:v>
      </x:c>
      <x:c r="F1171" s="16" t="n">
        <x:f>C1171^2</x:f>
        <x:v>0.000045872046533409556</x:v>
      </x:c>
      <x:c r="G1171" s="1"/>
      <x:c r="H1171" s="1"/>
      <x:c r="I1171" s="1"/>
      <x:c r="J1171" s="1"/>
      <x:c r="K1171" s="1"/>
      <x:c r="L1171" s="1"/>
      <x:c r="M1171" s="1"/>
      <x:c r="N1171" s="1"/>
    </x:row>
    <x:row r="1172" ht="22" customHeight="1">
      <x:c r="A1172" s="1" t="n">
        <x:v>1156</x:v>
      </x:c>
      <x:c r="B1172" s="16" t="n">
        <x:v>0.18999172709629614</x:v>
      </x:c>
      <x:c r="C1172" s="16" t="n">
        <x:f>$B$12+$D$12*B1172</x:f>
        <x:v>0.003004659175995327</x:v>
      </x:c>
      <x:c r="D1172" s="12" t="n">
        <x:f>D1171*EXP(C1172)</x:f>
        <x:v>191.29645902488133</x:v>
      </x:c>
      <x:c r="E1172" s="16" t="n">
        <x:f>ABS(C1172)</x:f>
        <x:v>0.003004659175995327</x:v>
      </x:c>
      <x:c r="F1172" s="16" t="n">
        <x:f>C1172^2</x:f>
        <x:v>0.000009027976763892918</x:v>
      </x:c>
      <x:c r="G1172" s="1"/>
      <x:c r="H1172" s="1"/>
      <x:c r="I1172" s="1"/>
      <x:c r="J1172" s="1"/>
      <x:c r="K1172" s="1"/>
      <x:c r="L1172" s="1"/>
      <x:c r="M1172" s="1"/>
      <x:c r="N1172" s="1"/>
    </x:row>
    <x:row r="1173" ht="22" customHeight="1">
      <x:c r="A1173" s="1" t="n">
        <x:v>1157</x:v>
      </x:c>
      <x:c r="B1173" s="16" t="n">
        <x:v>0.04588465049218835</x:v>
      </x:c>
      <x:c r="C1173" s="16" t="n">
        <x:f>$B$12+$D$12*B1173</x:f>
        <x:v>0.0010993725851482102</x:v>
      </x:c>
      <x:c r="D1173" s="12" t="n">
        <x:f>D1172*EXP(C1173)</x:f>
        <x:v>191.5068807523151</x:v>
      </x:c>
      <x:c r="E1173" s="16" t="n">
        <x:f>ABS(C1173)</x:f>
        <x:v>0.0010993725851482102</x:v>
      </x:c>
      <x:c r="F1173" s="16" t="n">
        <x:f>C1173^2</x:f>
        <x:v>0.0000012086200809754588</x:v>
      </x:c>
      <x:c r="G1173" s="1"/>
      <x:c r="H1173" s="1"/>
      <x:c r="I1173" s="1"/>
      <x:c r="J1173" s="1"/>
      <x:c r="K1173" s="1"/>
      <x:c r="L1173" s="1"/>
      <x:c r="M1173" s="1"/>
      <x:c r="N1173" s="1"/>
    </x:row>
    <x:row r="1174" ht="22" customHeight="1">
      <x:c r="A1174" s="1" t="n">
        <x:v>1158</x:v>
      </x:c>
      <x:c r="B1174" s="16" t="n">
        <x:v>0.8152671503669079</x:v>
      </x:c>
      <x:c r="C1174" s="16" t="n">
        <x:f>$B$12+$D$12*B1174</x:f>
        <x:v>0.011271629179256034</x:v>
      </x:c>
      <x:c r="D1174" s="12" t="n">
        <x:f>D1173*EXP(C1174)</x:f>
        <x:v>193.67768657325814</x:v>
      </x:c>
      <x:c r="E1174" s="16" t="n">
        <x:f>ABS(C1174)</x:f>
        <x:v>0.011271629179256034</x:v>
      </x:c>
      <x:c r="F1174" s="16" t="n">
        <x:f>C1174^2</x:f>
        <x:v>0.00012704962435465604</x:v>
      </x:c>
      <x:c r="G1174" s="1"/>
      <x:c r="H1174" s="1"/>
      <x:c r="I1174" s="1"/>
      <x:c r="J1174" s="1"/>
      <x:c r="K1174" s="1"/>
      <x:c r="L1174" s="1"/>
      <x:c r="M1174" s="1"/>
      <x:c r="N1174" s="1"/>
    </x:row>
    <x:row r="1175" ht="22" customHeight="1">
      <x:c r="A1175" s="1" t="n">
        <x:v>1159</x:v>
      </x:c>
      <x:c r="B1175" s="16" t="n">
        <x:v>0.6503794619614288</x:v>
      </x:c>
      <x:c r="C1175" s="16" t="n">
        <x:f>$B$12+$D$12*B1175</x:f>
        <x:v>0.00909159535220259</x:v>
      </x:c>
      <x:c r="D1175" s="12" t="n">
        <x:f>D1174*EXP(C1175)</x:f>
        <x:v>195.44655445975243</x:v>
      </x:c>
      <x:c r="E1175" s="16" t="n">
        <x:f>ABS(C1175)</x:f>
        <x:v>0.00909159535220259</x:v>
      </x:c>
      <x:c r="F1175" s="16" t="n">
        <x:f>C1175^2</x:f>
        <x:v>0.00008265710604819172</x:v>
      </x:c>
      <x:c r="G1175" s="1"/>
      <x:c r="H1175" s="1"/>
      <x:c r="I1175" s="1"/>
      <x:c r="J1175" s="1"/>
      <x:c r="K1175" s="1"/>
      <x:c r="L1175" s="1"/>
      <x:c r="M1175" s="1"/>
      <x:c r="N1175" s="1"/>
    </x:row>
    <x:row r="1176" ht="22" customHeight="1">
      <x:c r="A1176" s="1" t="n">
        <x:v>1160</x:v>
      </x:c>
      <x:c r="B1176" s="16" t="n">
        <x:v>-0.8107997811931356</x:v>
      </x:c>
      <x:c r="C1176" s="16" t="n">
        <x:f>$B$12+$D$12*B1176</x:f>
        <x:v>-0.01022713128087362</x:v>
      </x:c>
      <x:c r="D1176" s="12" t="n">
        <x:f>D1175*EXP(C1176)</x:f>
        <x:v>193.45788342237847</x:v>
      </x:c>
      <x:c r="E1176" s="16" t="n">
        <x:f>ABS(C1176)</x:f>
        <x:v>0.01022713128087362</x:v>
      </x:c>
      <x:c r="F1176" s="16" t="n">
        <x:f>C1176^2</x:f>
        <x:v>0.00010459421423622369</x:v>
      </x:c>
      <x:c r="G1176" s="1"/>
      <x:c r="H1176" s="1"/>
      <x:c r="I1176" s="1"/>
      <x:c r="J1176" s="1"/>
      <x:c r="K1176" s="1"/>
      <x:c r="L1176" s="1"/>
      <x:c r="M1176" s="1"/>
      <x:c r="N1176" s="1"/>
    </x:row>
    <x:row r="1177" ht="22" customHeight="1">
      <x:c r="A1177" s="1" t="n">
        <x:v>1161</x:v>
      </x:c>
      <x:c r="B1177" s="16" t="n">
        <x:v>0.27066721042840985</x:v>
      </x:c>
      <x:c r="C1177" s="16" t="n">
        <x:f>$B$12+$D$12*B1177</x:f>
        <x:v>0.004071296014552948</x:v>
      </x:c>
      <x:c r="D1177" s="12" t="n">
        <x:f>D1176*EXP(C1177)</x:f>
        <x:v>194.24711323608435</x:v>
      </x:c>
      <x:c r="E1177" s="16" t="n">
        <x:f>ABS(C1177)</x:f>
        <x:v>0.004071296014552948</x:v>
      </x:c>
      <x:c r="F1177" s="16" t="n">
        <x:f>C1177^2</x:f>
        <x:v>0.000016575451238114714</x:v>
      </x:c>
      <x:c r="G1177" s="1"/>
      <x:c r="H1177" s="1"/>
      <x:c r="I1177" s="1"/>
      <x:c r="J1177" s="1"/>
      <x:c r="K1177" s="1"/>
      <x:c r="L1177" s="1"/>
      <x:c r="M1177" s="1"/>
      <x:c r="N1177" s="1"/>
    </x:row>
    <x:row r="1178" ht="22" customHeight="1">
      <x:c r="A1178" s="1" t="n">
        <x:v>1162</x:v>
      </x:c>
      <x:c r="B1178" s="16" t="n">
        <x:v>1.4077759091342892</x:v>
      </x:c>
      <x:c r="C1178" s="16" t="n">
        <x:f>$B$12+$D$12*B1178</x:f>
        <x:v>0.019105380440065257</x:v>
      </x:c>
      <x:c r="D1178" s="12" t="n">
        <x:f>D1177*EXP(C1178)</x:f>
        <x:v>197.99395669808538</x:v>
      </x:c>
      <x:c r="E1178" s="16" t="n">
        <x:f>ABS(C1178)</x:f>
        <x:v>0.019105380440065257</x:v>
      </x:c>
      <x:c r="F1178" s="16" t="n">
        <x:f>C1178^2</x:f>
        <x:v>0.00036501556175962813</x:v>
      </x:c>
      <x:c r="G1178" s="1"/>
      <x:c r="H1178" s="1"/>
      <x:c r="I1178" s="1"/>
      <x:c r="J1178" s="1"/>
      <x:c r="K1178" s="1"/>
      <x:c r="L1178" s="1"/>
      <x:c r="M1178" s="1"/>
      <x:c r="N1178" s="1"/>
    </x:row>
    <x:row r="1179" ht="22" customHeight="1">
      <x:c r="A1179" s="1" t="n">
        <x:v>1163</x:v>
      </x:c>
      <x:c r="B1179" s="16" t="n">
        <x:v>-0.8466376756357832</x:v>
      </x:c>
      <x:c r="C1179" s="16" t="n">
        <x:f>$B$12+$D$12*B1179</x:f>
        <x:v>-0.010700955754555467</x:v>
      </x:c>
      <x:c r="D1179" s="12" t="n">
        <x:f>D1178*EXP(C1179)</x:f>
        <x:v>195.88652798865735</x:v>
      </x:c>
      <x:c r="E1179" s="16" t="n">
        <x:f>ABS(C1179)</x:f>
        <x:v>0.010700955754555467</x:v>
      </x:c>
      <x:c r="F1179" s="16" t="n">
        <x:f>C1179^2</x:f>
        <x:v>0.00011451045406095375</x:v>
      </x:c>
      <x:c r="G1179" s="1"/>
      <x:c r="H1179" s="1"/>
      <x:c r="I1179" s="1"/>
      <x:c r="J1179" s="1"/>
      <x:c r="K1179" s="1"/>
      <x:c r="L1179" s="1"/>
      <x:c r="M1179" s="1"/>
      <x:c r="N1179" s="1"/>
    </x:row>
    <x:row r="1180" ht="22" customHeight="1">
      <x:c r="A1180" s="1" t="n">
        <x:v>1164</x:v>
      </x:c>
      <x:c r="B1180" s="16" t="n">
        <x:v>-1.1427938247264344</x:v>
      </x:c>
      <x:c r="C1180" s="16" t="n">
        <x:f>$B$12+$D$12*B1180</x:f>
        <x:v>-0.01461653265026534</x:v>
      </x:c>
      <x:c r="D1180" s="12" t="n">
        <x:f>D1179*EXP(C1180)</x:f>
        <x:v>193.04416947357657</x:v>
      </x:c>
      <x:c r="E1180" s="16" t="n">
        <x:f>ABS(C1180)</x:f>
        <x:v>0.01461653265026534</x:v>
      </x:c>
      <x:c r="F1180" s="16" t="n">
        <x:f>C1180^2</x:f>
        <x:v>0.0002136430267162727</x:v>
      </x:c>
      <x:c r="G1180" s="1"/>
      <x:c r="H1180" s="1"/>
      <x:c r="I1180" s="1"/>
      <x:c r="J1180" s="1"/>
      <x:c r="K1180" s="1"/>
      <x:c r="L1180" s="1"/>
      <x:c r="M1180" s="1"/>
      <x:c r="N1180" s="1"/>
    </x:row>
    <x:row r="1181" ht="22" customHeight="1">
      <x:c r="A1181" s="1" t="n">
        <x:v>1165</x:v>
      </x:c>
      <x:c r="B1181" s="16" t="n">
        <x:v>0.3422721631940239</x:v>
      </x:c>
      <x:c r="C1181" s="16" t="n">
        <x:f>$B$12+$D$12*B1181</x:f>
        <x:v>0.0050180084145092785</x:v>
      </x:c>
      <x:c r="D1181" s="12" t="n">
        <x:f>D1180*EXP(C1181)</x:f>
        <x:v>194.01530127635547</x:v>
      </x:c>
      <x:c r="E1181" s="16" t="n">
        <x:f>ABS(C1181)</x:f>
        <x:v>0.0050180084145092785</x:v>
      </x:c>
      <x:c r="F1181" s="16" t="n">
        <x:f>C1181^2</x:f>
        <x:v>0.000025180408448085924</x:v>
      </x:c>
      <x:c r="G1181" s="1"/>
      <x:c r="H1181" s="1"/>
      <x:c r="I1181" s="1"/>
      <x:c r="J1181" s="1"/>
      <x:c r="K1181" s="1"/>
      <x:c r="L1181" s="1"/>
      <x:c r="M1181" s="1"/>
      <x:c r="N1181" s="1"/>
    </x:row>
    <x:row r="1182" ht="22" customHeight="1">
      <x:c r="A1182" s="1" t="n">
        <x:v>1166</x:v>
      </x:c>
      <x:c r="B1182" s="16" t="n">
        <x:v>0.6390337837799435</x:v>
      </x:c>
      <x:c r="C1182" s="16" t="n">
        <x:f>$B$12+$D$12*B1182</x:f>
        <x:v>0.008941590446040789</x:v>
      </x:c>
      <x:c r="D1182" s="12" t="n">
        <x:f>D1181*EXP(C1182)</x:f>
        <x:v>195.75788576880853</x:v>
      </x:c>
      <x:c r="E1182" s="16" t="n">
        <x:f>ABS(C1182)</x:f>
        <x:v>0.008941590446040789</x:v>
      </x:c>
      <x:c r="F1182" s="16" t="n">
        <x:f>C1182^2</x:f>
        <x:v>0.0000799520397047279</x:v>
      </x:c>
      <x:c r="G1182" s="1"/>
      <x:c r="H1182" s="1"/>
      <x:c r="I1182" s="1"/>
      <x:c r="J1182" s="1"/>
      <x:c r="K1182" s="1"/>
      <x:c r="L1182" s="1"/>
      <x:c r="M1182" s="1"/>
      <x:c r="N1182" s="1"/>
    </x:row>
    <x:row r="1183" ht="22" customHeight="1">
      <x:c r="A1183" s="1" t="n">
        <x:v>1167</x:v>
      </x:c>
      <x:c r="B1183" s="16" t="n">
        <x:v>0.36159953651360405</x:v>
      </x:c>
      <x:c r="C1183" s="16" t="n">
        <x:f>$B$12+$D$12*B1183</x:f>
        <x:v>0.0052735419114745665</x:v>
      </x:c>
      <x:c r="D1183" s="12" t="n">
        <x:f>D1182*EXP(C1183)</x:f>
        <x:v>196.79295001246564</x:v>
      </x:c>
      <x:c r="E1183" s="16" t="n">
        <x:f>ABS(C1183)</x:f>
        <x:v>0.0052735419114745665</x:v>
      </x:c>
      <x:c r="F1183" s="16" t="n">
        <x:f>C1183^2</x:f>
        <x:v>0.000027810244292078824</x:v>
      </x:c>
      <x:c r="G1183" s="1"/>
      <x:c r="H1183" s="1"/>
      <x:c r="I1183" s="1"/>
      <x:c r="J1183" s="1"/>
      <x:c r="K1183" s="1"/>
      <x:c r="L1183" s="1"/>
      <x:c r="M1183" s="1"/>
      <x:c r="N1183" s="1"/>
    </x:row>
    <x:row r="1184" ht="22" customHeight="1">
      <x:c r="A1184" s="1" t="n">
        <x:v>1168</x:v>
      </x:c>
      <x:c r="B1184" s="16" t="n">
        <x:v>1.4008916921181573</x:v>
      </x:c>
      <x:c r="C1184" s="16" t="n">
        <x:f>$B$12+$D$12*B1184</x:f>
        <x:v>0.019014361964925754</x:v>
      </x:c>
      <x:c r="D1184" s="12" t="n">
        <x:f>D1183*EXP(C1184)</x:f>
        <x:v>200.57064379785388</x:v>
      </x:c>
      <x:c r="E1184" s="16" t="n">
        <x:f>ABS(C1184)</x:f>
        <x:v>0.019014361964925754</x:v>
      </x:c>
      <x:c r="F1184" s="16" t="n">
        <x:f>C1184^2</x:f>
        <x:v>0.00036154596093321517</x:v>
      </x:c>
      <x:c r="G1184" s="1"/>
      <x:c r="H1184" s="1"/>
      <x:c r="I1184" s="1"/>
      <x:c r="J1184" s="1"/>
      <x:c r="K1184" s="1"/>
      <x:c r="L1184" s="1"/>
      <x:c r="M1184" s="1"/>
      <x:c r="N1184" s="1"/>
    </x:row>
    <x:row r="1185" ht="22" customHeight="1">
      <x:c r="A1185" s="1" t="n">
        <x:v>1169</x:v>
      </x:c>
      <x:c r="B1185" s="16" t="n">
        <x:v>-0.26321005489195537</x:v>
      </x:c>
      <x:c r="C1185" s="16" t="n">
        <x:f>$B$12+$D$12*B1185</x:f>
        <x:v>-0.0029872691769917497</x:v>
      </x:c>
      <x:c r="D1185" s="12" t="n">
        <x:f>D1184*EXP(C1185)</x:f>
        <x:v>199.97237932922874</x:v>
      </x:c>
      <x:c r="E1185" s="16" t="n">
        <x:f>ABS(C1185)</x:f>
        <x:v>0.0029872691769917497</x:v>
      </x:c>
      <x:c r="F1185" s="16" t="n">
        <x:f>C1185^2</x:f>
        <x:v>0.000008923777135804965</x:v>
      </x:c>
      <x:c r="G1185" s="1"/>
      <x:c r="H1185" s="1"/>
      <x:c r="I1185" s="1"/>
      <x:c r="J1185" s="1"/>
      <x:c r="K1185" s="1"/>
      <x:c r="L1185" s="1"/>
      <x:c r="M1185" s="1"/>
      <x:c r="N1185" s="1"/>
    </x:row>
    <x:row r="1186" ht="22" customHeight="1">
      <x:c r="A1186" s="1" t="n">
        <x:v>1170</x:v>
      </x:c>
      <x:c r="B1186" s="16" t="n">
        <x:v>-0.3255922073308449</x:v>
      </x:c>
      <x:c r="C1186" s="16" t="n">
        <x:f>$B$12+$D$12*B1186</x:f>
        <x:v>-0.0038120439302574676</x:v>
      </x:c>
      <x:c r="D1186" s="12" t="n">
        <x:f>D1185*EXP(C1186)</x:f>
        <x:v>199.2115269570928</x:v>
      </x:c>
      <x:c r="E1186" s="16" t="n">
        <x:f>ABS(C1186)</x:f>
        <x:v>0.0038120439302574676</x:v>
      </x:c>
      <x:c r="F1186" s="16" t="n">
        <x:f>C1186^2</x:f>
        <x:v>0.000014531678926212801</x:v>
      </x:c>
      <x:c r="G1186" s="1"/>
      <x:c r="H1186" s="1"/>
      <x:c r="I1186" s="1"/>
      <x:c r="J1186" s="1"/>
      <x:c r="K1186" s="1"/>
      <x:c r="L1186" s="1"/>
      <x:c r="M1186" s="1"/>
      <x:c r="N1186" s="1"/>
    </x:row>
    <x:row r="1187" ht="22" customHeight="1">
      <x:c r="A1187" s="1" t="n">
        <x:v>1171</x:v>
      </x:c>
      <x:c r="B1187" s="16" t="n">
        <x:v>-0.5394265618987192</x:v>
      </x:c>
      <x:c r="C1187" s="16" t="n">
        <x:f>$B$12+$D$12*B1187</x:f>
        <x:v>-0.006639217571007081</x:v>
      </x:c>
      <x:c r="D1187" s="12" t="n">
        <x:f>D1186*EXP(C1187)</x:f>
        <x:v>197.8932991298486</x:v>
      </x:c>
      <x:c r="E1187" s="16" t="n">
        <x:f>ABS(C1187)</x:f>
        <x:v>0.006639217571007081</x:v>
      </x:c>
      <x:c r="F1187" s="16" t="n">
        <x:f>C1187^2</x:f>
        <x:v>0.000044079209955169166</x:v>
      </x:c>
      <x:c r="G1187" s="1"/>
      <x:c r="H1187" s="1"/>
      <x:c r="I1187" s="1"/>
      <x:c r="J1187" s="1"/>
      <x:c r="K1187" s="1"/>
      <x:c r="L1187" s="1"/>
      <x:c r="M1187" s="1"/>
      <x:c r="N1187" s="1"/>
    </x:row>
    <x:row r="1188" ht="22" customHeight="1">
      <x:c r="A1188" s="1" t="n">
        <x:v>1172</x:v>
      </x:c>
      <x:c r="B1188" s="16" t="n">
        <x:v>1.2735945309424437</x:v>
      </x:c>
      <x:c r="C1188" s="16" t="n">
        <x:f>$B$12+$D$12*B1188</x:f>
        <x:v>0.017331324740409066</x:v>
      </x:c>
      <x:c r="D1188" s="12" t="n">
        <x:f>D1187*EXP(C1188)</x:f>
        <x:v>201.3529456912485</x:v>
      </x:c>
      <x:c r="E1188" s="16" t="n">
        <x:f>ABS(C1188)</x:f>
        <x:v>0.017331324740409066</x:v>
      </x:c>
      <x:c r="F1188" s="16" t="n">
        <x:f>C1188^2</x:f>
        <x:v>0.00030037481725751536</x:v>
      </x:c>
      <x:c r="G1188" s="1"/>
      <x:c r="H1188" s="1"/>
      <x:c r="I1188" s="1"/>
      <x:c r="J1188" s="1"/>
      <x:c r="K1188" s="1"/>
      <x:c r="L1188" s="1"/>
      <x:c r="M1188" s="1"/>
      <x:c r="N1188" s="1"/>
    </x:row>
    <x:row r="1189" ht="22" customHeight="1">
      <x:c r="A1189" s="1" t="n">
        <x:v>1173</x:v>
      </x:c>
      <x:c r="B1189" s="16" t="n">
        <x:v>-1.029890171275948</x:v>
      </x:c>
      <x:c r="C1189" s="16" t="n">
        <x:f>$B$12+$D$12*B1189</x:f>
        <x:v>-0.013123796678888834</x:v>
      </x:c>
      <x:c r="D1189" s="12" t="n">
        <x:f>D1188*EXP(C1189)</x:f>
        <x:v>198.7276948799284</x:v>
      </x:c>
      <x:c r="E1189" s="16" t="n">
        <x:f>ABS(C1189)</x:f>
        <x:v>0.013123796678888834</x:v>
      </x:c>
      <x:c r="F1189" s="16" t="n">
        <x:f>C1189^2</x:f>
        <x:v>0.0001722340392688136</x:v>
      </x:c>
      <x:c r="G1189" s="1"/>
      <x:c r="H1189" s="1"/>
      <x:c r="I1189" s="1"/>
      <x:c r="J1189" s="1"/>
      <x:c r="K1189" s="1"/>
      <x:c r="L1189" s="1"/>
      <x:c r="M1189" s="1"/>
      <x:c r="N1189" s="1"/>
    </x:row>
    <x:row r="1190" ht="22" customHeight="1">
      <x:c r="A1190" s="1" t="n">
        <x:v>1174</x:v>
      </x:c>
      <x:c r="B1190" s="16" t="n">
        <x:v>-1.1155448210900059</x:v>
      </x:c>
      <x:c r="C1190" s="16" t="n">
        <x:f>$B$12+$D$12*B1190</x:f>
        <x:v>-0.014256264699059454</x:v>
      </x:c>
      <x:c r="D1190" s="12" t="n">
        <x:f>D1189*EXP(C1190)</x:f>
        <x:v>195.91467944818223</x:v>
      </x:c>
      <x:c r="E1190" s="16" t="n">
        <x:f>ABS(C1190)</x:f>
        <x:v>0.014256264699059454</x:v>
      </x:c>
      <x:c r="F1190" s="16" t="n">
        <x:f>C1190^2</x:f>
        <x:v>0.00020324108316964874</x:v>
      </x:c>
      <x:c r="G1190" s="1"/>
      <x:c r="H1190" s="1"/>
      <x:c r="I1190" s="1"/>
      <x:c r="J1190" s="1"/>
      <x:c r="K1190" s="1"/>
      <x:c r="L1190" s="1"/>
      <x:c r="M1190" s="1"/>
      <x:c r="N1190" s="1"/>
    </x:row>
    <x:row r="1191" ht="22" customHeight="1">
      <x:c r="A1191" s="1" t="n">
        <x:v>1175</x:v>
      </x:c>
      <x:c r="B1191" s="16" t="n">
        <x:v>0.04391369052174546</x:v>
      </x:c>
      <x:c r="C1191" s="16" t="n">
        <x:f>$B$12+$D$12*B1191</x:f>
        <x:v>0.0010733138815003822</x:v>
      </x:c>
      <x:c r="D1191" s="12" t="n">
        <x:f>D1190*EXP(C1191)</x:f>
        <x:v>196.12507028072667</x:v>
      </x:c>
      <x:c r="E1191" s="16" t="n">
        <x:f>ABS(C1191)</x:f>
        <x:v>0.0010733138815003822</x:v>
      </x:c>
      <x:c r="F1191" s="16" t="n">
        <x:f>C1191^2</x:f>
        <x:v>0.0000011520026882214165</x:v>
      </x:c>
      <x:c r="G1191" s="1"/>
      <x:c r="H1191" s="1"/>
      <x:c r="I1191" s="1"/>
      <x:c r="J1191" s="1"/>
      <x:c r="K1191" s="1"/>
      <x:c r="L1191" s="1"/>
      <x:c r="M1191" s="1"/>
      <x:c r="N1191" s="1"/>
    </x:row>
    <x:row r="1192" ht="22" customHeight="1">
      <x:c r="A1192" s="1" t="n">
        <x:v>1176</x:v>
      </x:c>
      <x:c r="B1192" s="16" t="n">
        <x:v>1.118388369410338</x:v>
      </x:c>
      <x:c r="C1192" s="16" t="n">
        <x:f>$B$12+$D$12*B1192</x:f>
        <x:v>0.015279293533112037</x:v>
      </x:c>
      <x:c r="D1192" s="12" t="n">
        <x:f>D1191*EXP(C1192)</x:f>
        <x:v>199.1447332103735</x:v>
      </x:c>
      <x:c r="E1192" s="16" t="n">
        <x:f>ABS(C1192)</x:f>
        <x:v>0.015279293533112037</x:v>
      </x:c>
      <x:c r="F1192" s="16" t="n">
        <x:f>C1192^2</x:f>
        <x:v>0.0002334568108709993</x:v>
      </x:c>
      <x:c r="G1192" s="1"/>
      <x:c r="H1192" s="1"/>
      <x:c r="I1192" s="1"/>
      <x:c r="J1192" s="1"/>
      <x:c r="K1192" s="1"/>
      <x:c r="L1192" s="1"/>
      <x:c r="M1192" s="1"/>
      <x:c r="N1192" s="1"/>
    </x:row>
    <x:row r="1193" ht="22" customHeight="1">
      <x:c r="A1193" s="1" t="n">
        <x:v>1177</x:v>
      </x:c>
      <x:c r="B1193" s="16" t="n">
        <x:v>0.4359762114785357</x:v>
      </x:c>
      <x:c r="C1193" s="16" t="n">
        <x:f>$B$12+$D$12*B1193</x:f>
        <x:v>0.006256900153289315</x:v>
      </x:c>
      <x:c r="D1193" s="12" t="n">
        <x:f>D1192*EXP(C1193)</x:f>
        <x:v>200.39466820356427</x:v>
      </x:c>
      <x:c r="E1193" s="16" t="n">
        <x:f>ABS(C1193)</x:f>
        <x:v>0.006256900153289315</x:v>
      </x:c>
      <x:c r="F1193" s="16" t="n">
        <x:f>C1193^2</x:f>
        <x:v>0.00003914879952823186</x:v>
      </x:c>
      <x:c r="G1193" s="1"/>
      <x:c r="H1193" s="1"/>
      <x:c r="I1193" s="1"/>
      <x:c r="J1193" s="1"/>
      <x:c r="K1193" s="1"/>
      <x:c r="L1193" s="1"/>
      <x:c r="M1193" s="1"/>
      <x:c r="N1193" s="1"/>
    </x:row>
    <x:row r="1194" ht="22" customHeight="1">
      <x:c r="A1194" s="1" t="n">
        <x:v>1178</x:v>
      </x:c>
      <x:c r="B1194" s="16" t="n">
        <x:v>1.7058718780538216</x:v>
      </x:c>
      <x:c r="C1194" s="16" t="n">
        <x:f>$B$12+$D$12*B1194</x:f>
        <x:v>0.023046604325470024</x:v>
      </x:c>
      <x:c r="D1194" s="12" t="n">
        <x:f>D1193*EXP(C1194)</x:f>
        <x:v>205.06671544962867</x:v>
      </x:c>
      <x:c r="E1194" s="16" t="n">
        <x:f>ABS(C1194)</x:f>
        <x:v>0.023046604325470024</x:v>
      </x:c>
      <x:c r="F1194" s="16" t="n">
        <x:f>C1194^2</x:f>
        <x:v>0.0005311459709347737</x:v>
      </x:c>
      <x:c r="G1194" s="1"/>
      <x:c r="H1194" s="1"/>
      <x:c r="I1194" s="1"/>
      <x:c r="J1194" s="1"/>
      <x:c r="K1194" s="1"/>
      <x:c r="L1194" s="1"/>
      <x:c r="M1194" s="1"/>
      <x:c r="N1194" s="1"/>
    </x:row>
    <x:row r="1195" ht="22" customHeight="1">
      <x:c r="A1195" s="1" t="n">
        <x:v>1179</x:v>
      </x:c>
      <x:c r="B1195" s="16" t="n">
        <x:v>-0.8738761202695959</x:v>
      </x:c>
      <x:c r="C1195" s="16" t="n">
        <x:f>$B$12+$D$12*B1195</x:f>
        <x:v>-0.01106108410174904</x:v>
      </x:c>
      <x:c r="D1195" s="12" t="n">
        <x:f>D1194*EXP(C1195)</x:f>
        <x:v>202.81095384683968</x:v>
      </x:c>
      <x:c r="E1195" s="16" t="n">
        <x:f>ABS(C1195)</x:f>
        <x:v>0.01106108410174904</x:v>
      </x:c>
      <x:c r="F1195" s="16" t="n">
        <x:f>C1195^2</x:f>
        <x:v>0.00012234758150596537</x:v>
      </x:c>
      <x:c r="G1195" s="1"/>
      <x:c r="H1195" s="1"/>
      <x:c r="I1195" s="1"/>
      <x:c r="J1195" s="1"/>
      <x:c r="K1195" s="1"/>
      <x:c r="L1195" s="1"/>
      <x:c r="M1195" s="1"/>
      <x:c r="N1195" s="1"/>
    </x:row>
    <x:row r="1196" ht="22" customHeight="1">
      <x:c r="A1196" s="1" t="n">
        <x:v>1180</x:v>
      </x:c>
      <x:c r="B1196" s="16" t="n">
        <x:v>-0.0859209561961861</x:v>
      </x:c>
      <x:c r="C1196" s="16" t="n">
        <x:f>$B$12+$D$12*B1196</x:f>
        <x:v>-0.000643272265747825</x:v>
      </x:c>
      <x:c r="D1196" s="12" t="n">
        <x:f>D1195*EXP(C1196)</x:f>
        <x:v>202.68053313755007</x:v>
      </x:c>
      <x:c r="E1196" s="16" t="n">
        <x:f>ABS(C1196)</x:f>
        <x:v>0.000643272265747825</x:v>
      </x:c>
      <x:c r="F1196" s="16" t="n">
        <x:f>C1196^2</x:f>
        <x:v>4.1379920788034034e-7</x:v>
      </x:c>
      <x:c r="G1196" s="1"/>
      <x:c r="H1196" s="1"/>
      <x:c r="I1196" s="1"/>
      <x:c r="J1196" s="1"/>
      <x:c r="K1196" s="1"/>
      <x:c r="L1196" s="1"/>
      <x:c r="M1196" s="1"/>
      <x:c r="N1196" s="1"/>
    </x:row>
    <x:row r="1197" ht="22" customHeight="1">
      <x:c r="A1197" s="1" t="n">
        <x:v>1181</x:v>
      </x:c>
      <x:c r="B1197" s="16" t="n">
        <x:v>0.048282080280484106</x:v>
      </x:c>
      <x:c r="C1197" s="16" t="n">
        <x:f>$B$12+$D$12*B1197</x:f>
        <x:v>0.0011310697851454458</x:v>
      </x:c>
      <x:c r="D1197" s="12" t="n">
        <x:f>D1196*EXP(C1197)</x:f>
        <x:v>202.9099086600269</x:v>
      </x:c>
      <x:c r="E1197" s="16" t="n">
        <x:f>ABS(C1197)</x:f>
        <x:v>0.0011310697851454458</x:v>
      </x:c>
      <x:c r="F1197" s="16" t="n">
        <x:f>C1197^2</x:f>
        <x:v>0.000001279318858868965</x:v>
      </x:c>
      <x:c r="G1197" s="1"/>
      <x:c r="H1197" s="1"/>
      <x:c r="I1197" s="1"/>
      <x:c r="J1197" s="1"/>
      <x:c r="K1197" s="1"/>
      <x:c r="L1197" s="1"/>
      <x:c r="M1197" s="1"/>
      <x:c r="N1197" s="1"/>
    </x:row>
    <x:row r="1198" ht="22" customHeight="1">
      <x:c r="A1198" s="1" t="n">
        <x:v>1182</x:v>
      </x:c>
      <x:c r="B1198" s="16" t="n">
        <x:v>0.3013789781364578</x:v>
      </x:c>
      <x:c r="C1198" s="16" t="n">
        <x:f>$B$12+$D$12*B1198</x:f>
        <x:v>0.004477346297261183</x:v>
      </x:c>
      <x:c r="D1198" s="12" t="n">
        <x:f>D1197*EXP(C1198)</x:f>
        <x:v>203.82044345694857</x:v>
      </x:c>
      <x:c r="E1198" s="16" t="n">
        <x:f>ABS(C1198)</x:f>
        <x:v>0.004477346297261183</x:v>
      </x:c>
      <x:c r="F1198" s="16" t="n">
        <x:f>C1198^2</x:f>
        <x:v>0.000020046629865598424</x:v>
      </x:c>
      <x:c r="G1198" s="1"/>
      <x:c r="H1198" s="1"/>
      <x:c r="I1198" s="1"/>
      <x:c r="J1198" s="1"/>
      <x:c r="K1198" s="1"/>
      <x:c r="L1198" s="1"/>
      <x:c r="M1198" s="1"/>
      <x:c r="N1198" s="1"/>
    </x:row>
    <x:row r="1199" ht="22" customHeight="1">
      <x:c r="A1199" s="1" t="n">
        <x:v>1183</x:v>
      </x:c>
      <x:c r="B1199" s="16" t="n">
        <x:v>-1.0667275795437885</x:v>
      </x:c>
      <x:c r="C1199" s="16" t="n">
        <x:f>$B$12+$D$12*B1199</x:f>
        <x:v>-0.013610836050363229</x:v>
      </x:c>
      <x:c r="D1199" s="12" t="n">
        <x:f>D1198*EXP(C1199)</x:f>
        <x:v>201.06507081702281</x:v>
      </x:c>
      <x:c r="E1199" s="16" t="n">
        <x:f>ABS(C1199)</x:f>
        <x:v>0.013610836050363229</x:v>
      </x:c>
      <x:c r="F1199" s="16" t="n">
        <x:f>C1199^2</x:f>
        <x:v>0.0001852548579898673</x:v>
      </x:c>
      <x:c r="G1199" s="1"/>
      <x:c r="H1199" s="1"/>
      <x:c r="I1199" s="1"/>
      <x:c r="J1199" s="1"/>
      <x:c r="K1199" s="1"/>
      <x:c r="L1199" s="1"/>
      <x:c r="M1199" s="1"/>
      <x:c r="N1199" s="1"/>
    </x:row>
    <x:row r="1200" ht="22" customHeight="1">
      <x:c r="A1200" s="1" t="n">
        <x:v>1184</x:v>
      </x:c>
      <x:c r="B1200" s="16" t="n">
        <x:v>-0.7928877840722243</x:v>
      </x:c>
      <x:c r="C1200" s="16" t="n">
        <x:f>$B$12+$D$12*B1200</x:f>
        <x:v>-0.009990310933573675</x:v>
      </x:c>
      <x:c r="D1200" s="12" t="n">
        <x:f>D1199*EXP(C1200)</x:f>
        <x:v>199.06636869308372</x:v>
      </x:c>
      <x:c r="E1200" s="16" t="n">
        <x:f>ABS(C1200)</x:f>
        <x:v>0.009990310933573675</x:v>
      </x:c>
      <x:c r="F1200" s="16" t="n">
        <x:f>C1200^2</x:f>
        <x:v>0.00009980631254948172</x:v>
      </x:c>
      <x:c r="G1200" s="1"/>
      <x:c r="H1200" s="1"/>
      <x:c r="I1200" s="1"/>
      <x:c r="J1200" s="1"/>
      <x:c r="K1200" s="1"/>
      <x:c r="L1200" s="1"/>
      <x:c r="M1200" s="1"/>
      <x:c r="N1200" s="1"/>
    </x:row>
    <x:row r="1201" ht="22" customHeight="1">
      <x:c r="A1201" s="1" t="n">
        <x:v>1185</x:v>
      </x:c>
      <x:c r="B1201" s="16" t="n">
        <x:v>-0.4700717772434766</x:v>
      </x:c>
      <x:c r="C1201" s="16" t="n">
        <x:f>$B$12+$D$12*B1201</x:f>
        <x:v>-0.005722255376445732</x:v>
      </x:c>
      <x:c r="D1201" s="12" t="n">
        <x:f>D1200*EXP(C1201)</x:f>
        <x:v>197.93051302205976</x:v>
      </x:c>
      <x:c r="E1201" s="16" t="n">
        <x:f>ABS(C1201)</x:f>
        <x:v>0.005722255376445732</x:v>
      </x:c>
      <x:c r="F1201" s="16" t="n">
        <x:f>C1201^2</x:f>
        <x:v>0.00003274420659326209</x:v>
      </x:c>
      <x:c r="G1201" s="1"/>
      <x:c r="H1201" s="1"/>
      <x:c r="I1201" s="1"/>
      <x:c r="J1201" s="1"/>
      <x:c r="K1201" s="1"/>
      <x:c r="L1201" s="1"/>
      <x:c r="M1201" s="1"/>
      <x:c r="N1201" s="1"/>
    </x:row>
    <x:row r="1202" ht="22" customHeight="1">
      <x:c r="A1202" s="1" t="n">
        <x:v>1186</x:v>
      </x:c>
      <x:c r="B1202" s="16" t="n">
        <x:v>-0.48349080365611835</x:v>
      </x:c>
      <x:c r="C1202" s="16" t="n">
        <x:f>$B$12+$D$12*B1202</x:f>
        <x:v>-0.005899672694794836</x:v>
      </x:c>
      <x:c r="D1202" s="12" t="n">
        <x:f>D1201*EXP(C1202)</x:f>
        <x:v>196.76622561326113</x:v>
      </x:c>
      <x:c r="E1202" s="16" t="n">
        <x:f>ABS(C1202)</x:f>
        <x:v>0.005899672694794836</x:v>
      </x:c>
      <x:c r="F1202" s="16" t="n">
        <x:f>C1202^2</x:f>
        <x:v>0.000034806137905707766</x:v>
      </x:c>
      <x:c r="G1202" s="1"/>
      <x:c r="H1202" s="1"/>
      <x:c r="I1202" s="1"/>
      <x:c r="J1202" s="1"/>
      <x:c r="K1202" s="1"/>
      <x:c r="L1202" s="1"/>
      <x:c r="M1202" s="1"/>
      <x:c r="N1202" s="1"/>
    </x:row>
    <x:row r="1203" ht="22" customHeight="1">
      <x:c r="A1203" s="1" t="n">
        <x:v>1187</x:v>
      </x:c>
      <x:c r="B1203" s="16" t="n">
        <x:v>1.301431050693361</x:v>
      </x:c>
      <x:c r="C1203" s="16" t="n">
        <x:f>$B$12+$D$12*B1203</x:f>
        <x:v>0.01769936043349981</x:v>
      </x:c>
      <x:c r="D1203" s="12" t="n">
        <x:f>D1202*EXP(C1203)</x:f>
        <x:v>200.27986481967588</x:v>
      </x:c>
      <x:c r="E1203" s="16" t="n">
        <x:f>ABS(C1203)</x:f>
        <x:v>0.01769936043349981</x:v>
      </x:c>
      <x:c r="F1203" s="16" t="n">
        <x:f>C1203^2</x:f>
        <x:v>0.00031326735975493856</x:v>
      </x:c>
      <x:c r="G1203" s="1"/>
      <x:c r="H1203" s="1"/>
      <x:c r="I1203" s="1"/>
      <x:c r="J1203" s="1"/>
      <x:c r="K1203" s="1"/>
      <x:c r="L1203" s="1"/>
      <x:c r="M1203" s="1"/>
      <x:c r="N1203" s="1"/>
    </x:row>
    <x:row r="1204" ht="22" customHeight="1">
      <x:c r="A1204" s="1" t="n">
        <x:v>1188</x:v>
      </x:c>
      <x:c r="B1204" s="16" t="n">
        <x:v>-0.6182043167616083</x:v>
      </x:c>
      <x:c r="C1204" s="16" t="n">
        <x:f>$B$12+$D$12*B1204</x:f>
        <x:v>-0.007680763923443637</x:v>
      </x:c>
      <x:c r="D1204" s="12" t="n">
        <x:f>D1203*EXP(C1204)</x:f>
        <x:v>198.74745503187546</x:v>
      </x:c>
      <x:c r="E1204" s="16" t="n">
        <x:f>ABS(C1204)</x:f>
        <x:v>0.007680763923443637</x:v>
      </x:c>
      <x:c r="F1204" s="16" t="n">
        <x:f>C1204^2</x:f>
        <x:v>0.00005899413444767329</x:v>
      </x:c>
      <x:c r="G1204" s="1"/>
      <x:c r="H1204" s="1"/>
      <x:c r="I1204" s="1"/>
      <x:c r="J1204" s="1"/>
      <x:c r="K1204" s="1"/>
      <x:c r="L1204" s="1"/>
      <x:c r="M1204" s="1"/>
      <x:c r="N1204" s="1"/>
    </x:row>
    <x:row r="1205" ht="22" customHeight="1">
      <x:c r="A1205" s="1" t="n">
        <x:v>1189</x:v>
      </x:c>
      <x:c r="B1205" s="16" t="n">
        <x:v>0.7753123959931092</x:v>
      </x:c>
      <x:c r="C1205" s="16" t="n">
        <x:f>$B$12+$D$12*B1205</x:f>
        <x:v>0.010743374359694876</x:v>
      </x:c>
      <x:c r="D1205" s="12" t="n">
        <x:f>D1204*EXP(C1205)</x:f>
        <x:v>200.89418425422775</x:v>
      </x:c>
      <x:c r="E1205" s="16" t="n">
        <x:f>ABS(C1205)</x:f>
        <x:v>0.010743374359694876</x:v>
      </x:c>
      <x:c r="F1205" s="16" t="n">
        <x:f>C1205^2</x:f>
        <x:v>0.0001154200926325493</x:v>
      </x:c>
      <x:c r="G1205" s="1"/>
      <x:c r="H1205" s="1"/>
      <x:c r="I1205" s="1"/>
      <x:c r="J1205" s="1"/>
      <x:c r="K1205" s="1"/>
      <x:c r="L1205" s="1"/>
      <x:c r="M1205" s="1"/>
      <x:c r="N1205" s="1"/>
    </x:row>
    <x:row r="1206" ht="22" customHeight="1">
      <x:c r="A1206" s="1" t="n">
        <x:v>1190</x:v>
      </x:c>
      <x:c r="B1206" s="16" t="n">
        <x:v>1.1687363222213247</x:v>
      </x:c>
      <x:c r="C1206" s="16" t="n">
        <x:f>$B$12+$D$12*B1206</x:f>
        <x:v>0.015944960213943465</x:v>
      </x:c>
      <x:c r="D1206" s="12" t="n">
        <x:f>D1205*EXP(C1206)</x:f>
        <x:v>204.12310815058774</x:v>
      </x:c>
      <x:c r="E1206" s="16" t="n">
        <x:f>ABS(C1206)</x:f>
        <x:v>0.015944960213943465</x:v>
      </x:c>
      <x:c r="F1206" s="16" t="n">
        <x:f>C1206^2</x:f>
        <x:v>0.00025424175622424</x:v>
      </x:c>
      <x:c r="G1206" s="1"/>
      <x:c r="H1206" s="1"/>
      <x:c r="I1206" s="1"/>
      <x:c r="J1206" s="1"/>
      <x:c r="K1206" s="1"/>
      <x:c r="L1206" s="1"/>
      <x:c r="M1206" s="1"/>
      <x:c r="N1206" s="1"/>
    </x:row>
    <x:row r="1207" ht="22" customHeight="1">
      <x:c r="A1207" s="1" t="n">
        <x:v>1191</x:v>
      </x:c>
      <x:c r="B1207" s="16" t="n">
        <x:v>-0.45331510399586544</x:v>
      </x:c>
      <x:c r="C1207" s="16" t="n">
        <x:f>$B$12+$D$12*B1207</x:f>
        <x:v>-0.005500709942326711</x:v>
      </x:c>
      <x:c r="D1207" s="12" t="n">
        <x:f>D1206*EXP(C1207)</x:f>
        <x:v>203.00336864464575</x:v>
      </x:c>
      <x:c r="E1207" s="16" t="n">
        <x:f>ABS(C1207)</x:f>
        <x:v>0.005500709942326711</x:v>
      </x:c>
      <x:c r="F1207" s="16" t="n">
        <x:f>C1207^2</x:f>
        <x:v>0.000030257809869611927</x:v>
      </x:c>
      <x:c r="G1207" s="1"/>
      <x:c r="H1207" s="1"/>
      <x:c r="I1207" s="1"/>
      <x:c r="J1207" s="1"/>
      <x:c r="K1207" s="1"/>
      <x:c r="L1207" s="1"/>
      <x:c r="M1207" s="1"/>
      <x:c r="N1207" s="1"/>
    </x:row>
    <x:row r="1208" ht="22" customHeight="1">
      <x:c r="A1208" s="1" t="n">
        <x:v>1192</x:v>
      </x:c>
      <x:c r="B1208" s="16" t="n">
        <x:v>-0.44119859556754404</x:v>
      </x:c>
      <x:c r="C1208" s="16" t="n">
        <x:f>$B$12+$D$12*B1208</x:f>
        <x:v>-0.005340513638436741</x:v>
      </x:c>
      <x:c r="D1208" s="12" t="n">
        <x:f>D1207*EXP(C1208)</x:f>
        <x:v>201.9221161773977</x:v>
      </x:c>
      <x:c r="E1208" s="16" t="n">
        <x:f>ABS(C1208)</x:f>
        <x:v>0.005340513638436741</x:v>
      </x:c>
      <x:c r="F1208" s="16" t="n">
        <x:f>C1208^2</x:f>
        <x:v>0.000028521085922328836</x:v>
      </x:c>
      <x:c r="G1208" s="1"/>
      <x:c r="H1208" s="1"/>
      <x:c r="I1208" s="1"/>
      <x:c r="J1208" s="1"/>
      <x:c r="K1208" s="1"/>
      <x:c r="L1208" s="1"/>
      <x:c r="M1208" s="1"/>
      <x:c r="N1208" s="1"/>
    </x:row>
    <x:row r="1209" ht="22" customHeight="1">
      <x:c r="A1209" s="1" t="n">
        <x:v>1193</x:v>
      </x:c>
      <x:c r="B1209" s="16" t="n">
        <x:v>-1.331630301673289</x:v>
      </x:c>
      <x:c r="C1209" s="16" t="n">
        <x:f>$B$12+$D$12*B1209</x:f>
        <x:v>-0.01711320120997851</x:v>
      </x:c>
      <x:c r="D1209" s="12" t="n">
        <x:f>D1208*EXP(C1209)</x:f>
        <x:v>198.4959820507183</x:v>
      </x:c>
      <x:c r="E1209" s="16" t="n">
        <x:f>ABS(C1209)</x:f>
        <x:v>0.01711320120997851</x:v>
      </x:c>
      <x:c r="F1209" s="16" t="n">
        <x:f>C1209^2</x:f>
        <x:v>0.0002928616556532099</x:v>
      </x:c>
      <x:c r="G1209" s="1"/>
      <x:c r="H1209" s="1"/>
      <x:c r="I1209" s="1"/>
      <x:c r="J1209" s="1"/>
      <x:c r="K1209" s="1"/>
      <x:c r="L1209" s="1"/>
      <x:c r="M1209" s="1"/>
      <x:c r="N1209" s="1"/>
    </x:row>
    <x:row r="1210" ht="22" customHeight="1">
      <x:c r="A1210" s="1" t="n">
        <x:v>1194</x:v>
      </x:c>
      <x:c r="B1210" s="16" t="n">
        <x:v>0.44533401706299147</x:v>
      </x:c>
      <x:c r="C1210" s="16" t="n">
        <x:f>$B$12+$D$12*B1210</x:f>
        <x:v>0.006380622748459285</x:v>
      </x:c>
      <x:c r="D1210" s="12" t="n">
        <x:f>D1209*EXP(C1210)</x:f>
        <x:v>199.76655925549844</x:v>
      </x:c>
      <x:c r="E1210" s="16" t="n">
        <x:f>ABS(C1210)</x:f>
        <x:v>0.006380622748459285</x:v>
      </x:c>
      <x:c r="F1210" s="16" t="n">
        <x:f>C1210^2</x:f>
        <x:v>0.00004071234665815612</x:v>
      </x:c>
      <x:c r="G1210" s="1"/>
      <x:c r="H1210" s="1"/>
      <x:c r="I1210" s="1"/>
      <x:c r="J1210" s="1"/>
      <x:c r="K1210" s="1"/>
      <x:c r="L1210" s="1"/>
      <x:c r="M1210" s="1"/>
      <x:c r="N1210" s="1"/>
    </x:row>
    <x:row r="1211" ht="22" customHeight="1">
      <x:c r="A1211" s="1" t="n">
        <x:v>1195</x:v>
      </x:c>
      <x:c r="B1211" s="16" t="n">
        <x:v>0.2166045503827187</x:v>
      </x:c>
      <x:c r="C1211" s="16" t="n">
        <x:f>$B$12+$D$12*B1211</x:f>
        <x:v>0.003356515979610199</x:v>
      </x:c>
      <x:c r="D1211" s="12" t="n">
        <x:f>D1210*EXP(C1211)</x:f>
        <x:v>200.43820546888028</x:v>
      </x:c>
      <x:c r="E1211" s="16" t="n">
        <x:f>ABS(C1211)</x:f>
        <x:v>0.003356515979610199</x:v>
      </x:c>
      <x:c r="F1211" s="16" t="n">
        <x:f>C1211^2</x:f>
        <x:v>0.000011266199521378613</x:v>
      </x:c>
      <x:c r="G1211" s="1"/>
      <x:c r="H1211" s="1"/>
      <x:c r="I1211" s="1"/>
      <x:c r="J1211" s="1"/>
      <x:c r="K1211" s="1"/>
      <x:c r="L1211" s="1"/>
      <x:c r="M1211" s="1"/>
      <x:c r="N1211" s="1"/>
    </x:row>
    <x:row r="1212" ht="22" customHeight="1">
      <x:c r="A1212" s="1" t="n">
        <x:v>1196</x:v>
      </x:c>
      <x:c r="B1212" s="16" t="n">
        <x:v>-0.4359615697231796</x:v>
      </x:c>
      <x:c r="C1212" s="16" t="n">
        <x:f>$B$12+$D$12*B1212</x:f>
        <x:v>-0.005271273214216637</x:v>
      </x:c>
      <x:c r="D1212" s="12" t="n">
        <x:f>D1211*EXP(C1212)</x:f>
        <x:v>199.38442075890973</x:v>
      </x:c>
      <x:c r="E1212" s="16" t="n">
        <x:f>ABS(C1212)</x:f>
        <x:v>0.005271273214216637</x:v>
      </x:c>
      <x:c r="F1212" s="16" t="n">
        <x:f>C1212^2</x:f>
        <x:v>0.0000277863212989178</x:v>
      </x:c>
      <x:c r="G1212" s="1"/>
      <x:c r="H1212" s="1"/>
      <x:c r="I1212" s="1"/>
      <x:c r="J1212" s="1"/>
      <x:c r="K1212" s="1"/>
      <x:c r="L1212" s="1"/>
      <x:c r="M1212" s="1"/>
      <x:c r="N1212" s="1"/>
    </x:row>
    <x:row r="1213" ht="22" customHeight="1">
      <x:c r="A1213" s="1" t="n">
        <x:v>1197</x:v>
      </x:c>
      <x:c r="B1213" s="16" t="n">
        <x:v>0.9798325880777717</x:v>
      </x:c>
      <x:c r="C1213" s="16" t="n">
        <x:f>$B$12+$D$12*B1213</x:f>
        <x:v>0.01344740242492923</x:v>
      </x:c>
      <x:c r="D1213" s="12" t="n">
        <x:f>D1212*EXP(C1213)</x:f>
        <x:v>202.08373198745616</x:v>
      </x:c>
      <x:c r="E1213" s="16" t="n">
        <x:f>ABS(C1213)</x:f>
        <x:v>0.01344740242492923</x:v>
      </x:c>
      <x:c r="F1213" s="16" t="n">
        <x:f>C1213^2</x:f>
        <x:v>0.00018083263197799253</x:v>
      </x:c>
      <x:c r="G1213" s="1"/>
      <x:c r="H1213" s="1"/>
      <x:c r="I1213" s="1"/>
      <x:c r="J1213" s="1"/>
      <x:c r="K1213" s="1"/>
      <x:c r="L1213" s="1"/>
      <x:c r="M1213" s="1"/>
      <x:c r="N1213" s="1"/>
    </x:row>
    <x:row r="1214" ht="22" customHeight="1">
      <x:c r="A1214" s="1" t="n">
        <x:v>1198</x:v>
      </x:c>
      <x:c r="B1214" s="16" t="n">
        <x:v>0.07884153012727069</x:v>
      </x:c>
      <x:c r="C1214" s="16" t="n">
        <x:f>$B$12+$D$12*B1214</x:f>
        <x:v>0.00153510622380489</x:v>
      </x:c>
      <x:c r="D1214" s="12" t="n">
        <x:f>D1213*EXP(C1214)</x:f>
        <x:v>202.39419021437044</x:v>
      </x:c>
      <x:c r="E1214" s="16" t="n">
        <x:f>ABS(C1214)</x:f>
        <x:v>0.00153510622380489</x:v>
      </x:c>
      <x:c r="F1214" s="16" t="n">
        <x:f>C1214^2</x:f>
        <x:v>0.000002356551118364509</x:v>
      </x:c>
      <x:c r="G1214" s="1"/>
      <x:c r="H1214" s="1"/>
      <x:c r="I1214" s="1"/>
      <x:c r="J1214" s="1"/>
      <x:c r="K1214" s="1"/>
      <x:c r="L1214" s="1"/>
      <x:c r="M1214" s="1"/>
      <x:c r="N1214" s="1"/>
    </x:row>
    <x:row r="1215" ht="22" customHeight="1">
      <x:c r="A1215" s="1" t="n">
        <x:v>1199</x:v>
      </x:c>
      <x:c r="B1215" s="16" t="n">
        <x:v>2.517302983964263</x:v>
      </x:c>
      <x:c r="C1215" s="16" t="n">
        <x:f>$B$12+$D$12*B1215</x:f>
        <x:v>0.033774799233861785</x:v>
      </x:c>
      <x:c r="D1215" s="12" t="n">
        <x:f>D1214*EXP(C1215)</x:f>
        <x:v>209.34676332655127</x:v>
      </x:c>
      <x:c r="E1215" s="16" t="n">
        <x:f>ABS(C1215)</x:f>
        <x:v>0.033774799233861785</x:v>
      </x:c>
      <x:c r="F1215" s="16" t="n">
        <x:f>C1215^2</x:f>
        <x:v>0.0011407370632876706</x:v>
      </x:c>
      <x:c r="G1215" s="1"/>
      <x:c r="H1215" s="1"/>
      <x:c r="I1215" s="1"/>
      <x:c r="J1215" s="1"/>
      <x:c r="K1215" s="1"/>
      <x:c r="L1215" s="1"/>
      <x:c r="M1215" s="1"/>
      <x:c r="N1215" s="1"/>
    </x:row>
    <x:row r="1216" ht="22" customHeight="1">
      <x:c r="A1216" s="1" t="n">
        <x:v>1200</x:v>
      </x:c>
      <x:c r="B1216" s="16" t="n">
        <x:v>0.6692515402137161</x:v>
      </x:c>
      <x:c r="C1216" s="16" t="n">
        <x:f>$B$12+$D$12*B1216</x:f>
        <x:v>0.009341109244808164</x:v>
      </x:c>
      <x:c r="D1216" s="12" t="n">
        <x:f>D1215*EXP(C1216)</x:f>
        <x:v>211.3114562323956</x:v>
      </x:c>
      <x:c r="E1216" s="16" t="n">
        <x:f>ABS(C1216)</x:f>
        <x:v>0.009341109244808164</x:v>
      </x:c>
      <x:c r="F1216" s="16" t="n">
        <x:f>C1216^2</x:f>
        <x:v>0.00008725632192344053</x:v>
      </x:c>
      <x:c r="G1216" s="1"/>
      <x:c r="H1216" s="1"/>
      <x:c r="I1216" s="1"/>
      <x:c r="J1216" s="1"/>
      <x:c r="K1216" s="1"/>
      <x:c r="L1216" s="1"/>
      <x:c r="M1216" s="1"/>
      <x:c r="N1216" s="1"/>
    </x:row>
    <x:row r="1217" ht="22" customHeight="1">
      <x:c r="A1217" s="1" t="n">
        <x:v>1201</x:v>
      </x:c>
      <x:c r="B1217" s="16" t="n">
        <x:v>1.2087250824020566</x:v>
      </x:c>
      <x:c r="C1217" s="16" t="n">
        <x:f>$B$12+$D$12*B1217</x:f>
        <x:v>0.016473664635352686</x:v>
      </x:c>
      <x:c r="D1217" s="12" t="n">
        <x:f>D1216*EXP(C1217)</x:f>
        <x:v>214.82136141983344</x:v>
      </x:c>
      <x:c r="E1217" s="16" t="n">
        <x:f>ABS(C1217)</x:f>
        <x:v>0.016473664635352686</x:v>
      </x:c>
      <x:c r="F1217" s="16" t="n">
        <x:f>C1217^2</x:f>
        <x:v>0.00027138162651806975</x:v>
      </x:c>
      <x:c r="G1217" s="1"/>
      <x:c r="H1217" s="1"/>
      <x:c r="I1217" s="1"/>
      <x:c r="J1217" s="1"/>
      <x:c r="K1217" s="1"/>
      <x:c r="L1217" s="1"/>
      <x:c r="M1217" s="1"/>
      <x:c r="N1217" s="1"/>
    </x:row>
    <x:row r="1218" ht="22" customHeight="1">
      <x:c r="A1218" s="1" t="n">
        <x:v>1202</x:v>
      </x:c>
      <x:c r="B1218" s="16" t="n">
        <x:v>-1.6559738006811238</x:v>
      </x:c>
      <x:c r="C1218" s="16" t="n">
        <x:f>$B$12+$D$12*B1218</x:f>
        <x:v>-0.02140145223866149</x:v>
      </x:c>
      <x:c r="D1218" s="12" t="n">
        <x:f>D1217*EXP(C1218)</x:f>
        <x:v>210.27271969642595</x:v>
      </x:c>
      <x:c r="E1218" s="16" t="n">
        <x:f>ABS(C1218)</x:f>
        <x:v>0.02140145223866149</x:v>
      </x:c>
      <x:c r="F1218" s="16" t="n">
        <x:f>C1218^2</x:f>
        <x:v>0.000458022157923709</x:v>
      </x:c>
      <x:c r="G1218" s="1"/>
      <x:c r="H1218" s="1"/>
      <x:c r="I1218" s="1"/>
      <x:c r="J1218" s="1"/>
      <x:c r="K1218" s="1"/>
      <x:c r="L1218" s="1"/>
      <x:c r="M1218" s="1"/>
      <x:c r="N1218" s="1"/>
    </x:row>
    <x:row r="1219" ht="22" customHeight="1">
      <x:c r="A1219" s="1" t="n">
        <x:v>1203</x:v>
      </x:c>
      <x:c r="B1219" s="16" t="n">
        <x:v>-0.29020971268902174</x:v>
      </x:c>
      <x:c r="C1219" s="16" t="n">
        <x:f>$B$12+$D$12*B1219</x:f>
        <x:v>-0.0033442404456514663</x:v>
      </x:c>
      <x:c r="D1219" s="12" t="n">
        <x:f>D1218*EXP(C1219)</x:f>
        <x:v>209.57069169210976</x:v>
      </x:c>
      <x:c r="E1219" s="16" t="n">
        <x:f>ABS(C1219)</x:f>
        <x:v>0.0033442404456514663</x:v>
      </x:c>
      <x:c r="F1219" s="16" t="n">
        <x:f>C1219^2</x:f>
        <x:v>0.000011183944158331119</x:v>
      </x:c>
      <x:c r="G1219" s="1"/>
      <x:c r="H1219" s="1"/>
      <x:c r="I1219" s="1"/>
      <x:c r="J1219" s="1"/>
      <x:c r="K1219" s="1"/>
      <x:c r="L1219" s="1"/>
      <x:c r="M1219" s="1"/>
      <x:c r="N1219" s="1"/>
    </x:row>
    <x:row r="1220" ht="22" customHeight="1">
      <x:c r="A1220" s="1" t="n">
        <x:v>1204</x:v>
      </x:c>
      <x:c r="B1220" s="16" t="n">
        <x:v>-1.0733702249965464</x:v>
      </x:c>
      <x:c r="C1220" s="16" t="n">
        <x:f>$B$12+$D$12*B1220</x:f>
        <x:v>-0.013698660629191237</x:v>
      </x:c>
      <x:c r="D1220" s="12" t="n">
        <x:f>D1219*EXP(C1220)</x:f>
        <x:v>206.71942774467016</x:v>
      </x:c>
      <x:c r="E1220" s="16" t="n">
        <x:f>ABS(C1220)</x:f>
        <x:v>0.013698660629191237</x:v>
      </x:c>
      <x:c r="F1220" s="16" t="n">
        <x:f>C1220^2</x:f>
        <x:v>0.00018765330303375407</x:v>
      </x:c>
      <x:c r="G1220" s="1"/>
      <x:c r="H1220" s="1"/>
      <x:c r="I1220" s="1"/>
      <x:c r="J1220" s="1"/>
      <x:c r="K1220" s="1"/>
      <x:c r="L1220" s="1"/>
      <x:c r="M1220" s="1"/>
      <x:c r="N1220" s="1"/>
    </x:row>
    <x:row r="1221" ht="22" customHeight="1">
      <x:c r="A1221" s="1" t="n">
        <x:v>1205</x:v>
      </x:c>
      <x:c r="B1221" s="16" t="n">
        <x:v>-0.6810504636176412</x:v>
      </x:c>
      <x:c r="C1221" s="16" t="n">
        <x:f>$B$12+$D$12*B1221</x:f>
        <x:v>-0.008511673298006546</x:v>
      </x:c>
      <x:c r="D1221" s="12" t="n">
        <x:f>D1220*EXP(C1221)</x:f>
        <x:v>204.96736657534194</x:v>
      </x:c>
      <x:c r="E1221" s="16" t="n">
        <x:f>ABS(C1221)</x:f>
        <x:v>0.008511673298006546</x:v>
      </x:c>
      <x:c r="F1221" s="16" t="n">
        <x:f>C1221^2</x:f>
        <x:v>0.00007244858233199763</x:v>
      </x:c>
      <x:c r="G1221" s="1"/>
      <x:c r="H1221" s="1"/>
      <x:c r="I1221" s="1"/>
      <x:c r="J1221" s="1"/>
      <x:c r="K1221" s="1"/>
      <x:c r="L1221" s="1"/>
      <x:c r="M1221" s="1"/>
      <x:c r="N1221" s="1"/>
    </x:row>
    <x:row r="1222" ht="22" customHeight="1">
      <x:c r="A1222" s="1" t="n">
        <x:v>1206</x:v>
      </x:c>
      <x:c r="B1222" s="16" t="n">
        <x:v>-0.7701062793492984</x:v>
      </x:c>
      <x:c r="C1222" s="16" t="n">
        <x:f>$B$12+$D$12*B1222</x:f>
        <x:v>-0.00968910924042467</x:v>
      </x:c>
      <x:c r="D1222" s="12" t="n">
        <x:f>D1221*EXP(C1222)</x:f>
        <x:v>202.9910054209495</x:v>
      </x:c>
      <x:c r="E1222" s="16" t="n">
        <x:f>ABS(C1222)</x:f>
        <x:v>0.00968910924042467</x:v>
      </x:c>
      <x:c r="F1222" s="16" t="n">
        <x:f>C1222^2</x:f>
        <x:v>0.00009387883787288271</x:v>
      </x:c>
      <x:c r="G1222" s="1"/>
      <x:c r="H1222" s="1"/>
      <x:c r="I1222" s="1"/>
      <x:c r="J1222" s="1"/>
      <x:c r="K1222" s="1"/>
      <x:c r="L1222" s="1"/>
      <x:c r="M1222" s="1"/>
      <x:c r="N1222" s="1"/>
    </x:row>
    <x:row r="1223" ht="22" customHeight="1">
      <x:c r="A1223" s="1" t="n">
        <x:v>1207</x:v>
      </x:c>
      <x:c r="B1223" s="16" t="n">
        <x:v>2.1953633107616133</x:v>
      </x:c>
      <x:c r="C1223" s="16" t="n">
        <x:f>$B$12+$D$12*B1223</x:f>
        <x:v>0.029518329968998308</x:v>
      </x:c>
      <x:c r="D1223" s="12" t="n">
        <x:f>D1222*EXP(C1223)</x:f>
        <x:v>209.07227378229862</x:v>
      </x:c>
      <x:c r="E1223" s="16" t="n">
        <x:f>ABS(C1223)</x:f>
        <x:v>0.029518329968998308</x:v>
      </x:c>
      <x:c r="F1223" s="16" t="n">
        <x:f>C1223^2</x:f>
        <x:v>0.0008713318041586636</x:v>
      </x:c>
      <x:c r="G1223" s="1"/>
      <x:c r="H1223" s="1"/>
      <x:c r="I1223" s="1"/>
      <x:c r="J1223" s="1"/>
      <x:c r="K1223" s="1"/>
      <x:c r="L1223" s="1"/>
      <x:c r="M1223" s="1"/>
      <x:c r="N1223" s="1"/>
    </x:row>
    <x:row r="1224" ht="22" customHeight="1">
      <x:c r="A1224" s="1" t="n">
        <x:v>1208</x:v>
      </x:c>
      <x:c r="B1224" s="16" t="n">
        <x:v>-0.7838412377091326</x:v>
      </x:c>
      <x:c r="C1224" s="16" t="n">
        <x:f>$B$12+$D$12*B1224</x:f>
        <x:v>-0.00987070359793653</x:v>
      </x:c>
      <x:c r="D1224" s="12" t="n">
        <x:f>D1223*EXP(C1224)</x:f>
        <x:v>207.01873494696423</x:v>
      </x:c>
      <x:c r="E1224" s="16" t="n">
        <x:f>ABS(C1224)</x:f>
        <x:v>0.00987070359793653</x:v>
      </x:c>
      <x:c r="F1224" s="16" t="n">
        <x:f>C1224^2</x:f>
        <x:v>0.00009743078951831716</x:v>
      </x:c>
      <x:c r="G1224" s="1"/>
      <x:c r="H1224" s="1"/>
      <x:c r="I1224" s="1"/>
      <x:c r="J1224" s="1"/>
      <x:c r="K1224" s="1"/>
      <x:c r="L1224" s="1"/>
      <x:c r="M1224" s="1"/>
      <x:c r="N1224" s="1"/>
    </x:row>
    <x:row r="1225" ht="22" customHeight="1">
      <x:c r="A1225" s="1" t="n">
        <x:v>1209</x:v>
      </x:c>
      <x:c r="B1225" s="16" t="n">
        <x:v>0.6587880367448424</x:v>
      </x:c>
      <x:c r="C1225" s="16" t="n">
        <x:f>$B$12+$D$12*B1225</x:f>
        <x:v>0.00920276785781788</x:v>
      </x:c>
      <x:c r="D1225" s="12" t="n">
        <x:f>D1224*EXP(C1225)</x:f>
        <x:v>208.93267356554867</x:v>
      </x:c>
      <x:c r="E1225" s="16" t="n">
        <x:f>ABS(C1225)</x:f>
        <x:v>0.00920276785781788</x:v>
      </x:c>
      <x:c r="F1225" s="16" t="n">
        <x:f>C1225^2</x:f>
        <x:v>0.00008469093624488589</x:v>
      </x:c>
      <x:c r="G1225" s="1"/>
      <x:c r="H1225" s="1"/>
      <x:c r="I1225" s="1"/>
      <x:c r="J1225" s="1"/>
      <x:c r="K1225" s="1"/>
      <x:c r="L1225" s="1"/>
      <x:c r="M1225" s="1"/>
      <x:c r="N1225" s="1"/>
    </x:row>
    <x:row r="1226" ht="22" customHeight="1">
      <x:c r="A1226" s="1" t="n">
        <x:v>1210</x:v>
      </x:c>
      <x:c r="B1226" s="16" t="n">
        <x:v>1.3070528833586592</x:v>
      </x:c>
      <x:c r="C1226" s="16" t="n">
        <x:f>$B$12+$D$12*B1226</x:f>
        <x:v>0.017773688514018747</x:v>
      </x:c>
      <x:c r="D1226" s="12" t="n">
        <x:f>D1225*EXP(C1226)</x:f>
        <x:v>212.67937555025904</x:v>
      </x:c>
      <x:c r="E1226" s="16" t="n">
        <x:f>ABS(C1226)</x:f>
        <x:v>0.017773688514018747</x:v>
      </x:c>
      <x:c r="F1226" s="16" t="n">
        <x:f>C1226^2</x:f>
        <x:v>0.0003159040033933619</x:v>
      </x:c>
      <x:c r="G1226" s="1"/>
      <x:c r="H1226" s="1"/>
      <x:c r="I1226" s="1"/>
      <x:c r="J1226" s="1"/>
      <x:c r="K1226" s="1"/>
      <x:c r="L1226" s="1"/>
      <x:c r="M1226" s="1"/>
      <x:c r="N1226" s="1"/>
    </x:row>
    <x:row r="1227" ht="22" customHeight="1">
      <x:c r="A1227" s="1" t="n">
        <x:v>1211</x:v>
      </x:c>
      <x:c r="B1227" s="16" t="n">
        <x:v>-0.17595732133734968</x:v>
      </x:c>
      <x:c r="C1227" s="16" t="n">
        <x:f>$B$12+$D$12*B1227</x:f>
        <x:v>-0.0018336723712426015</x:v>
      </x:c>
      <x:c r="D1227" s="12" t="n">
        <x:f>D1226*EXP(C1227)</x:f>
        <x:v>212.28974858864868</x:v>
      </x:c>
      <x:c r="E1227" s="16" t="n">
        <x:f>ABS(C1227)</x:f>
        <x:v>0.0018336723712426015</x:v>
      </x:c>
      <x:c r="F1227" s="16" t="n">
        <x:f>C1227^2</x:f>
        <x:v>0.000003362354365058465</x:v>
      </x:c>
      <x:c r="G1227" s="1"/>
      <x:c r="H1227" s="1"/>
      <x:c r="I1227" s="1"/>
      <x:c r="J1227" s="1"/>
      <x:c r="K1227" s="1"/>
      <x:c r="L1227" s="1"/>
      <x:c r="M1227" s="1"/>
      <x:c r="N1227" s="1"/>
    </x:row>
    <x:row r="1228" ht="22" customHeight="1">
      <x:c r="A1228" s="1" t="n">
        <x:v>1212</x:v>
      </x:c>
      <x:c r="B1228" s="16" t="n">
        <x:v>0.662229342755926</x:v>
      </x:c>
      <x:c r="C1228" s="16" t="n">
        <x:f>$B$12+$D$12*B1228</x:f>
        <x:v>0.009248266485313681</x:v>
      </x:c>
      <x:c r="D1228" s="12" t="n">
        <x:f>D1227*EXP(C1228)</x:f>
        <x:v>214.26216742473878</x:v>
      </x:c>
      <x:c r="E1228" s="16" t="n">
        <x:f>ABS(C1228)</x:f>
        <x:v>0.009248266485313681</x:v>
      </x:c>
      <x:c r="F1228" s="16" t="n">
        <x:f>C1228^2</x:f>
        <x:v>0.00008553043298337627</x:v>
      </x:c>
      <x:c r="G1228" s="1"/>
      <x:c r="H1228" s="1"/>
      <x:c r="I1228" s="1"/>
      <x:c r="J1228" s="1"/>
      <x:c r="K1228" s="1"/>
      <x:c r="L1228" s="1"/>
      <x:c r="M1228" s="1"/>
      <x:c r="N1228" s="1"/>
    </x:row>
    <x:row r="1229" ht="22" customHeight="1">
      <x:c r="A1229" s="1" t="n">
        <x:v>1213</x:v>
      </x:c>
      <x:c r="B1229" s="16" t="n">
        <x:v>-0.5199107379221558</x:v>
      </x:c>
      <x:c r="C1229" s="16" t="n">
        <x:f>$B$12+$D$12*B1229</x:f>
        <x:v>-0.006381192506533468</x:v>
      </x:c>
      <x:c r="D1229" s="12" t="n">
        <x:f>D1228*EXP(C1229)</x:f>
        <x:v>212.89927236013187</x:v>
      </x:c>
      <x:c r="E1229" s="16" t="n">
        <x:f>ABS(C1229)</x:f>
        <x:v>0.006381192506533468</x:v>
      </x:c>
      <x:c r="F1229" s="16" t="n">
        <x:f>C1229^2</x:f>
        <x:v>0.00004071961780543888</x:v>
      </x:c>
      <x:c r="G1229" s="1"/>
      <x:c r="H1229" s="1"/>
      <x:c r="I1229" s="1"/>
      <x:c r="J1229" s="1"/>
      <x:c r="K1229" s="1"/>
      <x:c r="L1229" s="1"/>
      <x:c r="M1229" s="1"/>
      <x:c r="N1229" s="1"/>
    </x:row>
    <x:row r="1230" ht="22" customHeight="1">
      <x:c r="A1230" s="1" t="n">
        <x:v>1214</x:v>
      </x:c>
      <x:c r="B1230" s="16" t="n">
        <x:v>-2.3499624958212597</x:v>
      </x:c>
      <x:c r="C1230" s="16" t="n">
        <x:f>$B$12+$D$12*B1230</x:f>
        <x:v>-0.030576902787023373</x:v>
      </x:c>
      <x:c r="D1230" s="12" t="n">
        <x:f>D1229*EXP(C1230)</x:f>
        <x:v>206.48799009269862</x:v>
      </x:c>
      <x:c r="E1230" s="16" t="n">
        <x:f>ABS(C1230)</x:f>
        <x:v>0.030576902787023373</x:v>
      </x:c>
      <x:c r="F1230" s="16" t="n">
        <x:f>C1230^2</x:f>
        <x:v>0.0009349469840470777</x:v>
      </x:c>
      <x:c r="G1230" s="1"/>
      <x:c r="H1230" s="1"/>
      <x:c r="I1230" s="1"/>
      <x:c r="J1230" s="1"/>
      <x:c r="K1230" s="1"/>
      <x:c r="L1230" s="1"/>
      <x:c r="M1230" s="1"/>
      <x:c r="N1230" s="1"/>
    </x:row>
    <x:row r="1231" ht="22" customHeight="1">
      <x:c r="A1231" s="1" t="n">
        <x:v>1215</x:v>
      </x:c>
      <x:c r="B1231" s="16" t="n">
        <x:v>2.028798555005183</x:v>
      </x:c>
      <x:c r="C1231" s="16" t="n">
        <x:f>$B$12+$D$12*B1231</x:f>
        <x:v>0.027316123088330757</x:v>
      </x:c>
      <x:c r="D1231" s="12" t="n">
        <x:f>D1230*EXP(C1231)</x:f>
        <x:v>212.20618535109227</x:v>
      </x:c>
      <x:c r="E1231" s="16" t="n">
        <x:f>ABS(C1231)</x:f>
        <x:v>0.027316123088330757</x:v>
      </x:c>
      <x:c r="F1231" s="16" t="n">
        <x:f>C1231^2</x:f>
        <x:v>0.0007461705805768367</x:v>
      </x:c>
      <x:c r="G1231" s="1"/>
      <x:c r="H1231" s="1"/>
      <x:c r="I1231" s="1"/>
      <x:c r="J1231" s="1"/>
      <x:c r="K1231" s="1"/>
      <x:c r="L1231" s="1"/>
      <x:c r="M1231" s="1"/>
      <x:c r="N1231" s="1"/>
    </x:row>
    <x:row r="1232" ht="22" customHeight="1">
      <x:c r="A1232" s="1" t="n">
        <x:v>1216</x:v>
      </x:c>
      <x:c r="B1232" s="16" t="n">
        <x:v>0.1391180543598142</x:v>
      </x:c>
      <x:c r="C1232" s="16" t="n">
        <x:f>$B$12+$D$12*B1232</x:f>
        <x:v>0.00233204178081877</x:v>
      </x:c>
      <x:c r="D1232" s="12" t="n">
        <x:f>D1231*EXP(C1232)</x:f>
        <x:v>212.70163652335702</x:v>
      </x:c>
      <x:c r="E1232" s="16" t="n">
        <x:f>ABS(C1232)</x:f>
        <x:v>0.00233204178081877</x:v>
      </x:c>
      <x:c r="F1232" s="16" t="n">
        <x:f>C1232^2</x:f>
        <x:v>0.0000054384188674843794</x:v>
      </x:c>
      <x:c r="G1232" s="1"/>
      <x:c r="H1232" s="1"/>
      <x:c r="I1232" s="1"/>
      <x:c r="J1232" s="1"/>
      <x:c r="K1232" s="1"/>
      <x:c r="L1232" s="1"/>
      <x:c r="M1232" s="1"/>
      <x:c r="N1232" s="1"/>
    </x:row>
    <x:row r="1233" ht="22" customHeight="1">
      <x:c r="A1233" s="1" t="n">
        <x:v>1217</x:v>
      </x:c>
      <x:c r="B1233" s="16" t="n">
        <x:v>2.1102441776346588</x:v>
      </x:c>
      <x:c r="C1233" s="16" t="n">
        <x:f>$B$12+$D$12*B1233</x:f>
        <x:v>0.028392942189348534</x:v>
      </x:c>
      <x:c r="D1233" s="12" t="n">
        <x:f>D1232*EXP(C1233)</x:f>
        <x:v>218.82741470176347</x:v>
      </x:c>
      <x:c r="E1233" s="16" t="n">
        <x:f>ABS(C1233)</x:f>
        <x:v>0.028392942189348534</x:v>
      </x:c>
      <x:c r="F1233" s="16" t="n">
        <x:f>C1233^2</x:f>
        <x:v>0.000806159166167688</x:v>
      </x:c>
      <x:c r="G1233" s="1"/>
      <x:c r="H1233" s="1"/>
      <x:c r="I1233" s="1"/>
      <x:c r="J1233" s="1"/>
      <x:c r="K1233" s="1"/>
      <x:c r="L1233" s="1"/>
      <x:c r="M1233" s="1"/>
      <x:c r="N1233" s="1"/>
    </x:row>
    <x:row r="1234" ht="22" customHeight="1">
      <x:c r="A1234" s="1" t="n">
        <x:v>1218</x:v>
      </x:c>
      <x:c r="B1234" s="16" t="n">
        <x:v>-0.25844385032972084</x:v>
      </x:c>
      <x:c r="C1234" s="16" t="n">
        <x:f>$B$12+$D$12*B1234</x:f>
        <x:v>-0.002924253634274113</x:v>
      </x:c>
      <x:c r="D1234" s="12" t="n">
        <x:f>D1233*EXP(C1234)</x:f>
        <x:v>218.18844255269224</x:v>
      </x:c>
      <x:c r="E1234" s="16" t="n">
        <x:f>ABS(C1234)</x:f>
        <x:v>0.002924253634274113</x:v>
      </x:c>
      <x:c r="F1234" s="16" t="n">
        <x:f>C1234^2</x:f>
        <x:v>0.00000855125931756536</x:v>
      </x:c>
      <x:c r="G1234" s="1"/>
      <x:c r="H1234" s="1"/>
      <x:c r="I1234" s="1"/>
      <x:c r="J1234" s="1"/>
      <x:c r="K1234" s="1"/>
      <x:c r="L1234" s="1"/>
      <x:c r="M1234" s="1"/>
      <x:c r="N1234" s="1"/>
    </x:row>
    <x:row r="1235" ht="22" customHeight="1">
      <x:c r="A1235" s="1" t="n">
        <x:v>1219</x:v>
      </x:c>
      <x:c r="B1235" s="16" t="n">
        <x:v>0.796513061912778</x:v>
      </x:c>
      <x:c r="C1235" s="16" t="n">
        <x:f>$B$12+$D$12*B1235</x:f>
        <x:v>0.011023675268197402</x:v>
      </x:c>
      <x:c r="D1235" s="12" t="n">
        <x:f>D1234*EXP(C1235)</x:f>
        <x:v>220.60698722417533</x:v>
      </x:c>
      <x:c r="E1235" s="16" t="n">
        <x:f>ABS(C1235)</x:f>
        <x:v>0.011023675268197402</x:v>
      </x:c>
      <x:c r="F1235" s="16" t="n">
        <x:f>C1235^2</x:f>
        <x:v>0.00012152141641866706</x:v>
      </x:c>
      <x:c r="G1235" s="1"/>
      <x:c r="H1235" s="1"/>
      <x:c r="I1235" s="1"/>
      <x:c r="J1235" s="1"/>
      <x:c r="K1235" s="1"/>
      <x:c r="L1235" s="1"/>
      <x:c r="M1235" s="1"/>
      <x:c r="N1235" s="1"/>
    </x:row>
    <x:row r="1236" ht="22" customHeight="1">
      <x:c r="A1236" s="1" t="n">
        <x:v>1220</x:v>
      </x:c>
      <x:c r="B1236" s="16" t="n">
        <x:v>-1.616561760353598</x:v>
      </x:c>
      <x:c r="C1236" s="16" t="n">
        <x:f>$B$12+$D$12*B1236</x:f>
        <x:v>-0.020880372818250708</x:v>
      </x:c>
      <x:c r="D1236" s="12" t="n">
        <x:f>D1235*EXP(C1236)</x:f>
        <x:v>216.0483893205447</x:v>
      </x:c>
      <x:c r="E1236" s="16" t="n">
        <x:f>ABS(C1236)</x:f>
        <x:v>0.020880372818250708</x:v>
      </x:c>
      <x:c r="F1236" s="16" t="n">
        <x:f>C1236^2</x:f>
        <x:v>0.000435989969029143</x:v>
      </x:c>
      <x:c r="G1236" s="1"/>
      <x:c r="H1236" s="1"/>
      <x:c r="I1236" s="1"/>
      <x:c r="J1236" s="1"/>
      <x:c r="K1236" s="1"/>
      <x:c r="L1236" s="1"/>
      <x:c r="M1236" s="1"/>
      <x:c r="N1236" s="1"/>
    </x:row>
    <x:row r="1237" ht="22" customHeight="1">
      <x:c r="A1237" s="1" t="n">
        <x:v>1221</x:v>
      </x:c>
      <x:c r="B1237" s="16" t="n">
        <x:v>0.591369326961005</x:v>
      </x:c>
      <x:c r="C1237" s="16" t="n">
        <x:f>$B$12+$D$12*B1237</x:f>
        <x:v>0.00831140313964902</x:v>
      </x:c>
      <x:c r="D1237" s="12" t="n">
        <x:f>D1236*EXP(C1237)</x:f>
        <x:v>217.8515375477535</x:v>
      </x:c>
      <x:c r="E1237" s="16" t="n">
        <x:f>ABS(C1237)</x:f>
        <x:v>0.00831140313964902</x:v>
      </x:c>
      <x:c r="F1237" s="16" t="n">
        <x:f>C1237^2</x:f>
        <x:v>0.00006907942214976758</x:v>
      </x:c>
      <x:c r="G1237" s="1"/>
      <x:c r="H1237" s="1"/>
      <x:c r="I1237" s="1"/>
      <x:c r="J1237" s="1"/>
      <x:c r="K1237" s="1"/>
      <x:c r="L1237" s="1"/>
      <x:c r="M1237" s="1"/>
      <x:c r="N1237" s="1"/>
    </x:row>
    <x:row r="1238" ht="22" customHeight="1">
      <x:c r="A1238" s="1" t="n">
        <x:v>1222</x:v>
      </x:c>
      <x:c r="B1238" s="16" t="n">
        <x:v>-0.4251016171888076</x:v>
      </x:c>
      <x:c r="C1238" s="16" t="n">
        <x:f>$B$12+$D$12*B1238</x:f>
        <x:v>-0.005127690245020624</x:v>
      </x:c>
      <x:c r="D1238" s="12" t="n">
        <x:f>D1237*EXP(C1238)</x:f>
        <x:v>216.73732146264084</x:v>
      </x:c>
      <x:c r="E1238" s="16" t="n">
        <x:f>ABS(C1238)</x:f>
        <x:v>0.005127690245020624</x:v>
      </x:c>
      <x:c r="F1238" s="16" t="n">
        <x:f>C1238^2</x:f>
        <x:v>0.00002629320724887967</x:v>
      </x:c>
      <x:c r="G1238" s="1"/>
      <x:c r="H1238" s="1"/>
      <x:c r="I1238" s="1"/>
      <x:c r="J1238" s="1"/>
      <x:c r="K1238" s="1"/>
      <x:c r="L1238" s="1"/>
      <x:c r="M1238" s="1"/>
      <x:c r="N1238" s="1"/>
    </x:row>
    <x:row r="1239" ht="22" customHeight="1">
      <x:c r="A1239" s="1" t="n">
        <x:v>1223</x:v>
      </x:c>
      <x:c r="B1239" s="16" t="n">
        <x:v>0.46102622691499234</x:v>
      </x:c>
      <x:c r="C1239" s="16" t="n">
        <x:f>$B$12+$D$12*B1239</x:f>
        <x:v>0.006588094565363272</x:v>
      </x:c>
      <x:c r="D1239" s="12" t="n">
        <x:f>D1238*EXP(C1239)</x:f>
        <x:v>218.16992130229997</x:v>
      </x:c>
      <x:c r="E1239" s="16" t="n">
        <x:f>ABS(C1239)</x:f>
        <x:v>0.006588094565363272</x:v>
      </x:c>
      <x:c r="F1239" s="16" t="n">
        <x:f>C1239^2</x:f>
        <x:v>0.00004340299000216908</x:v>
      </x:c>
      <x:c r="G1239" s="1"/>
      <x:c r="H1239" s="1"/>
      <x:c r="I1239" s="1"/>
      <x:c r="J1239" s="1"/>
      <x:c r="K1239" s="1"/>
      <x:c r="L1239" s="1"/>
      <x:c r="M1239" s="1"/>
      <x:c r="N1239" s="1"/>
    </x:row>
    <x:row r="1240" ht="22" customHeight="1">
      <x:c r="A1240" s="1" t="n">
        <x:v>1224</x:v>
      </x:c>
      <x:c r="B1240" s="16" t="n">
        <x:v>-0.04059504252194475</x:v>
      </x:c>
      <x:c r="C1240" s="16" t="n">
        <x:f>$B$12+$D$12*B1240</x:f>
        <x:v>-0.00004400359986077892</x:v>
      </x:c>
      <x:c r="D1240" s="12" t="n">
        <x:f>D1239*EXP(C1240)</x:f>
        <x:v>218.16032125160126</x:v>
      </x:c>
      <x:c r="E1240" s="16" t="n">
        <x:f>ABS(C1240)</x:f>
        <x:v>0.00004400359986077892</x:v>
      </x:c>
      <x:c r="F1240" s="16" t="n">
        <x:f>C1240^2</x:f>
        <x:v>1.9363168007075426e-9</x:v>
      </x:c>
      <x:c r="G1240" s="1"/>
      <x:c r="H1240" s="1"/>
      <x:c r="I1240" s="1"/>
      <x:c r="J1240" s="1"/>
      <x:c r="K1240" s="1"/>
      <x:c r="L1240" s="1"/>
      <x:c r="M1240" s="1"/>
      <x:c r="N1240" s="1"/>
    </x:row>
    <x:row r="1241" ht="22" customHeight="1">
      <x:c r="A1241" s="1" t="n">
        <x:v>1225</x:v>
      </x:c>
      <x:c r="B1241" s="16" t="n">
        <x:v>0.24167931009595137</x:v>
      </x:c>
      <x:c r="C1241" s="16" t="n">
        <x:f>$B$12+$D$12*B1241</x:f>
        <x:v>0.0036880375438258306</x:v>
      </x:c>
      <x:c r="D1241" s="12" t="n">
        <x:f>D1240*EXP(C1241)</x:f>
        <x:v>218.96639019956828</x:v>
      </x:c>
      <x:c r="E1241" s="16" t="n">
        <x:f>ABS(C1241)</x:f>
        <x:v>0.0036880375438258306</x:v>
      </x:c>
      <x:c r="F1241" s="16" t="n">
        <x:f>C1241^2</x:f>
        <x:v>0.000013601620924668865</x:v>
      </x:c>
      <x:c r="G1241" s="1"/>
      <x:c r="H1241" s="1"/>
      <x:c r="I1241" s="1"/>
      <x:c r="J1241" s="1"/>
      <x:c r="K1241" s="1"/>
      <x:c r="L1241" s="1"/>
      <x:c r="M1241" s="1"/>
      <x:c r="N1241" s="1"/>
    </x:row>
    <x:row r="1242" ht="22" customHeight="1">
      <x:c r="A1242" s="1" t="n">
        <x:v>1226</x:v>
      </x:c>
      <x:c r="B1242" s="16" t="n">
        <x:v>0.4633565215624204</x:v>
      </x:c>
      <x:c r="C1242" s="16" t="n">
        <x:f>$B$12+$D$12*B1242</x:f>
        <x:v>0.006618904149799328</x:v>
      </x:c>
      <x:c r="D1242" s="12" t="n">
        <x:f>D1241*EXP(C1242)</x:f>
        <x:v>220.42051479523747</x:v>
      </x:c>
      <x:c r="E1242" s="16" t="n">
        <x:f>ABS(C1242)</x:f>
        <x:v>0.006618904149799328</x:v>
      </x:c>
      <x:c r="F1242" s="16" t="n">
        <x:f>C1242^2</x:f>
        <x:v>0.00004380989214423077</x:v>
      </x:c>
      <x:c r="G1242" s="1"/>
      <x:c r="H1242" s="1"/>
      <x:c r="I1242" s="1"/>
      <x:c r="J1242" s="1"/>
      <x:c r="K1242" s="1"/>
      <x:c r="L1242" s="1"/>
      <x:c r="M1242" s="1"/>
      <x:c r="N1242" s="1"/>
    </x:row>
    <x:row r="1243" ht="22" customHeight="1">
      <x:c r="A1243" s="1" t="n">
        <x:v>1227</x:v>
      </x:c>
      <x:c r="B1243" s="16" t="n">
        <x:v>0.35338585099797165</x:v>
      </x:c>
      <x:c r="C1243" s="16" t="n">
        <x:f>$B$12+$D$12*B1243</x:f>
        <x:v>0.005164946100337811</x:v>
      </x:c>
      <x:c r="D1243" s="12" t="n">
        <x:f>D1242*EXP(C1243)</x:f>
        <x:v>221.56191998429748</x:v>
      </x:c>
      <x:c r="E1243" s="16" t="n">
        <x:f>ABS(C1243)</x:f>
        <x:v>0.005164946100337811</x:v>
      </x:c>
      <x:c r="F1243" s="16" t="n">
        <x:f>C1243^2</x:f>
        <x:v>0.00002667666821939476</x:v>
      </x:c>
      <x:c r="G1243" s="1"/>
      <x:c r="H1243" s="1"/>
      <x:c r="I1243" s="1"/>
      <x:c r="J1243" s="1"/>
      <x:c r="K1243" s="1"/>
      <x:c r="L1243" s="1"/>
      <x:c r="M1243" s="1"/>
      <x:c r="N1243" s="1"/>
    </x:row>
    <x:row r="1244" ht="22" customHeight="1">
      <x:c r="A1244" s="1" t="n">
        <x:v>1228</x:v>
      </x:c>
      <x:c r="B1244" s="16" t="n">
        <x:v>0.2538971358802609</x:v>
      </x:c>
      <x:c r="C1244" s="16" t="n">
        <x:f>$B$12+$D$12*B1244</x:f>
        <x:v>0.003849573397475141</x:v>
      </x:c>
      <x:c r="D1244" s="12" t="n">
        <x:f>D1243*EXP(C1244)</x:f>
        <x:v>222.41648265289152</x:v>
      </x:c>
      <x:c r="E1244" s="16" t="n">
        <x:f>ABS(C1244)</x:f>
        <x:v>0.003849573397475141</x:v>
      </x:c>
      <x:c r="F1244" s="16" t="n">
        <x:f>C1244^2</x:f>
        <x:v>0.0000148192153425483</x:v>
      </x:c>
      <x:c r="G1244" s="1"/>
      <x:c r="H1244" s="1"/>
      <x:c r="I1244" s="1"/>
      <x:c r="J1244" s="1"/>
      <x:c r="K1244" s="1"/>
      <x:c r="L1244" s="1"/>
      <x:c r="M1244" s="1"/>
      <x:c r="N1244" s="1"/>
    </x:row>
    <x:row r="1245" ht="22" customHeight="1">
      <x:c r="A1245" s="1" t="n">
        <x:v>1229</x:v>
      </x:c>
      <x:c r="B1245" s="16" t="n">
        <x:v>0.9654832622801339</x:v>
      </x:c>
      <x:c r="C1245" s="16" t="n">
        <x:f>$B$12+$D$12*B1245</x:f>
        <x:v>0.013257685315442348</x:v>
      </x:c>
      <x:c r="D1245" s="12" t="n">
        <x:f>D1244*EXP(C1245)</x:f>
        <x:v>225.38484370925892</x:v>
      </x:c>
      <x:c r="E1245" s="16" t="n">
        <x:f>ABS(C1245)</x:f>
        <x:v>0.013257685315442348</x:v>
      </x:c>
      <x:c r="F1245" s="16" t="n">
        <x:f>C1245^2</x:f>
        <x:v>0.00017576621992329566</x:v>
      </x:c>
      <x:c r="G1245" s="1"/>
      <x:c r="H1245" s="1"/>
      <x:c r="I1245" s="1"/>
      <x:c r="J1245" s="1"/>
      <x:c r="K1245" s="1"/>
      <x:c r="L1245" s="1"/>
      <x:c r="M1245" s="1"/>
      <x:c r="N1245" s="1"/>
    </x:row>
    <x:row r="1246" ht="22" customHeight="1">
      <x:c r="A1246" s="1" t="n">
        <x:v>1230</x:v>
      </x:c>
      <x:c r="B1246" s="16" t="n">
        <x:v>-0.35330132634989253</x:v>
      </x:c>
      <x:c r="C1246" s="16" t="n">
        <x:f>$B$12+$D$12*B1246</x:f>
        <x:v>-0.0041783952167818205</x:v>
      </x:c>
      <x:c r="D1246" s="12" t="n">
        <x:f>D1245*EXP(C1246)</x:f>
        <x:v>224.44506151438628</x:v>
      </x:c>
      <x:c r="E1246" s="16" t="n">
        <x:f>ABS(C1246)</x:f>
        <x:v>0.0041783952167818205</x:v>
      </x:c>
      <x:c r="F1246" s="16" t="n">
        <x:f>C1246^2</x:f>
        <x:v>0.000017458986587625196</x:v>
      </x:c>
      <x:c r="G1246" s="1"/>
      <x:c r="H1246" s="1"/>
      <x:c r="I1246" s="1"/>
      <x:c r="J1246" s="1"/>
      <x:c r="K1246" s="1"/>
      <x:c r="L1246" s="1"/>
      <x:c r="M1246" s="1"/>
      <x:c r="N1246" s="1"/>
    </x:row>
    <x:row r="1247" ht="22" customHeight="1">
      <x:c r="A1247" s="1" t="n">
        <x:v>1231</x:v>
      </x:c>
      <x:c r="B1247" s="16" t="n">
        <x:v>0.8600000510320489</x:v>
      </x:c>
      <x:c r="C1247" s="16" t="n">
        <x:f>$B$12+$D$12*B1247</x:f>
        <x:v>0.0118630574270244</x:v>
      </x:c>
      <x:c r="D1247" s="12" t="n">
        <x:f>D1246*EXP(C1247)</x:f>
        <x:v>227.12352212229843</x:v>
      </x:c>
      <x:c r="E1247" s="16" t="n">
        <x:f>ABS(C1247)</x:f>
        <x:v>0.0118630574270244</x:v>
      </x:c>
      <x:c r="F1247" s="16" t="n">
        <x:f>C1247^2</x:f>
        <x:v>0.0001407321315168788</x:v>
      </x:c>
      <x:c r="G1247" s="1"/>
      <x:c r="H1247" s="1"/>
      <x:c r="I1247" s="1"/>
      <x:c r="J1247" s="1"/>
      <x:c r="K1247" s="1"/>
      <x:c r="L1247" s="1"/>
      <x:c r="M1247" s="1"/>
      <x:c r="N1247" s="1"/>
    </x:row>
    <x:row r="1248" ht="22" customHeight="1">
      <x:c r="A1248" s="1" t="n">
        <x:v>1232</x:v>
      </x:c>
      <x:c r="B1248" s="16" t="n">
        <x:v>2.9559370856156257</x:v>
      </x:c>
      <x:c r="C1248" s="16" t="n">
        <x:f>$B$12+$D$12*B1248</x:f>
        <x:v>0.039574123540887456</x:v>
      </x:c>
      <x:c r="D1248" s="12" t="n">
        <x:f>D1247*EXP(C1248)</x:f>
        <x:v>236.29195628448434</x:v>
      </x:c>
      <x:c r="E1248" s="16" t="n">
        <x:f>ABS(C1248)</x:f>
        <x:v>0.039574123540887456</x:v>
      </x:c>
      <x:c r="F1248" s="16" t="n">
        <x:f>C1248^2</x:f>
        <x:v>0.0015661112540294227</x:v>
      </x:c>
      <x:c r="G1248" s="1"/>
      <x:c r="H1248" s="1"/>
      <x:c r="I1248" s="1"/>
      <x:c r="J1248" s="1"/>
      <x:c r="K1248" s="1"/>
      <x:c r="L1248" s="1"/>
      <x:c r="M1248" s="1"/>
      <x:c r="N1248" s="1"/>
    </x:row>
    <x:row r="1249" ht="22" customHeight="1">
      <x:c r="A1249" s="1" t="n">
        <x:v>1233</x:v>
      </x:c>
      <x:c r="B1249" s="16" t="n">
        <x:v>-1.570311253601444</x:v>
      </x:c>
      <x:c r="C1249" s="16" t="n">
        <x:f>$B$12+$D$12*B1249</x:f>
        <x:v>-0.020268879806170197</x:v>
      </x:c>
      <x:c r="D1249" s="12" t="n">
        <x:f>D1248*EXP(C1249)</x:f>
        <x:v>231.55079435951455</x:v>
      </x:c>
      <x:c r="E1249" s="16" t="n">
        <x:f>ABS(C1249)</x:f>
        <x:v>0.020268879806170197</x:v>
      </x:c>
      <x:c r="F1249" s="16" t="n">
        <x:f>C1249^2</x:f>
        <x:v>0.00041082748859697397</x:v>
      </x:c>
      <x:c r="G1249" s="1"/>
      <x:c r="H1249" s="1"/>
      <x:c r="I1249" s="1"/>
      <x:c r="J1249" s="1"/>
      <x:c r="K1249" s="1"/>
      <x:c r="L1249" s="1"/>
      <x:c r="M1249" s="1"/>
      <x:c r="N1249" s="1"/>
    </x:row>
    <x:row r="1250" ht="22" customHeight="1">
      <x:c r="A1250" s="1" t="n">
        <x:v>1234</x:v>
      </x:c>
      <x:c r="B1250" s="16" t="n">
        <x:v>-2.133652549899483</x:v>
      </x:c>
      <x:c r="C1250" s="16" t="n">
        <x:f>$B$12+$D$12*B1250</x:f>
        <x:v>-0.02771699854676292</x:v>
      </x:c>
      <x:c r="D1250" s="12" t="n">
        <x:f>D1249*EXP(C1250)</x:f>
        <x:v>225.22102761879006</x:v>
      </x:c>
      <x:c r="E1250" s="16" t="n">
        <x:f>ABS(C1250)</x:f>
        <x:v>0.02771699854676292</x:v>
      </x:c>
      <x:c r="F1250" s="16" t="n">
        <x:f>C1250^2</x:f>
        <x:v>0.0007682320084412578</x:v>
      </x:c>
      <x:c r="G1250" s="1"/>
      <x:c r="H1250" s="1"/>
      <x:c r="I1250" s="1"/>
      <x:c r="J1250" s="1"/>
      <x:c r="K1250" s="1"/>
      <x:c r="L1250" s="1"/>
      <x:c r="M1250" s="1"/>
      <x:c r="N1250" s="1"/>
    </x:row>
    <x:row r="1251" ht="22" customHeight="1">
      <x:c r="A1251" s="1" t="n">
        <x:v>1235</x:v>
      </x:c>
      <x:c r="B1251" s="16" t="n">
        <x:v>-0.19310387363066886</x:v>
      </x:c>
      <x:c r="C1251" s="16" t="n">
        <x:f>$B$12+$D$12*B1251</x:f>
        <x:v>-0.00206037252319606</x:v>
      </x:c>
      <x:c r="D1251" s="12" t="n">
        <x:f>D1250*EXP(C1251)</x:f>
        <x:v>224.75746612051535</x:v>
      </x:c>
      <x:c r="E1251" s="16" t="n">
        <x:f>ABS(C1251)</x:f>
        <x:v>0.00206037252319606</x:v>
      </x:c>
      <x:c r="F1251" s="16" t="n">
        <x:f>C1251^2</x:f>
        <x:v>0.000004245134934341298</x:v>
      </x:c>
      <x:c r="G1251" s="1"/>
      <x:c r="H1251" s="1"/>
      <x:c r="I1251" s="1"/>
      <x:c r="J1251" s="1"/>
      <x:c r="K1251" s="1"/>
      <x:c r="L1251" s="1"/>
      <x:c r="M1251" s="1"/>
      <x:c r="N1251" s="1"/>
    </x:row>
    <x:row r="1252" ht="22" customHeight="1">
      <x:c r="A1252" s="1" t="n">
        <x:v>1236</x:v>
      </x:c>
      <x:c r="B1252" s="16" t="n">
        <x:v>2.4147664774981434</x:v>
      </x:c>
      <x:c r="C1252" s="16" t="n">
        <x:f>$B$12+$D$12*B1252</x:f>
        <x:v>0.03241913068901368</x:v>
      </x:c>
      <x:c r="D1252" s="12" t="n">
        <x:f>D1251*EXP(C1252)</x:f>
        <x:v>232.16330459399515</x:v>
      </x:c>
      <x:c r="E1252" s="16" t="n">
        <x:f>ABS(C1252)</x:f>
        <x:v>0.03241913068901368</x:v>
      </x:c>
      <x:c r="F1252" s="16" t="n">
        <x:f>C1252^2</x:f>
        <x:v>0.0010510000346313484</x:v>
      </x:c>
      <x:c r="G1252" s="1"/>
      <x:c r="H1252" s="1"/>
      <x:c r="I1252" s="1"/>
      <x:c r="J1252" s="1"/>
      <x:c r="K1252" s="1"/>
      <x:c r="L1252" s="1"/>
      <x:c r="M1252" s="1"/>
      <x:c r="N1252" s="1"/>
    </x:row>
    <x:row r="1253" ht="22" customHeight="1">
      <x:c r="A1253" s="1" t="n">
        <x:v>1237</x:v>
      </x:c>
      <x:c r="B1253" s="16" t="n">
        <x:v>0.7838034682880435</x:v>
      </x:c>
      <x:c r="C1253" s="16" t="n">
        <x:f>$B$12+$D$12*B1253</x:f>
        <x:v>0.01085563759177678</x:v>
      </x:c>
      <x:c r="D1253" s="12" t="n">
        <x:f>D1252*EXP(C1253)</x:f>
        <x:v>234.69731455270292</x:v>
      </x:c>
      <x:c r="E1253" s="16" t="n">
        <x:f>ABS(C1253)</x:f>
        <x:v>0.01085563759177678</x:v>
      </x:c>
      <x:c r="F1253" s="16" t="n">
        <x:f>C1253^2</x:f>
        <x:v>0.00011784486752399717</x:v>
      </x:c>
      <x:c r="G1253" s="1"/>
      <x:c r="H1253" s="1"/>
      <x:c r="I1253" s="1"/>
      <x:c r="J1253" s="1"/>
      <x:c r="K1253" s="1"/>
      <x:c r="L1253" s="1"/>
      <x:c r="M1253" s="1"/>
      <x:c r="N1253" s="1"/>
    </x:row>
    <x:row r="1254" ht="22" customHeight="1">
      <x:c r="A1254" s="1" t="n">
        <x:v>1238</x:v>
      </x:c>
      <x:c r="B1254" s="16" t="n">
        <x:v>0.6473439061643109</x:v>
      </x:c>
      <x:c r="C1254" s="16" t="n">
        <x:f>$B$12+$D$12*B1254</x:f>
        <x:v>0.009051461280425492</x:v>
      </x:c>
      <x:c r="D1254" s="12" t="n">
        <x:f>D1253*EXP(C1254)</x:f>
        <x:v>236.8313115338623</x:v>
      </x:c>
      <x:c r="E1254" s="16" t="n">
        <x:f>ABS(C1254)</x:f>
        <x:v>0.009051461280425492</x:v>
      </x:c>
      <x:c r="F1254" s="16" t="n">
        <x:f>C1254^2</x:f>
        <x:v>0.00008192895131104188</x:v>
      </x:c>
      <x:c r="G1254" s="1"/>
      <x:c r="H1254" s="1"/>
      <x:c r="I1254" s="1"/>
      <x:c r="J1254" s="1"/>
      <x:c r="K1254" s="1"/>
      <x:c r="L1254" s="1"/>
      <x:c r="M1254" s="1"/>
      <x:c r="N1254" s="1"/>
    </x:row>
    <x:row r="1255" ht="22" customHeight="1">
      <x:c r="A1255" s="1" t="n">
        <x:v>1239</x:v>
      </x:c>
      <x:c r="B1255" s="16" t="n">
        <x:v>-0.08933674320236332</x:v>
      </x:c>
      <x:c r="C1255" s="16" t="n">
        <x:f>$B$12+$D$12*B1255</x:f>
        <x:v>-0.0006884334981690352</x:v>
      </x:c>
      <x:c r="D1255" s="12" t="n">
        <x:f>D1254*EXP(C1255)</x:f>
        <x:v>236.66832503470712</x:v>
      </x:c>
      <x:c r="E1255" s="16" t="n">
        <x:f>ABS(C1255)</x:f>
        <x:v>0.0006884334981690352</x:v>
      </x:c>
      <x:c r="F1255" s="16" t="n">
        <x:f>C1255^2</x:f>
        <x:v>4.73940681401255e-7</x:v>
      </x:c>
      <x:c r="G1255" s="1"/>
      <x:c r="H1255" s="1"/>
      <x:c r="I1255" s="1"/>
      <x:c r="J1255" s="1"/>
      <x:c r="K1255" s="1"/>
      <x:c r="L1255" s="1"/>
      <x:c r="M1255" s="1"/>
      <x:c r="N1255" s="1"/>
    </x:row>
    <x:row r="1256" ht="22" customHeight="1">
      <x:c r="A1256" s="1" t="n">
        <x:v>1240</x:v>
      </x:c>
      <x:c r="B1256" s="16" t="n">
        <x:v>0.18154966983447768</x:v>
      </x:c>
      <x:c r="C1256" s="16" t="n">
        <x:f>$B$12+$D$12*B1256</x:f>
        <x:v>0.002893043987628875</x:v>
      </x:c>
      <x:c r="D1256" s="12" t="n">
        <x:f>D1255*EXP(C1256)</x:f>
        <x:v>237.3540082871694</x:v>
      </x:c>
      <x:c r="E1256" s="16" t="n">
        <x:f>ABS(C1256)</x:f>
        <x:v>0.002893043987628875</x:v>
      </x:c>
      <x:c r="F1256" s="16" t="n">
        <x:f>C1256^2</x:f>
        <x:v>0.000008369703514355582</x:v>
      </x:c>
      <x:c r="G1256" s="1"/>
      <x:c r="H1256" s="1"/>
      <x:c r="I1256" s="1"/>
      <x:c r="J1256" s="1"/>
      <x:c r="K1256" s="1"/>
      <x:c r="L1256" s="1"/>
      <x:c r="M1256" s="1"/>
      <x:c r="N1256" s="1"/>
    </x:row>
    <x:row r="1257" ht="22" customHeight="1">
      <x:c r="A1257" s="1" t="n">
        <x:v>1241</x:v>
      </x:c>
      <x:c r="B1257" s="16" t="n">
        <x:v>1.428516060002394</x:v>
      </x:c>
      <x:c r="C1257" s="16" t="n">
        <x:f>$B$12+$D$12*B1257</x:f>
        <x:v>0.019379592729096038</x:v>
      </x:c>
      <x:c r="D1257" s="12" t="n">
        <x:f>D1256*EXP(C1257)</x:f>
        <x:v>241.99869298370714</x:v>
      </x:c>
      <x:c r="E1257" s="16" t="n">
        <x:f>ABS(C1257)</x:f>
        <x:v>0.019379592729096038</x:v>
      </x:c>
      <x:c r="F1257" s="16" t="n">
        <x:f>C1257^2</x:f>
        <x:v>0.00037556861434563204</x:v>
      </x:c>
      <x:c r="G1257" s="1"/>
      <x:c r="H1257" s="1"/>
      <x:c r="I1257" s="1"/>
      <x:c r="J1257" s="1"/>
      <x:c r="K1257" s="1"/>
      <x:c r="L1257" s="1"/>
      <x:c r="M1257" s="1"/>
      <x:c r="N1257" s="1"/>
    </x:row>
    <x:row r="1258" ht="22" customHeight="1">
      <x:c r="A1258" s="1" t="n">
        <x:v>1242</x:v>
      </x:c>
      <x:c r="B1258" s="16" t="n">
        <x:v>1.243046940678383</x:v>
      </x:c>
      <x:c r="C1258" s="16" t="n">
        <x:f>$B$12+$D$12*B1258</x:f>
        <x:v>0.016927445101155125</x:v>
      </x:c>
      <x:c r="D1258" s="12" t="n">
        <x:f>D1257*EXP(C1258)</x:f>
        <x:v>246.12997999354263</x:v>
      </x:c>
      <x:c r="E1258" s="16" t="n">
        <x:f>ABS(C1258)</x:f>
        <x:v>0.016927445101155125</x:v>
      </x:c>
      <x:c r="F1258" s="16" t="n">
        <x:f>C1258^2</x:f>
        <x:v>0.00028653839765262066</x:v>
      </x:c>
      <x:c r="G1258" s="1"/>
      <x:c r="H1258" s="1"/>
      <x:c r="I1258" s="1"/>
      <x:c r="J1258" s="1"/>
      <x:c r="K1258" s="1"/>
      <x:c r="L1258" s="1"/>
      <x:c r="M1258" s="1"/>
      <x:c r="N1258" s="1"/>
    </x:row>
    <x:row r="1259" ht="22" customHeight="1">
      <x:c r="A1259" s="1" t="n">
        <x:v>1243</x:v>
      </x:c>
      <x:c r="B1259" s="16" t="n">
        <x:v>-0.6837624874050012</x:v>
      </x:c>
      <x:c r="C1259" s="16" t="n">
        <x:f>$B$12+$D$12*B1259</x:f>
        <x:v>-0.00854752984771861</x:v>
      </x:c>
      <x:c r="D1259" s="12" t="n">
        <x:f>D1258*EXP(C1259)</x:f>
        <x:v>244.0351422413375</x:v>
      </x:c>
      <x:c r="E1259" s="16" t="n">
        <x:f>ABS(C1259)</x:f>
        <x:v>0.00854752984771861</x:v>
      </x:c>
      <x:c r="F1259" s="16" t="n">
        <x:f>C1259^2</x:f>
        <x:v>0.00007306026649764053</x:v>
      </x:c>
      <x:c r="G1259" s="1"/>
      <x:c r="H1259" s="1"/>
      <x:c r="I1259" s="1"/>
      <x:c r="J1259" s="1"/>
      <x:c r="K1259" s="1"/>
      <x:c r="L1259" s="1"/>
      <x:c r="M1259" s="1"/>
      <x:c r="N1259" s="1"/>
    </x:row>
    <x:row r="1260" ht="22" customHeight="1">
      <x:c r="A1260" s="1" t="n">
        <x:v>1244</x:v>
      </x:c>
      <x:c r="B1260" s="16" t="n">
        <x:v>-1.2545706483726435</x:v>
      </x:c>
      <x:c r="C1260" s="16" t="n">
        <x:f>$B$12+$D$12*B1260</x:f>
        <x:v>-0.016094370437827084</x:v>
      </x:c>
      <x:c r="D1260" s="12" t="n">
        <x:f>D1259*EXP(C1260)</x:f>
        <x:v>240.1389874425474</x:v>
      </x:c>
      <x:c r="E1260" s="16" t="n">
        <x:f>ABS(C1260)</x:f>
        <x:v>0.016094370437827084</x:v>
      </x:c>
      <x:c r="F1260" s="16" t="n">
        <x:f>C1260^2</x:f>
        <x:v>0.00025902875979000236</x:v>
      </x:c>
      <x:c r="G1260" s="1"/>
      <x:c r="H1260" s="1"/>
      <x:c r="I1260" s="1"/>
      <x:c r="J1260" s="1"/>
      <x:c r="K1260" s="1"/>
      <x:c r="L1260" s="1"/>
      <x:c r="M1260" s="1"/>
      <x:c r="N1260" s="1"/>
    </x:row>
    <x:row r="1261" ht="22" customHeight="1">
      <x:c r="A1261" s="1" t="n">
        <x:v>1245</x:v>
      </x:c>
      <x:c r="B1261" s="16" t="n">
        <x:v>-0.2858930320166813</x:v>
      </x:c>
      <x:c r="C1261" s="16" t="n">
        <x:f>$B$12+$D$12*B1261</x:f>
        <x:v>-0.003287168204677669</x:v>
      </x:c>
      <x:c r="D1261" s="12" t="n">
        <x:f>D1260*EXP(C1261)</x:f>
        <x:v>239.3509061857803</x:v>
      </x:c>
      <x:c r="E1261" s="16" t="n">
        <x:f>ABS(C1261)</x:f>
        <x:v>0.003287168204677669</x:v>
      </x:c>
      <x:c r="F1261" s="16" t="n">
        <x:f>C1261^2</x:f>
        <x:v>0.00001080547480584381</x:v>
      </x:c>
      <x:c r="G1261" s="1"/>
      <x:c r="H1261" s="1"/>
      <x:c r="I1261" s="1"/>
      <x:c r="J1261" s="1"/>
      <x:c r="K1261" s="1"/>
      <x:c r="L1261" s="1"/>
      <x:c r="M1261" s="1"/>
      <x:c r="N1261" s="1"/>
    </x:row>
    <x:row r="1262" ht="22" customHeight="1">
      <x:c r="A1262" s="1" t="n">
        <x:v>1246</x:v>
      </x:c>
      <x:c r="B1262" s="16" t="n">
        <x:v>0.7341507492467467</x:v>
      </x:c>
      <x:c r="C1262" s="16" t="n">
        <x:f>$B$12+$D$12*B1262</x:f>
        <x:v>0.01019916282302982</x:v>
      </x:c>
      <x:c r="D1262" s="12" t="n">
        <x:f>D1261*EXP(C1262)</x:f>
        <x:v>241.80457647139477</x:v>
      </x:c>
      <x:c r="E1262" s="16" t="n">
        <x:f>ABS(C1262)</x:f>
        <x:v>0.01019916282302982</x:v>
      </x:c>
      <x:c r="F1262" s="16" t="n">
        <x:f>C1262^2</x:f>
        <x:v>0.00010402292229067363</x:v>
      </x:c>
      <x:c r="G1262" s="1"/>
      <x:c r="H1262" s="1"/>
      <x:c r="I1262" s="1"/>
      <x:c r="J1262" s="1"/>
      <x:c r="K1262" s="1"/>
      <x:c r="L1262" s="1"/>
      <x:c r="M1262" s="1"/>
      <x:c r="N1262" s="1"/>
    </x:row>
    <x:row r="1263" ht="22" customHeight="1">
      <x:c r="A1263" s="1" t="n">
        <x:v>1247</x:v>
      </x:c>
      <x:c r="B1263" s="16" t="n">
        <x:v>0.33746848699825277</x:v>
      </x:c>
      <x:c r="C1263" s="16" t="n">
        <x:f>$B$12+$D$12*B1263</x:f>
        <x:v>0.004954497447121342</x:v>
      </x:c>
      <x:c r="D1263" s="12" t="n">
        <x:f>D1262*EXP(C1263)</x:f>
        <x:v>243.00556932951488</x:v>
      </x:c>
      <x:c r="E1263" s="16" t="n">
        <x:f>ABS(C1263)</x:f>
        <x:v>0.004954497447121342</x:v>
      </x:c>
      <x:c r="F1263" s="16" t="n">
        <x:f>C1263^2</x:f>
        <x:v>0.000024547044953531895</x:v>
      </x:c>
      <x:c r="G1263" s="1"/>
      <x:c r="H1263" s="1"/>
      <x:c r="I1263" s="1"/>
      <x:c r="J1263" s="1"/>
      <x:c r="K1263" s="1"/>
      <x:c r="L1263" s="1"/>
      <x:c r="M1263" s="1"/>
      <x:c r="N1263" s="1"/>
    </x:row>
    <x:row r="1264" ht="22" customHeight="1">
      <x:c r="A1264" s="1" t="n">
        <x:v>1248</x:v>
      </x:c>
      <x:c r="B1264" s="16" t="n">
        <x:v>0.9099697865699665</x:v>
      </x:c>
      <x:c r="C1264" s="16" t="n">
        <x:f>$B$12+$D$12*B1264</x:f>
        <x:v>0.012523723574115315</x:v>
      </x:c>
      <x:c r="D1264" s="12" t="n">
        <x:f>D1263*EXP(C1264)</x:f>
        <x:v>246.0680406515863</x:v>
      </x:c>
      <x:c r="E1264" s="16" t="n">
        <x:f>ABS(C1264)</x:f>
        <x:v>0.012523723574115315</x:v>
      </x:c>
      <x:c r="F1264" s="16" t="n">
        <x:f>C1264^2</x:f>
        <x:v>0.00015684365216085168</x:v>
      </x:c>
      <x:c r="G1264" s="1"/>
      <x:c r="H1264" s="1"/>
      <x:c r="I1264" s="1"/>
      <x:c r="J1264" s="1"/>
      <x:c r="K1264" s="1"/>
      <x:c r="L1264" s="1"/>
      <x:c r="M1264" s="1"/>
      <x:c r="N1264" s="1"/>
    </x:row>
    <x:row r="1265" ht="22" customHeight="1">
      <x:c r="A1265" s="1" t="n">
        <x:v>1249</x:v>
      </x:c>
      <x:c r="B1265" s="16" t="n">
        <x:v>-0.06047255289788141</x:v>
      </x:c>
      <x:c r="C1265" s="16" t="n">
        <x:f>$B$12+$D$12*B1265</x:f>
        <x:v>-0.0003068106380101947</x:v>
      </x:c>
      <x:c r="D1265" s="12" t="n">
        <x:f>D1264*EXP(C1265)</x:f>
        <x:v>245.99255593938855</x:v>
      </x:c>
      <x:c r="E1265" s="16" t="n">
        <x:f>ABS(C1265)</x:f>
        <x:v>0.0003068106380101947</x:v>
      </x:c>
      <x:c r="F1265" s="16" t="n">
        <x:f>C1265^2</x:f>
        <x:v>9.413276759622275e-8</x:v>
      </x:c>
      <x:c r="G1265" s="1"/>
      <x:c r="H1265" s="1"/>
      <x:c r="I1265" s="1"/>
      <x:c r="J1265" s="1"/>
      <x:c r="K1265" s="1"/>
      <x:c r="L1265" s="1"/>
      <x:c r="M1265" s="1"/>
      <x:c r="N1265" s="1"/>
    </x:row>
    <x:row r="1266" ht="22" customHeight="1">
      <x:c r="A1266" s="1" t="n">
        <x:v>1250</x:v>
      </x:c>
      <x:c r="B1266" s="16" t="n">
        <x:v>-0.0937510383703662</x:v>
      </x:c>
      <x:c r="C1266" s="16" t="n">
        <x:f>$B$12+$D$12*B1266</x:f>
        <x:v>-0.0007467963321799042</x:v>
      </x:c>
      <x:c r="D1266" s="12" t="n">
        <x:f>D1265*EXP(C1266)</x:f>
        <x:v>245.8089181794069</x:v>
      </x:c>
      <x:c r="E1266" s="16" t="n">
        <x:f>ABS(C1266)</x:f>
        <x:v>0.0007467963321799042</x:v>
      </x:c>
      <x:c r="F1266" s="16" t="n">
        <x:f>C1266^2</x:f>
        <x:v>5.577047617573579e-7</x:v>
      </x:c>
      <x:c r="G1266" s="1"/>
      <x:c r="H1266" s="1"/>
      <x:c r="I1266" s="1"/>
      <x:c r="J1266" s="1"/>
      <x:c r="K1266" s="1"/>
      <x:c r="L1266" s="1"/>
      <x:c r="M1266" s="1"/>
      <x:c r="N1266" s="1"/>
    </x:row>
    <x:row r="1267" ht="22" customHeight="1">
      <x:c r="A1267" s="1" t="n">
        <x:v>1251</x:v>
      </x:c>
      <x:c r="B1267" s="16" t="n">
        <x:v>1.4222926469100377</x:v>
      </x:c>
      <x:c r="C1267" s="16" t="n">
        <x:f>$B$12+$D$12*B1267</x:f>
        <x:v>0.019297310957835465</x:v>
      </x:c>
      <x:c r="D1267" s="12" t="n">
        <x:f>D1266*EXP(C1267)</x:f>
        <x:v>250.59843306053773</x:v>
      </x:c>
      <x:c r="E1267" s="16" t="n">
        <x:f>ABS(C1267)</x:f>
        <x:v>0.019297310957835465</x:v>
      </x:c>
      <x:c r="F1267" s="16" t="n">
        <x:f>C1267^2</x:f>
        <x:v>0.00037238621020339673</x:v>
      </x:c>
      <x:c r="G1267" s="1"/>
      <x:c r="H1267" s="1"/>
      <x:c r="I1267" s="1"/>
      <x:c r="J1267" s="1"/>
      <x:c r="K1267" s="1"/>
      <x:c r="L1267" s="1"/>
      <x:c r="M1267" s="1"/>
      <x:c r="N1267" s="1"/>
    </x:row>
    <x:row r="1268" ht="22" customHeight="1">
      <x:c r="A1268" s="1" t="n">
        <x:v>1252</x:v>
      </x:c>
      <x:c r="B1268" s="16" t="n">
        <x:v>0.2497891241383392</x:v>
      </x:c>
      <x:c r="C1268" s="16" t="n">
        <x:f>$B$12+$D$12*B1268</x:f>
        <x:v>0.003795260036387204</x:v>
      </x:c>
      <x:c r="D1268" s="12" t="n">
        <x:f>D1267*EXP(C1268)</x:f>
        <x:v>251.55132637387996</x:v>
      </x:c>
      <x:c r="E1268" s="16" t="n">
        <x:f>ABS(C1268)</x:f>
        <x:v>0.003795260036387204</x:v>
      </x:c>
      <x:c r="F1268" s="16" t="n">
        <x:f>C1268^2</x:f>
        <x:v>0.0000144039987437978</x:v>
      </x:c>
      <x:c r="G1268" s="1"/>
      <x:c r="H1268" s="1"/>
      <x:c r="I1268" s="1"/>
      <x:c r="J1268" s="1"/>
      <x:c r="K1268" s="1"/>
      <x:c r="L1268" s="1"/>
      <x:c r="M1268" s="1"/>
      <x:c r="N1268" s="1"/>
    </x:row>
    <x:row r="1269" ht="22" customHeight="1">
      <x:c r="A1269" s="1" t="n">
        <x:v>1253</x:v>
      </x:c>
      <x:c r="B1269" s="16" t="n">
        <x:v>0.4911876051253498</x:v>
      </x:c>
      <x:c r="C1269" s="16" t="n">
        <x:f>$B$12+$D$12*B1269</x:f>
        <x:v>0.006986867969278291</x:v>
      </x:c>
      <x:c r="D1269" s="12" t="n">
        <x:f>D1268*EXP(C1269)</x:f>
        <x:v>253.31503650886106</x:v>
      </x:c>
      <x:c r="E1269" s="16" t="n">
        <x:f>ABS(C1269)</x:f>
        <x:v>0.006986867969278291</x:v>
      </x:c>
      <x:c r="F1269" s="16" t="n">
        <x:f>C1269^2</x:f>
        <x:v>0.000048816324020126954</x:v>
      </x:c>
      <x:c r="G1269" s="1"/>
      <x:c r="H1269" s="1"/>
      <x:c r="I1269" s="1"/>
      <x:c r="J1269" s="1"/>
      <x:c r="K1269" s="1"/>
      <x:c r="L1269" s="1"/>
      <x:c r="M1269" s="1"/>
      <x:c r="N1269" s="1"/>
    </x:row>
    <x:row r="1270" ht="22" customHeight="1">
      <x:c r="A1270" s="1" t="n">
        <x:v>1254</x:v>
      </x:c>
      <x:c r="B1270" s="16" t="n">
        <x:v>0.36721423161009503</x:v>
      </x:c>
      <x:c r="C1270" s="16" t="n">
        <x:f>$B$12+$D$12*B1270</x:f>
        <x:v>0.005347775623871827</x:v>
      </x:c>
      <x:c r="D1270" s="12" t="n">
        <x:f>D1269*EXP(C1270)</x:f>
        <x:v>254.67333719277192</x:v>
      </x:c>
      <x:c r="E1270" s="16" t="n">
        <x:f>ABS(C1270)</x:f>
        <x:v>0.005347775623871827</x:v>
      </x:c>
      <x:c r="F1270" s="16" t="n">
        <x:f>C1270^2</x:f>
        <x:v>0.000028598704123277713</x:v>
      </x:c>
      <x:c r="G1270" s="1"/>
      <x:c r="H1270" s="1"/>
      <x:c r="I1270" s="1"/>
      <x:c r="J1270" s="1"/>
      <x:c r="K1270" s="1"/>
      <x:c r="L1270" s="1"/>
      <x:c r="M1270" s="1"/>
      <x:c r="N1270" s="1"/>
    </x:row>
    <x:row r="1271" ht="22" customHeight="1">
      <x:c r="A1271" s="1" t="n">
        <x:v>1255</x:v>
      </x:c>
      <x:c r="B1271" s="16" t="n">
        <x:v>-0.2918758741423416</x:v>
      </x:c>
      <x:c r="C1271" s="16" t="n">
        <x:f>$B$12+$D$12*B1271</x:f>
        <x:v>-0.0033662693088412857</x:v>
      </x:c>
      <x:c r="D1271" s="12" t="n">
        <x:f>D1270*EXP(C1271)</x:f>
        <x:v>253.81747948596362</x:v>
      </x:c>
      <x:c r="E1271" s="16" t="n">
        <x:f>ABS(C1271)</x:f>
        <x:v>0.0033662693088412857</x:v>
      </x:c>
      <x:c r="F1271" s="16" t="n">
        <x:f>C1271^2</x:f>
        <x:v>0.000011331769059646787</x:v>
      </x:c>
      <x:c r="G1271" s="1"/>
      <x:c r="H1271" s="1"/>
      <x:c r="I1271" s="1"/>
      <x:c r="J1271" s="1"/>
      <x:c r="K1271" s="1"/>
      <x:c r="L1271" s="1"/>
      <x:c r="M1271" s="1"/>
      <x:c r="N1271" s="1"/>
    </x:row>
    <x:row r="1272" ht="22" customHeight="1">
      <x:c r="A1272" s="1" t="n">
        <x:v>1256</x:v>
      </x:c>
      <x:c r="B1272" s="16" t="n">
        <x:v>-0.9114017932112899</x:v>
      </x:c>
      <x:c r="C1272" s="16" t="n">
        <x:f>$B$12+$D$12*B1272</x:f>
        <x:v>-0.011557223244622236</x:v>
      </x:c>
      <x:c r="D1272" s="12" t="n">
        <x:f>D1271*EXP(C1272)</x:f>
        <x:v>250.9009402231347</x:v>
      </x:c>
      <x:c r="E1272" s="16" t="n">
        <x:f>ABS(C1272)</x:f>
        <x:v>0.011557223244622236</x:v>
      </x:c>
      <x:c r="F1272" s="16" t="n">
        <x:f>C1272^2</x:f>
        <x:v>0.0001335694091260365</x:v>
      </x:c>
      <x:c r="G1272" s="1"/>
      <x:c r="H1272" s="1"/>
      <x:c r="I1272" s="1"/>
      <x:c r="J1272" s="1"/>
      <x:c r="K1272" s="1"/>
      <x:c r="L1272" s="1"/>
      <x:c r="M1272" s="1"/>
      <x:c r="N1272" s="1"/>
    </x:row>
    <x:row r="1273" ht="22" customHeight="1">
      <x:c r="A1273" s="1" t="n">
        <x:v>1257</x:v>
      </x:c>
      <x:c r="B1273" s="16" t="n">
        <x:v>1.2729582672292332</x:v>
      </x:c>
      <x:c r="C1273" s="16" t="n">
        <x:f>$B$12+$D$12*B1273</x:f>
        <x:v>0.017322912490645975</x:v>
      </x:c>
      <x:c r="D1273" s="12" t="n">
        <x:f>D1272*EXP(C1273)</x:f>
        <x:v>255.28513916690525</x:v>
      </x:c>
      <x:c r="E1273" s="16" t="n">
        <x:f>ABS(C1273)</x:f>
        <x:v>0.017322912490645975</x:v>
      </x:c>
      <x:c r="F1273" s="16" t="n">
        <x:f>C1273^2</x:f>
        <x:v>0.0003000832971585783</x:v>
      </x:c>
      <x:c r="G1273" s="1"/>
      <x:c r="H1273" s="1"/>
      <x:c r="I1273" s="1"/>
      <x:c r="J1273" s="1"/>
      <x:c r="K1273" s="1"/>
      <x:c r="L1273" s="1"/>
      <x:c r="M1273" s="1"/>
      <x:c r="N1273" s="1"/>
    </x:row>
    <x:row r="1274" ht="22" customHeight="1">
      <x:c r="A1274" s="1" t="n">
        <x:v>1258</x:v>
      </x:c>
      <x:c r="B1274" s="16" t="n">
        <x:v>-1.6212079291349</x:v>
      </x:c>
      <x:c r="C1274" s="16" t="n">
        <x:f>$B$12+$D$12*B1274</x:f>
        <x:v>-0.02094180132881682</x:v>
      </x:c>
      <x:c r="D1274" s="12" t="n">
        <x:f>D1273*EXP(C1274)</x:f>
        <x:v>249.9945985750591</x:v>
      </x:c>
      <x:c r="E1274" s="16" t="n">
        <x:f>ABS(C1274)</x:f>
        <x:v>0.02094180132881682</x:v>
      </x:c>
      <x:c r="F1274" s="16" t="n">
        <x:f>C1274^2</x:f>
        <x:v>0.00043855904289563397</x:v>
      </x:c>
      <x:c r="G1274" s="1"/>
      <x:c r="H1274" s="1"/>
      <x:c r="I1274" s="1"/>
      <x:c r="J1274" s="1"/>
      <x:c r="K1274" s="1"/>
      <x:c r="L1274" s="1"/>
      <x:c r="M1274" s="1"/>
      <x:c r="N1274" s="1"/>
    </x:row>
    <x:row r="1275" ht="22" customHeight="1">
      <x:c r="A1275" s="1" t="n">
        <x:v>1259</x:v>
      </x:c>
      <x:c r="B1275" s="16" t="n">
        <x:v>-0.49927913314826794</x:v>
      </x:c>
      <x:c r="C1275" s="16" t="n">
        <x:f>$B$12+$D$12*B1275</x:f>
        <x:v>-0.00610841534076432</x:v>
      </x:c>
      <x:c r="D1275" s="12" t="n">
        <x:f>D1274*EXP(C1275)</x:f>
        <x:v>248.47218224344306</x:v>
      </x:c>
      <x:c r="E1275" s="16" t="n">
        <x:f>ABS(C1275)</x:f>
        <x:v>0.00610841534076432</x:v>
      </x:c>
      <x:c r="F1275" s="16" t="n">
        <x:f>C1275^2</x:f>
        <x:v>0.00003731273797528489</x:v>
      </x:c>
      <x:c r="G1275" s="1"/>
      <x:c r="H1275" s="1"/>
      <x:c r="I1275" s="1"/>
      <x:c r="J1275" s="1"/>
      <x:c r="K1275" s="1"/>
      <x:c r="L1275" s="1"/>
      <x:c r="M1275" s="1"/>
      <x:c r="N1275" s="1"/>
    </x:row>
    <x:row r="1276" ht="22" customHeight="1">
      <x:c r="A1276" s="1" t="n">
        <x:v>1260</x:v>
      </x:c>
      <x:c r="B1276" s="16" t="n">
        <x:v>0.008720355964457343</x:v>
      </x:c>
      <x:c r="C1276" s="16" t="n">
        <x:f>$B$12+$D$12*B1276</x:f>
        <x:v>0.0006080113439754059</x:v>
      </x:c>
      <x:c r="D1276" s="12" t="n">
        <x:f>D1275*EXP(C1276)</x:f>
        <x:v>248.6233020855431</x:v>
      </x:c>
      <x:c r="E1276" s="16" t="n">
        <x:f>ABS(C1276)</x:f>
        <x:v>0.0006080113439754059</x:v>
      </x:c>
      <x:c r="F1276" s="16" t="n">
        <x:f>C1276^2</x:f>
        <x:v>3.696777944027793e-7</x:v>
      </x:c>
      <x:c r="G1276" s="1"/>
      <x:c r="H1276" s="1"/>
      <x:c r="I1276" s="1"/>
      <x:c r="J1276" s="1"/>
      <x:c r="K1276" s="1"/>
      <x:c r="L1276" s="1"/>
      <x:c r="M1276" s="1"/>
      <x:c r="N1276" s="1"/>
    </x:row>
    <x:row r="1277" ht="22" customHeight="1">
      <x:c r="A1277" s="1" t="n">
        <x:v>1261</x:v>
      </x:c>
      <x:c r="B1277" s="16" t="n">
        <x:v>0.09266503826703819</x:v>
      </x:c>
      <x:c r="C1277" s="16" t="n">
        <x:f>$B$12+$D$12*B1277</x:f>
        <x:v>0.0017178713267950803</x:v>
      </x:c>
      <x:c r="D1277" s="12" t="n">
        <x:f>D1276*EXP(C1277)</x:f>
        <x:v>249.05077199139126</x:v>
      </x:c>
      <x:c r="E1277" s="16" t="n">
        <x:f>ABS(C1277)</x:f>
        <x:v>0.0017178713267950803</x:v>
      </x:c>
      <x:c r="F1277" s="16" t="n">
        <x:f>C1277^2</x:f>
        <x:v>0.0000029510818954246897</x:v>
      </x:c>
      <x:c r="G1277" s="1"/>
      <x:c r="H1277" s="1"/>
      <x:c r="I1277" s="1"/>
      <x:c r="J1277" s="1"/>
      <x:c r="K1277" s="1"/>
      <x:c r="L1277" s="1"/>
      <x:c r="M1277" s="1"/>
      <x:c r="N1277" s="1"/>
    </x:row>
    <x:row r="1278" ht="22" customHeight="1">
      <x:c r="A1278" s="1" t="n">
        <x:v>1262</x:v>
      </x:c>
      <x:c r="B1278" s="16" t="n">
        <x:v>-0.3884038548523378</x:v>
      </x:c>
      <x:c r="C1278" s="16" t="n">
        <x:f>$B$12+$D$12*B1278</x:f>
        <x:v>-0.004642497177883093</x:v>
      </x:c>
      <x:c r="D1278" s="12" t="n">
        <x:f>D1277*EXP(C1278)</x:f>
        <x:v>247.89723420505854</x:v>
      </x:c>
      <x:c r="E1278" s="16" t="n">
        <x:f>ABS(C1278)</x:f>
        <x:v>0.004642497177883093</x:v>
      </x:c>
      <x:c r="F1278" s="16" t="n">
        <x:f>C1278^2</x:f>
        <x:v>0.000021552780046652477</x:v>
      </x:c>
      <x:c r="G1278" s="1"/>
      <x:c r="H1278" s="1"/>
      <x:c r="I1278" s="1"/>
      <x:c r="J1278" s="1"/>
      <x:c r="K1278" s="1"/>
      <x:c r="L1278" s="1"/>
      <x:c r="M1278" s="1"/>
      <x:c r="N1278" s="1"/>
    </x:row>
    <x:row r="1279" ht="22" customHeight="1">
      <x:c r="A1279" s="1" t="n">
        <x:v>1263</x:v>
      </x:c>
      <x:c r="B1279" s="16" t="n">
        <x:v>-0.7971491115429394</x:v>
      </x:c>
      <x:c r="C1279" s="16" t="n">
        <x:f>$B$12+$D$12*B1279</x:f>
        <x:v>-0.01004665133184202</x:v>
      </x:c>
      <x:c r="D1279" s="12" t="n">
        <x:f>D1278*EXP(C1279)</x:f>
        <x:v>245.41916611357527</x:v>
      </x:c>
      <x:c r="E1279" s="16" t="n">
        <x:f>ABS(C1279)</x:f>
        <x:v>0.01004665133184202</x:v>
      </x:c>
      <x:c r="F1279" s="16" t="n">
        <x:f>C1279^2</x:f>
        <x:v>0.00010093520298360302</x:v>
      </x:c>
      <x:c r="G1279" s="1"/>
      <x:c r="H1279" s="1"/>
      <x:c r="I1279" s="1"/>
      <x:c r="J1279" s="1"/>
      <x:c r="K1279" s="1"/>
      <x:c r="L1279" s="1"/>
      <x:c r="M1279" s="1"/>
      <x:c r="N1279" s="1"/>
    </x:row>
    <x:row r="1280" ht="22" customHeight="1">
      <x:c r="A1280" s="1" t="n">
        <x:v>1264</x:v>
      </x:c>
      <x:c r="B1280" s="16" t="n">
        <x:v>0.5571843267456652</x:v>
      </x:c>
      <x:c r="C1280" s="16" t="n">
        <x:f>$B$12+$D$12*B1280</x:f>
        <x:v>0.007859432118841176</x:v>
      </x:c>
      <x:c r="D1280" s="12" t="n">
        <x:f>D1279*EXP(C1280)</x:f>
        <x:v>247.35562114072542</x:v>
      </x:c>
      <x:c r="E1280" s="16" t="n">
        <x:f>ABS(C1280)</x:f>
        <x:v>0.007859432118841176</x:v>
      </x:c>
      <x:c r="F1280" s="16" t="n">
        <x:f>C1280^2</x:f>
        <x:v>0.0000617706732306723</x:v>
      </x:c>
      <x:c r="G1280" s="1"/>
      <x:c r="H1280" s="1"/>
      <x:c r="I1280" s="1"/>
      <x:c r="J1280" s="1"/>
      <x:c r="K1280" s="1"/>
      <x:c r="L1280" s="1"/>
      <x:c r="M1280" s="1"/>
      <x:c r="N1280" s="1"/>
    </x:row>
    <x:row r="1281" ht="22" customHeight="1">
      <x:c r="A1281" s="1" t="n">
        <x:v>1265</x:v>
      </x:c>
      <x:c r="B1281" s="16" t="n">
        <x:v>-0.9278736856999515</x:v>
      </x:c>
      <x:c r="C1281" s="16" t="n">
        <x:f>$B$12+$D$12*B1281</x:f>
        <x:v>-0.011775003499583204</x:v>
      </x:c>
      <x:c r="D1281" s="12" t="n">
        <x:f>D1280*EXP(C1281)</x:f>
        <x:v>244.46008874376278</x:v>
      </x:c>
      <x:c r="E1281" s="16" t="n">
        <x:f>ABS(C1281)</x:f>
        <x:v>0.011775003499583204</x:v>
      </x:c>
      <x:c r="F1281" s="16" t="n">
        <x:f>C1281^2</x:f>
        <x:v>0.0001386507074151967</x:v>
      </x:c>
      <x:c r="G1281" s="1"/>
      <x:c r="H1281" s="1"/>
      <x:c r="I1281" s="1"/>
      <x:c r="J1281" s="1"/>
      <x:c r="K1281" s="1"/>
      <x:c r="L1281" s="1"/>
      <x:c r="M1281" s="1"/>
      <x:c r="N1281" s="1"/>
    </x:row>
    <x:row r="1282" ht="22" customHeight="1">
      <x:c r="A1282" s="1" t="n">
        <x:v>1266</x:v>
      </x:c>
      <x:c r="B1282" s="16" t="n">
        <x:v>0.03374684696773409</x:v>
      </x:c>
      <x:c r="C1282" s="16" t="n">
        <x:f>$B$12+$D$12*B1282</x:f>
        <x:v>0.0009388947318571361</x:v>
      </x:c>
      <x:c r="D1282" s="12" t="n">
        <x:f>D1281*EXP(C1282)</x:f>
        <x:v>244.68971881559733</x:v>
      </x:c>
      <x:c r="E1282" s="16" t="n">
        <x:f>ABS(C1282)</x:f>
        <x:v>0.0009388947318571361</x:v>
      </x:c>
      <x:c r="F1282" s="16" t="n">
        <x:f>C1282^2</x:f>
        <x:v>8.815233175090835e-7</x:v>
      </x:c>
      <x:c r="G1282" s="1"/>
      <x:c r="H1282" s="1"/>
      <x:c r="I1282" s="1"/>
      <x:c r="J1282" s="1"/>
      <x:c r="K1282" s="1"/>
      <x:c r="L1282" s="1"/>
      <x:c r="M1282" s="1"/>
      <x:c r="N1282" s="1"/>
    </x:row>
    <x:row r="1283" ht="22" customHeight="1">
      <x:c r="A1283" s="1" t="n">
        <x:v>1267</x:v>
      </x:c>
      <x:c r="B1283" s="16" t="n">
        <x:v>1.0949637126124225</x:v>
      </x:c>
      <x:c r="C1283" s="16" t="n">
        <x:f>$B$12+$D$12*B1283</x:f>
        <x:v>0.014969588516925538</x:v>
      </x:c>
      <x:c r="D1283" s="12" t="n">
        <x:f>D1282*EXP(C1283)</x:f>
        <x:v>248.38017662246276</x:v>
      </x:c>
      <x:c r="E1283" s="16" t="n">
        <x:f>ABS(C1283)</x:f>
        <x:v>0.014969588516925538</x:v>
      </x:c>
      <x:c r="F1283" s="16" t="n">
        <x:f>C1283^2</x:f>
        <x:v>0.00022408858036606892</x:v>
      </x:c>
      <x:c r="G1283" s="1"/>
      <x:c r="H1283" s="1"/>
      <x:c r="I1283" s="1"/>
      <x:c r="J1283" s="1"/>
      <x:c r="K1283" s="1"/>
      <x:c r="L1283" s="1"/>
      <x:c r="M1283" s="1"/>
      <x:c r="N1283" s="1"/>
    </x:row>
    <x:row r="1284" ht="22" customHeight="1">
      <x:c r="A1284" s="1" t="n">
        <x:v>1268</x:v>
      </x:c>
      <x:c r="B1284" s="16" t="n">
        <x:v>1.6081124245540677</x:v>
      </x:c>
      <x:c r="C1284" s="16" t="n">
        <x:f>$B$12+$D$12*B1284</x:f>
        <x:v>0.021754094753623544</x:v>
      </x:c>
      <x:c r="D1284" s="12" t="n">
        <x:f>D1283*EXP(C1284)</x:f>
        <x:v>253.842662819956</x:v>
      </x:c>
      <x:c r="E1284" s="16" t="n">
        <x:f>ABS(C1284)</x:f>
        <x:v>0.021754094753623544</x:v>
      </x:c>
      <x:c r="F1284" s="16" t="n">
        <x:f>C1284^2</x:f>
        <x:v>0.0004732406385496314</x:v>
      </x:c>
      <x:c r="G1284" s="1"/>
      <x:c r="H1284" s="1"/>
      <x:c r="I1284" s="1"/>
      <x:c r="J1284" s="1"/>
      <x:c r="K1284" s="1"/>
      <x:c r="L1284" s="1"/>
      <x:c r="M1284" s="1"/>
      <x:c r="N1284" s="1"/>
    </x:row>
    <x:row r="1285" ht="22" customHeight="1">
      <x:c r="A1285" s="1" t="n">
        <x:v>1269</x:v>
      </x:c>
      <x:c r="B1285" s="16" t="n">
        <x:v>-1.5703215287822045</x:v>
      </x:c>
      <x:c r="C1285" s="16" t="n">
        <x:f>$B$12+$D$12*B1285</x:f>
        <x:v>-0.020269015657681327</x:v>
      </x:c>
      <x:c r="D1285" s="12" t="n">
        <x:f>D1284*EXP(C1285)</x:f>
        <x:v>248.74931486250983</x:v>
      </x:c>
      <x:c r="E1285" s="16" t="n">
        <x:f>ABS(C1285)</x:f>
        <x:v>0.020269015657681327</x:v>
      </x:c>
      <x:c r="F1285" s="16" t="n">
        <x:f>C1285^2</x:f>
        <x:v>0.0004108329957313308</x:v>
      </x:c>
      <x:c r="G1285" s="1"/>
      <x:c r="H1285" s="1"/>
      <x:c r="I1285" s="1"/>
      <x:c r="J1285" s="1"/>
      <x:c r="K1285" s="1"/>
      <x:c r="L1285" s="1"/>
      <x:c r="M1285" s="1"/>
      <x:c r="N1285" s="1"/>
    </x:row>
    <x:row r="1286" ht="22" customHeight="1">
      <x:c r="A1286" s="1" t="n">
        <x:v>1270</x:v>
      </x:c>
      <x:c r="B1286" s="16" t="n">
        <x:v>0.4658229979973925</x:v>
      </x:c>
      <x:c r="C1286" s="16" t="n">
        <x:f>$B$12+$D$12*B1286</x:f>
        <x:v>0.006651514237998556</x:v>
      </x:c>
      <x:c r="D1286" s="12" t="n">
        <x:f>D1285*EXP(C1286)</x:f>
        <x:v>250.409389356073</x:v>
      </x:c>
      <x:c r="E1286" s="16" t="n">
        <x:f>ABS(C1286)</x:f>
        <x:v>0.006651514237998556</x:v>
      </x:c>
      <x:c r="F1286" s="16" t="n">
        <x:f>C1286^2</x:f>
        <x:v>0.00004424264165829751</x:v>
      </x:c>
      <x:c r="G1286" s="1"/>
      <x:c r="H1286" s="1"/>
      <x:c r="I1286" s="1"/>
      <x:c r="J1286" s="1"/>
      <x:c r="K1286" s="1"/>
      <x:c r="L1286" s="1"/>
      <x:c r="M1286" s="1"/>
      <x:c r="N1286" s="1"/>
    </x:row>
    <x:row r="1287" ht="22" customHeight="1">
      <x:c r="A1287" s="1" t="n">
        <x:v>1271</x:v>
      </x:c>
      <x:c r="B1287" s="16" t="n">
        <x:v>0.8696584790330575</x:v>
      </x:c>
      <x:c r="C1287" s="16" t="n">
        <x:f>$B$12+$D$12*B1287</x:f>
        <x:v>0.011990754649066718</x:v>
      </x:c>
      <x:c r="D1287" s="12" t="n">
        <x:f>D1286*EXP(C1287)</x:f>
        <x:v>253.43006077847753</x:v>
      </x:c>
      <x:c r="E1287" s="16" t="n">
        <x:f>ABS(C1287)</x:f>
        <x:v>0.011990754649066718</x:v>
      </x:c>
      <x:c r="F1287" s="16" t="n">
        <x:f>C1287^2</x:f>
        <x:v>0.0001437781970541151</x:v>
      </x:c>
      <x:c r="G1287" s="1"/>
      <x:c r="H1287" s="1"/>
      <x:c r="I1287" s="1"/>
      <x:c r="J1287" s="1"/>
      <x:c r="K1287" s="1"/>
      <x:c r="L1287" s="1"/>
      <x:c r="M1287" s="1"/>
      <x:c r="N1287" s="1"/>
    </x:row>
    <x:row r="1288" ht="22" customHeight="1">
      <x:c r="A1288" s="1" t="n">
        <x:v>1272</x:v>
      </x:c>
      <x:c r="B1288" s="16" t="n">
        <x:v>1.7703015248277987</x:v>
      </x:c>
      <x:c r="C1288" s="16" t="n">
        <x:f>$B$12+$D$12*B1288</x:f>
        <x:v>0.02389844966814333</x:v>
      </x:c>
      <x:c r="D1288" s="12" t="n">
        <x:f>D1287*EXP(C1288)</x:f>
        <x:v>259.5595978161359</x:v>
      </x:c>
      <x:c r="E1288" s="16" t="n">
        <x:f>ABS(C1288)</x:f>
        <x:v>0.02389844966814333</x:v>
      </x:c>
      <x:c r="F1288" s="16" t="n">
        <x:f>C1288^2</x:f>
        <x:v>0.00057113589654078</x:v>
      </x:c>
      <x:c r="G1288" s="1"/>
      <x:c r="H1288" s="1"/>
      <x:c r="I1288" s="1"/>
      <x:c r="J1288" s="1"/>
      <x:c r="K1288" s="1"/>
      <x:c r="L1288" s="1"/>
      <x:c r="M1288" s="1"/>
      <x:c r="N1288" s="1"/>
    </x:row>
    <x:row r="1289" ht="22" customHeight="1">
      <x:c r="A1289" s="1" t="n">
        <x:v>1273</x:v>
      </x:c>
      <x:c r="B1289" s="16" t="n">
        <x:v>0.1756088773420548</x:v>
      </x:c>
      <x:c r="C1289" s="16" t="n">
        <x:f>$B$12+$D$12*B1289</x:f>
        <x:v>0.0028144988353605103</x:v>
      </x:c>
      <x:c r="D1289" s="12" t="n">
        <x:f>D1288*EXP(C1289)</x:f>
        <x:v>260.29115700522436</x:v>
      </x:c>
      <x:c r="E1289" s="16" t="n">
        <x:f>ABS(C1289)</x:f>
        <x:v>0.0028144988353605103</x:v>
      </x:c>
      <x:c r="F1289" s="16" t="n">
        <x:f>C1289^2</x:f>
        <x:v>0.00000792140369424567</x:v>
      </x:c>
      <x:c r="G1289" s="1"/>
      <x:c r="H1289" s="1"/>
      <x:c r="I1289" s="1"/>
      <x:c r="J1289" s="1"/>
      <x:c r="K1289" s="1"/>
      <x:c r="L1289" s="1"/>
      <x:c r="M1289" s="1"/>
      <x:c r="N1289" s="1"/>
    </x:row>
    <x:row r="1290" ht="22" customHeight="1">
      <x:c r="A1290" s="1" t="n">
        <x:v>1274</x:v>
      </x:c>
      <x:c r="B1290" s="16" t="n">
        <x:v>1.9730780198785673</x:v>
      </x:c>
      <x:c r="C1290" s="16" t="n">
        <x:f>$B$12+$D$12*B1290</x:f>
        <x:v>0.026579423747026237</x:v>
      </x:c>
      <x:c r="D1290" s="12" t="n">
        <x:f>D1289*EXP(C1290)</x:f>
        <x:v>267.30230940340687</x:v>
      </x:c>
      <x:c r="E1290" s="16" t="n">
        <x:f>ABS(C1290)</x:f>
        <x:v>0.026579423747026237</x:v>
      </x:c>
      <x:c r="F1290" s="16" t="n">
        <x:f>C1290^2</x:f>
        <x:v>0.0007064657667239822</x:v>
      </x:c>
      <x:c r="G1290" s="1"/>
      <x:c r="H1290" s="1"/>
      <x:c r="I1290" s="1"/>
      <x:c r="J1290" s="1"/>
      <x:c r="K1290" s="1"/>
      <x:c r="L1290" s="1"/>
      <x:c r="M1290" s="1"/>
      <x:c r="N1290" s="1"/>
    </x:row>
    <x:row r="1291" ht="22" customHeight="1">
      <x:c r="A1291" s="1" t="n">
        <x:v>1275</x:v>
      </x:c>
      <x:c r="B1291" s="16" t="n">
        <x:v>0.5832482409883573</x:v>
      </x:c>
      <x:c r="C1291" s="16" t="n">
        <x:f>$B$12+$D$12*B1291</x:f>
        <x:v>0.008204031617226774</x:v>
      </x:c>
      <x:c r="D1291" s="12" t="n">
        <x:f>D1290*EXP(C1291)</x:f>
        <x:v>269.50428619418443</x:v>
      </x:c>
      <x:c r="E1291" s="16" t="n">
        <x:f>ABS(C1291)</x:f>
        <x:v>0.008204031617226774</x:v>
      </x:c>
      <x:c r="F1291" s="16" t="n">
        <x:f>C1291^2</x:f>
        <x:v>0.00006730613477645655</x:v>
      </x:c>
      <x:c r="G1291" s="1"/>
      <x:c r="H1291" s="1"/>
      <x:c r="I1291" s="1"/>
      <x:c r="J1291" s="1"/>
      <x:c r="K1291" s="1"/>
      <x:c r="L1291" s="1"/>
      <x:c r="M1291" s="1"/>
      <x:c r="N1291" s="1"/>
    </x:row>
    <x:row r="1292" ht="22" customHeight="1">
      <x:c r="A1292" s="1" t="n">
        <x:v>1276</x:v>
      </x:c>
      <x:c r="B1292" s="16" t="n">
        <x:v>0.39654797048160867</x:v>
      </x:c>
      <x:c r="C1292" s="16" t="n">
        <x:f>$B$12+$D$12*B1292</x:f>
        <x:v>0.00573560653855234</x:v>
      </x:c>
      <x:c r="D1292" s="12" t="n">
        <x:f>D1291*EXP(C1292)</x:f>
        <x:v>271.0544981934891</x:v>
      </x:c>
      <x:c r="E1292" s="16" t="n">
        <x:f>ABS(C1292)</x:f>
        <x:v>0.00573560653855234</x:v>
      </x:c>
      <x:c r="F1292" s="16" t="n">
        <x:f>C1292^2</x:f>
        <x:v>0.00003289718236508435</x:v>
      </x:c>
      <x:c r="G1292" s="1"/>
      <x:c r="H1292" s="1"/>
      <x:c r="I1292" s="1"/>
      <x:c r="J1292" s="1"/>
      <x:c r="K1292" s="1"/>
      <x:c r="L1292" s="1"/>
      <x:c r="M1292" s="1"/>
      <x:c r="N1292" s="1"/>
    </x:row>
    <x:row r="1293" ht="22" customHeight="1">
      <x:c r="A1293" s="1" t="n">
        <x:v>1277</x:v>
      </x:c>
      <x:c r="B1293" s="16" t="n">
        <x:v>0.20379607308276995</x:v>
      </x:c>
      <x:c r="C1293" s="16" t="n">
        <x:f>$B$12+$D$12*B1293</x:f>
        <x:v>0.0031871709299163215</x:v>
      </x:c>
      <x:c r="D1293" s="12" t="n">
        <x:f>D1292*EXP(C1293)</x:f>
        <x:v>271.91977336803626</x:v>
      </x:c>
      <x:c r="E1293" s="16" t="n">
        <x:f>ABS(C1293)</x:f>
        <x:v>0.0031871709299163215</x:v>
      </x:c>
      <x:c r="F1293" s="16" t="n">
        <x:f>C1293^2</x:f>
        <x:v>0.00001015805853650367</x:v>
      </x:c>
      <x:c r="G1293" s="1"/>
      <x:c r="H1293" s="1"/>
      <x:c r="I1293" s="1"/>
      <x:c r="J1293" s="1"/>
      <x:c r="K1293" s="1"/>
      <x:c r="L1293" s="1"/>
      <x:c r="M1293" s="1"/>
      <x:c r="N1293" s="1"/>
    </x:row>
    <x:row r="1294" ht="22" customHeight="1">
      <x:c r="A1294" s="1" t="n">
        <x:v>1278</x:v>
      </x:c>
      <x:c r="B1294" s="16" t="n">
        <x:v>0.5831439297500951</x:v>
      </x:c>
      <x:c r="C1294" s="16" t="n">
        <x:f>$B$12+$D$12*B1294</x:f>
        <x:v>0.008202652484374877</x:v>
      </x:c>
      <x:c r="D1294" s="12" t="n">
        <x:f>D1293*EXP(C1294)</x:f>
        <x:v>274.15940969430716</x:v>
      </x:c>
      <x:c r="E1294" s="16" t="n">
        <x:f>ABS(C1294)</x:f>
        <x:v>0.008202652484374877</x:v>
      </x:c>
      <x:c r="F1294" s="16" t="n">
        <x:f>C1294^2</x:f>
        <x:v>0.00006728350777942133</x:v>
      </x:c>
      <x:c r="G1294" s="1"/>
      <x:c r="H1294" s="1"/>
      <x:c r="I1294" s="1"/>
      <x:c r="J1294" s="1"/>
      <x:c r="K1294" s="1"/>
      <x:c r="L1294" s="1"/>
      <x:c r="M1294" s="1"/>
      <x:c r="N1294" s="1"/>
    </x:row>
    <x:row r="1295" ht="22" customHeight="1">
      <x:c r="A1295" s="1" t="n">
        <x:v>1279</x:v>
      </x:c>
      <x:c r="B1295" s="16" t="n">
        <x:v>0.35115610574243034</x:v>
      </x:c>
      <x:c r="C1295" s="16" t="n">
        <x:f>$B$12+$D$12*B1295</x:f>
        <x:v>0.0051354659121576095</x:v>
      </x:c>
      <x:c r="D1295" s="12" t="n">
        <x:f>D1294*EXP(C1295)</x:f>
        <x:v>275.57096739827466</x:v>
      </x:c>
      <x:c r="E1295" s="16" t="n">
        <x:f>ABS(C1295)</x:f>
        <x:v>0.0051354659121576095</x:v>
      </x:c>
      <x:c r="F1295" s="16" t="n">
        <x:f>C1295^2</x:f>
        <x:v>0.00002637301013493279</x:v>
      </x:c>
      <x:c r="G1295" s="1"/>
      <x:c r="H1295" s="1"/>
      <x:c r="I1295" s="1"/>
      <x:c r="J1295" s="1"/>
      <x:c r="K1295" s="1"/>
      <x:c r="L1295" s="1"/>
      <x:c r="M1295" s="1"/>
      <x:c r="N1295" s="1"/>
    </x:row>
    <x:row r="1296" ht="22" customHeight="1">
      <x:c r="A1296" s="1" t="n">
        <x:v>1280</x:v>
      </x:c>
      <x:c r="B1296" s="16" t="n">
        <x:v>-0.3314220154347306</x:v>
      </x:c>
      <x:c r="C1296" s="16" t="n">
        <x:f>$B$12+$D$12*B1296</x:f>
        <x:v>-0.0038891217217809177</x:v>
      </x:c>
      <x:c r="D1296" s="12" t="n">
        <x:f>D1295*EXP(C1296)</x:f>
        <x:v>274.50131970633583</x:v>
      </x:c>
      <x:c r="E1296" s="16" t="n">
        <x:f>ABS(C1296)</x:f>
        <x:v>0.0038891217217809177</x:v>
      </x:c>
      <x:c r="F1296" s="16" t="n">
        <x:f>C1296^2</x:f>
        <x:v>0.00001512526776682817</x:v>
      </x:c>
      <x:c r="G1296" s="1"/>
      <x:c r="H1296" s="1"/>
      <x:c r="I1296" s="1"/>
      <x:c r="J1296" s="1"/>
      <x:c r="K1296" s="1"/>
      <x:c r="L1296" s="1"/>
      <x:c r="M1296" s="1"/>
      <x:c r="N1296" s="1"/>
    </x:row>
    <x:row r="1297" ht="22" customHeight="1">
      <x:c r="A1297" s="1" t="n">
        <x:v>1281</x:v>
      </x:c>
      <x:c r="B1297" s="16" t="n">
        <x:v>-0.939520223712076</x:v>
      </x:c>
      <x:c r="C1297" s="16" t="n">
        <x:f>$B$12+$D$12*B1297</x:f>
        <x:v>-0.011928986171546306</x:v>
      </x:c>
      <x:c r="D1297" s="12" t="n">
        <x:f>D1296*EXP(C1297)</x:f>
        <x:v>271.246250695889</x:v>
      </x:c>
      <x:c r="E1297" s="16" t="n">
        <x:f>ABS(C1297)</x:f>
        <x:v>0.011928986171546306</x:v>
      </x:c>
      <x:c r="F1297" s="16" t="n">
        <x:f>C1297^2</x:f>
        <x:v>0.00014230071108094298</x:v>
      </x:c>
      <x:c r="G1297" s="1"/>
      <x:c r="H1297" s="1"/>
      <x:c r="I1297" s="1"/>
      <x:c r="J1297" s="1"/>
      <x:c r="K1297" s="1"/>
      <x:c r="L1297" s="1"/>
      <x:c r="M1297" s="1"/>
      <x:c r="N1297" s="1"/>
    </x:row>
    <x:row r="1298" ht="22" customHeight="1">
      <x:c r="A1298" s="1" t="n">
        <x:v>1282</x:v>
      </x:c>
      <x:c r="B1298" s="16" t="n">
        <x:v>-1.5834493966773409</x:v>
      </x:c>
      <x:c r="C1298" s="16" t="n">
        <x:f>$B$12+$D$12*B1298</x:f>
        <x:v>-0.02044258347444948</x:v>
      </x:c>
      <x:c r="D1298" s="12" t="n">
        <x:f>D1297*EXP(C1298)</x:f>
        <x:v>265.75756913108046</x:v>
      </x:c>
      <x:c r="E1298" s="16" t="n">
        <x:f>ABS(C1298)</x:f>
        <x:v>0.02044258347444948</x:v>
      </x:c>
      <x:c r="F1298" s="16" t="n">
        <x:f>C1298^2</x:f>
        <x:v>0.000417899219109835</x:v>
      </x:c>
      <x:c r="G1298" s="1"/>
      <x:c r="H1298" s="1"/>
      <x:c r="I1298" s="1"/>
      <x:c r="J1298" s="1"/>
      <x:c r="K1298" s="1"/>
      <x:c r="L1298" s="1"/>
      <x:c r="M1298" s="1"/>
      <x:c r="N1298" s="1"/>
    </x:row>
    <x:row r="1299" ht="22" customHeight="1">
      <x:c r="A1299" s="1" t="n">
        <x:v>1283</x:v>
      </x:c>
      <x:c r="B1299" s="16" t="n">
        <x:v>0.7964041555288147</x:v>
      </x:c>
      <x:c r="C1299" s="16" t="n">
        <x:f>$B$12+$D$12*B1299</x:f>
        <x:v>0.011022235381427698</x:v>
      </x:c>
      <x:c r="D1299" s="12" t="n">
        <x:f>D1298*EXP(C1299)</x:f>
        <x:v>268.7030144884161</x:v>
      </x:c>
      <x:c r="E1299" s="16" t="n">
        <x:f>ABS(C1299)</x:f>
        <x:v>0.011022235381427698</x:v>
      </x:c>
      <x:c r="F1299" s="16" t="n">
        <x:f>C1299^2</x:f>
        <x:v>0.0001214896728035966</x:v>
      </x:c>
      <x:c r="G1299" s="1"/>
      <x:c r="H1299" s="1"/>
      <x:c r="I1299" s="1"/>
      <x:c r="J1299" s="1"/>
      <x:c r="K1299" s="1"/>
      <x:c r="L1299" s="1"/>
      <x:c r="M1299" s="1"/>
      <x:c r="N1299" s="1"/>
    </x:row>
    <x:row r="1300" ht="22" customHeight="1">
      <x:c r="A1300" s="1" t="n">
        <x:v>1284</x:v>
      </x:c>
      <x:c r="B1300" s="16" t="n">
        <x:v>1.094856722686712</x:v>
      </x:c>
      <x:c r="C1300" s="16" t="n">
        <x:f>$B$12+$D$12*B1300</x:f>
        <x:v>0.014968173968274524</x:v>
      </x:c>
      <x:c r="D1300" s="12" t="n">
        <x:f>D1299*EXP(C1300)</x:f>
        <x:v>272.7552596531331</x:v>
      </x:c>
      <x:c r="E1300" s="16" t="n">
        <x:f>ABS(C1300)</x:f>
        <x:v>0.014968173968274524</x:v>
      </x:c>
      <x:c r="F1300" s="16" t="n">
        <x:f>C1300^2</x:f>
        <x:v>0.00022404623194453112</x:v>
      </x:c>
      <x:c r="G1300" s="1"/>
      <x:c r="H1300" s="1"/>
      <x:c r="I1300" s="1"/>
      <x:c r="J1300" s="1"/>
      <x:c r="K1300" s="1"/>
      <x:c r="L1300" s="1"/>
      <x:c r="M1300" s="1"/>
      <x:c r="N1300" s="1"/>
    </x:row>
    <x:row r="1301" ht="22" customHeight="1">
      <x:c r="A1301" s="1" t="n">
        <x:v>1285</x:v>
      </x:c>
      <x:c r="B1301" s="16" t="n">
        <x:v>-1.1723440385026525</x:v>
      </x:c>
      <x:c r="C1301" s="16" t="n">
        <x:f>$B$12+$D$12*B1301</x:f>
        <x:v>-0.0150072256501599</x:v>
      </x:c>
      <x:c r="D1301" s="12" t="n">
        <x:f>D1300*EXP(C1301)</x:f>
        <x:v>268.69252138866057</x:v>
      </x:c>
      <x:c r="E1301" s="16" t="n">
        <x:f>ABS(C1301)</x:f>
        <x:v>0.0150072256501599</x:v>
      </x:c>
      <x:c r="F1301" s="16" t="n">
        <x:f>C1301^2</x:f>
        <x:v>0.00022521682171481726</x:v>
      </x:c>
      <x:c r="G1301" s="1"/>
      <x:c r="H1301" s="1"/>
      <x:c r="I1301" s="1"/>
      <x:c r="J1301" s="1"/>
      <x:c r="K1301" s="1"/>
      <x:c r="L1301" s="1"/>
      <x:c r="M1301" s="1"/>
      <x:c r="N1301" s="1"/>
    </x:row>
    <x:row r="1302" ht="22" customHeight="1">
      <x:c r="A1302" s="1" t="n">
        <x:v>1286</x:v>
      </x:c>
      <x:c r="B1302" s="16" t="n">
        <x:v>0.16496378280771792</x:v>
      </x:c>
      <x:c r="C1302" s="16" t="n">
        <x:f>$B$12+$D$12*B1302</x:f>
        <x:v>0.0026737565737553377</x:v>
      </x:c>
      <x:c r="D1302" s="12" t="n">
        <x:f>D1301*EXP(C1302)</x:f>
        <x:v>269.411901078561</x:v>
      </x:c>
      <x:c r="E1302" s="16" t="n">
        <x:f>ABS(C1302)</x:f>
        <x:v>0.0026737565737553377</x:v>
      </x:c>
      <x:c r="F1302" s="16" t="n">
        <x:f>C1302^2</x:f>
        <x:v>0.000007148974215699883</x:v>
      </x:c>
      <x:c r="G1302" s="1"/>
      <x:c r="H1302" s="1"/>
      <x:c r="I1302" s="1"/>
      <x:c r="J1302" s="1"/>
      <x:c r="K1302" s="1"/>
      <x:c r="L1302" s="1"/>
      <x:c r="M1302" s="1"/>
      <x:c r="N1302" s="1"/>
    </x:row>
    <x:row r="1303" ht="22" customHeight="1">
      <x:c r="A1303" s="1" t="n">
        <x:v>1287</x:v>
      </x:c>
      <x:c r="B1303" s="16" t="n">
        <x:v>2.655710566941552</x:v>
      </x:c>
      <x:c r="C1303" s="16" t="n">
        <x:f>$B$12+$D$12*B1303</x:f>
        <x:v>0.03560473096332601</x:v>
      </x:c>
      <x:c r="D1303" s="12" t="n">
        <x:f>D1302*EXP(C1303)</x:f>
        <x:v>279.1770505116559</x:v>
      </x:c>
      <x:c r="E1303" s="16" t="n">
        <x:f>ABS(C1303)</x:f>
        <x:v>0.03560473096332601</x:v>
      </x:c>
      <x:c r="F1303" s="16" t="n">
        <x:f>C1303^2</x:f>
        <x:v>0.0012676968669708259</x:v>
      </x:c>
      <x:c r="G1303" s="1"/>
      <x:c r="H1303" s="1"/>
      <x:c r="I1303" s="1"/>
      <x:c r="J1303" s="1"/>
      <x:c r="K1303" s="1"/>
      <x:c r="L1303" s="1"/>
      <x:c r="M1303" s="1"/>
      <x:c r="N1303" s="1"/>
    </x:row>
    <x:row r="1304" ht="22" customHeight="1">
      <x:c r="A1304" s="1" t="n">
        <x:v>1288</x:v>
      </x:c>
      <x:c r="B1304" s="16" t="n">
        <x:v>-1.2116414468091763</x:v>
      </x:c>
      <x:c r="C1304" s="16" t="n">
        <x:f>$B$12+$D$12*B1304</x:f>
        <x:v>-0.015526789483289033</x:v>
      </x:c>
      <x:c r="D1304" s="12" t="n">
        <x:f>D1303*EXP(C1304)</x:f>
        <x:v>274.875805891745</x:v>
      </x:c>
      <x:c r="E1304" s="16" t="n">
        <x:f>ABS(C1304)</x:f>
        <x:v>0.015526789483289033</x:v>
      </x:c>
      <x:c r="F1304" s="16" t="n">
        <x:f>C1304^2</x:f>
        <x:v>0.0002410811916583749</x:v>
      </x:c>
      <x:c r="G1304" s="1"/>
      <x:c r="H1304" s="1"/>
      <x:c r="I1304" s="1"/>
      <x:c r="J1304" s="1"/>
      <x:c r="K1304" s="1"/>
      <x:c r="L1304" s="1"/>
      <x:c r="M1304" s="1"/>
      <x:c r="N1304" s="1"/>
    </x:row>
    <x:row r="1305" ht="22" customHeight="1">
      <x:c r="A1305" s="1" t="n">
        <x:v>1289</x:v>
      </x:c>
      <x:c r="B1305" s="16" t="n">
        <x:v>-0.4363676713857314</x:v>
      </x:c>
      <x:c r="C1305" s="16" t="n">
        <x:f>$B$12+$D$12*B1305</x:f>
        <x:v>-0.0052766424165515535</x:v>
      </x:c>
      <x:c r="D1305" s="12" t="n">
        <x:f>D1304*EXP(C1305)</x:f>
        <x:v>273.42920451066635</x:v>
      </x:c>
      <x:c r="E1305" s="16" t="n">
        <x:f>ABS(C1305)</x:f>
        <x:v>0.0052766424165515535</x:v>
      </x:c>
      <x:c r="F1305" s="16" t="n">
        <x:f>C1305^2</x:f>
        <x:v>0.000027842955192151018</x:v>
      </x:c>
      <x:c r="G1305" s="1"/>
      <x:c r="H1305" s="1"/>
      <x:c r="I1305" s="1"/>
      <x:c r="J1305" s="1"/>
      <x:c r="K1305" s="1"/>
      <x:c r="L1305" s="1"/>
      <x:c r="M1305" s="1"/>
      <x:c r="N1305" s="1"/>
    </x:row>
    <x:row r="1306" ht="22" customHeight="1">
      <x:c r="A1306" s="1" t="n">
        <x:v>1290</x:v>
      </x:c>
      <x:c r="B1306" s="16" t="n">
        <x:v>0.2970040158722032</x:v>
      </x:c>
      <x:c r="C1306" s="16" t="n">
        <x:f>$B$12+$D$12*B1306</x:f>
        <x:v>0.004419503496380238</x:v>
      </x:c>
      <x:c r="D1306" s="12" t="n">
        <x:f>D1305*EXP(C1306)</x:f>
        <x:v>274.6403000853166</x:v>
      </x:c>
      <x:c r="E1306" s="16" t="n">
        <x:f>ABS(C1306)</x:f>
        <x:v>0.004419503496380238</x:v>
      </x:c>
      <x:c r="F1306" s="16" t="n">
        <x:f>C1306^2</x:f>
        <x:v>0.000019532011154517148</x:v>
      </x:c>
      <x:c r="G1306" s="1"/>
      <x:c r="H1306" s="1"/>
      <x:c r="I1306" s="1"/>
      <x:c r="J1306" s="1"/>
      <x:c r="K1306" s="1"/>
      <x:c r="L1306" s="1"/>
      <x:c r="M1306" s="1"/>
      <x:c r="N1306" s="1"/>
    </x:row>
    <x:row r="1307" ht="22" customHeight="1">
      <x:c r="A1307" s="1" t="n">
        <x:v>1291</x:v>
      </x:c>
      <x:c r="B1307" s="16" t="n">
        <x:v>0.6312181351848783</x:v>
      </x:c>
      <x:c r="C1307" s="16" t="n">
        <x:f>$B$12+$D$12*B1307</x:f>
        <x:v>0.008838257210658743</x:v>
      </x:c>
      <x:c r="D1307" s="12" t="n">
        <x:f>D1306*EXP(C1307)</x:f>
        <x:v>277.0784001044684</x:v>
      </x:c>
      <x:c r="E1307" s="16" t="n">
        <x:f>ABS(C1307)</x:f>
        <x:v>0.008838257210658743</x:v>
      </x:c>
      <x:c r="F1307" s="16" t="n">
        <x:f>C1307^2</x:f>
        <x:v>0.00007811479052176126</x:v>
      </x:c>
      <x:c r="G1307" s="1"/>
      <x:c r="H1307" s="1"/>
      <x:c r="I1307" s="1"/>
      <x:c r="J1307" s="1"/>
      <x:c r="K1307" s="1"/>
      <x:c r="L1307" s="1"/>
      <x:c r="M1307" s="1"/>
      <x:c r="N1307" s="1"/>
    </x:row>
    <x:row r="1308" ht="22" customHeight="1">
      <x:c r="A1308" s="1" t="n">
        <x:v>1292</x:v>
      </x:c>
      <x:c r="B1308" s="16" t="n">
        <x:v>-0.250274539459288</x:v>
      </x:c>
      <x:c r="C1308" s="16" t="n">
        <x:f>$B$12+$D$12*B1308</x:f>
        <x:v>-0.002816244514772944</x:v>
      </x:c>
      <x:c r="D1308" s="12" t="n">
        <x:f>D1307*EXP(C1308)</x:f>
        <x:v>276.2991773359523</x:v>
      </x:c>
      <x:c r="E1308" s="16" t="n">
        <x:f>ABS(C1308)</x:f>
        <x:v>0.002816244514772944</x:v>
      </x:c>
      <x:c r="F1308" s="16" t="n">
        <x:f>C1308^2</x:f>
        <x:v>0.000007931233166988696</x:v>
      </x:c>
      <x:c r="G1308" s="1"/>
      <x:c r="H1308" s="1"/>
      <x:c r="I1308" s="1"/>
      <x:c r="J1308" s="1"/>
      <x:c r="K1308" s="1"/>
      <x:c r="L1308" s="1"/>
      <x:c r="M1308" s="1"/>
      <x:c r="N1308" s="1"/>
    </x:row>
    <x:row r="1309" ht="22" customHeight="1">
      <x:c r="A1309" s="1" t="n">
        <x:v>1293</x:v>
      </x:c>
      <x:c r="B1309" s="16" t="n">
        <x:v>0.05991773187358646</x:v>
      </x:c>
      <x:c r="C1309" s="16" t="n">
        <x:f>$B$12+$D$12*B1309</x:f>
        <x:v>0.0012849085242172982</x:v>
      </x:c>
      <x:c r="D1309" s="12" t="n">
        <x:f>D1308*EXP(C1309)</x:f>
        <x:v>276.6544246854435</x:v>
      </x:c>
      <x:c r="E1309" s="16" t="n">
        <x:f>ABS(C1309)</x:f>
        <x:v>0.0012849085242172982</x:v>
      </x:c>
      <x:c r="F1309" s="16" t="n">
        <x:f>C1309^2</x:f>
        <x:v>0.0000016509899156062754</x:v>
      </x:c>
      <x:c r="G1309" s="1"/>
      <x:c r="H1309" s="1"/>
      <x:c r="I1309" s="1"/>
      <x:c r="J1309" s="1"/>
      <x:c r="K1309" s="1"/>
      <x:c r="L1309" s="1"/>
      <x:c r="M1309" s="1"/>
      <x:c r="N1309" s="1"/>
    </x:row>
    <x:row r="1310" ht="22" customHeight="1">
      <x:c r="A1310" s="1" t="n">
        <x:v>1294</x:v>
      </x:c>
      <x:c r="B1310" s="16" t="n">
        <x:v>0.3755803043675206</x:v>
      </x:c>
      <x:c r="C1310" s="16" t="n">
        <x:f>$B$12+$D$12*B1310</x:f>
        <x:v>0.005458386196359979</x:v>
      </x:c>
      <x:c r="D1310" s="12" t="n">
        <x:f>D1309*EXP(C1310)</x:f>
        <x:v>278.16864020531403</x:v>
      </x:c>
      <x:c r="E1310" s="16" t="n">
        <x:f>ABS(C1310)</x:f>
        <x:v>0.005458386196359979</x:v>
      </x:c>
      <x:c r="F1310" s="16" t="n">
        <x:f>C1310^2</x:f>
        <x:v>0.000029793979868613154</x:v>
      </x:c>
      <x:c r="G1310" s="1"/>
      <x:c r="H1310" s="1"/>
      <x:c r="I1310" s="1"/>
      <x:c r="J1310" s="1"/>
      <x:c r="K1310" s="1"/>
      <x:c r="L1310" s="1"/>
      <x:c r="M1310" s="1"/>
      <x:c r="N1310" s="1"/>
    </x:row>
    <x:row r="1311" ht="22" customHeight="1">
      <x:c r="A1311" s="1" t="n">
        <x:v>1295</x:v>
      </x:c>
      <x:c r="B1311" s="16" t="n">
        <x:v>-1.5133402178409951</x:v>
      </x:c>
      <x:c r="C1311" s="16" t="n">
        <x:f>$B$12+$D$12*B1311</x:f>
        <x:v>-0.019515647188737717</x:v>
      </x:c>
      <x:c r="D1311" s="12" t="n">
        <x:f>D1310*EXP(C1311)</x:f>
        <x:v>272.7926279679522</x:v>
      </x:c>
      <x:c r="E1311" s="16" t="n">
        <x:f>ABS(C1311)</x:f>
        <x:v>0.019515647188737717</x:v>
      </x:c>
      <x:c r="F1311" s="16" t="n">
        <x:f>C1311^2</x:f>
        <x:v>0.00038086048519528636</x:v>
      </x:c>
      <x:c r="G1311" s="1"/>
      <x:c r="H1311" s="1"/>
      <x:c r="I1311" s="1"/>
      <x:c r="J1311" s="1"/>
      <x:c r="K1311" s="1"/>
      <x:c r="L1311" s="1"/>
      <x:c r="M1311" s="1"/>
      <x:c r="N1311" s="1"/>
    </x:row>
    <x:row r="1312" ht="22" customHeight="1">
      <x:c r="A1312" s="1" t="n">
        <x:v>1296</x:v>
      </x:c>
      <x:c r="B1312" s="16" t="n">
        <x:v>-0.553941495244744</x:v>
      </x:c>
      <x:c r="C1312" s="16" t="n">
        <x:f>$B$12+$D$12*B1312</x:f>
        <x:v>-0.006831124231824267</x:v>
      </x:c>
      <x:c r="D1312" s="12" t="n">
        <x:f>D1311*EXP(C1312)</x:f>
        <x:v>270.9354980013294</x:v>
      </x:c>
      <x:c r="E1312" s="16" t="n">
        <x:f>ABS(C1312)</x:f>
        <x:v>0.006831124231824267</x:v>
      </x:c>
      <x:c r="F1312" s="16" t="n">
        <x:f>C1312^2</x:f>
        <x:v>0.000046664258270616684</x:v>
      </x:c>
      <x:c r="G1312" s="1"/>
      <x:c r="H1312" s="1"/>
      <x:c r="I1312" s="1"/>
      <x:c r="J1312" s="1"/>
      <x:c r="K1312" s="1"/>
      <x:c r="L1312" s="1"/>
      <x:c r="M1312" s="1"/>
      <x:c r="N1312" s="1"/>
    </x:row>
    <x:row r="1313" ht="22" customHeight="1">
      <x:c r="A1313" s="1" t="n">
        <x:v>1297</x:v>
      </x:c>
      <x:c r="B1313" s="16" t="n">
        <x:v>0.7502941009078962</x:v>
      </x:c>
      <x:c r="C1313" s="16" t="n">
        <x:f>$B$12+$D$12*B1313</x:f>
        <x:v>0.010412599332715015</x:v>
      </x:c>
      <x:c r="D1313" s="12" t="n">
        <x:f>D1312*EXP(C1313)</x:f>
        <x:v>273.77137961385006</x:v>
      </x:c>
      <x:c r="E1313" s="16" t="n">
        <x:f>ABS(C1313)</x:f>
        <x:v>0.010412599332715015</x:v>
      </x:c>
      <x:c r="F1313" s="16" t="n">
        <x:f>C1313^2</x:f>
        <x:v>0.00010842222486365718</x:v>
      </x:c>
      <x:c r="G1313" s="1"/>
      <x:c r="H1313" s="1"/>
      <x:c r="I1313" s="1"/>
      <x:c r="J1313" s="1"/>
      <x:c r="K1313" s="1"/>
      <x:c r="L1313" s="1"/>
      <x:c r="M1313" s="1"/>
      <x:c r="N1313" s="1"/>
    </x:row>
    <x:row r="1314" ht="22" customHeight="1">
      <x:c r="A1314" s="1" t="n">
        <x:v>1298</x:v>
      </x:c>
      <x:c r="B1314" s="16" t="n">
        <x:v>-0.9136469263015491</x:v>
      </x:c>
      <x:c r="C1314" s="16" t="n">
        <x:f>$B$12+$D$12*B1314</x:f>
        <x:v>-0.011586906880376568</x:v>
      </x:c>
      <x:c r="D1314" s="12" t="n">
        <x:f>D1313*EXP(C1314)</x:f>
        <x:v>270.6175231377787</x:v>
      </x:c>
      <x:c r="E1314" s="16" t="n">
        <x:f>ABS(C1314)</x:f>
        <x:v>0.011586906880376568</x:v>
      </x:c>
      <x:c r="F1314" s="16" t="n">
        <x:f>C1314^2</x:f>
        <x:v>0.00013425641105451784</x:v>
      </x:c>
      <x:c r="G1314" s="1"/>
      <x:c r="H1314" s="1"/>
      <x:c r="I1314" s="1"/>
      <x:c r="J1314" s="1"/>
      <x:c r="K1314" s="1"/>
      <x:c r="L1314" s="1"/>
      <x:c r="M1314" s="1"/>
      <x:c r="N1314" s="1"/>
    </x:row>
    <x:row r="1315" ht="22" customHeight="1">
      <x:c r="A1315" s="1" t="n">
        <x:v>1299</x:v>
      </x:c>
      <x:c r="B1315" s="16" t="n">
        <x:v>-0.15345414591682208</x:v>
      </x:c>
      <x:c r="C1315" s="16" t="n">
        <x:f>$B$12+$D$12*B1315</x:f>
        <x:v>-0.0015361505604435505</x:v>
      </x:c>
      <x:c r="D1315" s="12" t="n">
        <x:f>D1314*EXP(C1315)</x:f>
        <x:v>270.20213301051814</x:v>
      </x:c>
      <x:c r="E1315" s="16" t="n">
        <x:f>ABS(C1315)</x:f>
        <x:v>0.0015361505604435505</x:v>
      </x:c>
      <x:c r="F1315" s="16" t="n">
        <x:f>C1315^2</x:f>
        <x:v>0.0000023597585443510344</x:v>
      </x:c>
      <x:c r="G1315" s="1"/>
      <x:c r="H1315" s="1"/>
      <x:c r="I1315" s="1"/>
      <x:c r="J1315" s="1"/>
      <x:c r="K1315" s="1"/>
      <x:c r="L1315" s="1"/>
      <x:c r="M1315" s="1"/>
      <x:c r="N1315" s="1"/>
    </x:row>
    <x:row r="1316" ht="22" customHeight="1">
      <x:c r="A1316" s="1" t="n">
        <x:v>1300</x:v>
      </x:c>
      <x:c r="B1316" s="16" t="n">
        <x:v>-0.004677221158245879</x:v>
      </x:c>
      <x:c r="C1316" s="16" t="n">
        <x:f>$B$12+$D$12*B1316</x:f>
        <x:v>0.0004308776136739273</x:v>
      </x:c>
      <x:c r="D1316" s="12" t="n">
        <x:f>D1315*EXP(C1316)</x:f>
        <x:v>270.3185821466607</x:v>
      </x:c>
      <x:c r="E1316" s="16" t="n">
        <x:f>ABS(C1316)</x:f>
        <x:v>0.0004308776136739273</x:v>
      </x:c>
      <x:c r="F1316" s="16" t="n">
        <x:f>C1316^2</x:f>
        <x:v>1.8565551796533814e-7</x:v>
      </x:c>
      <x:c r="G1316" s="1"/>
      <x:c r="H1316" s="1"/>
      <x:c r="I1316" s="1"/>
      <x:c r="J1316" s="1"/>
      <x:c r="K1316" s="1"/>
      <x:c r="L1316" s="1"/>
      <x:c r="M1316" s="1"/>
      <x:c r="N1316" s="1"/>
    </x:row>
    <x:row r="1317" ht="22" customHeight="1">
      <x:c r="A1317" s="1" t="n">
        <x:v>1301</x:v>
      </x:c>
      <x:c r="B1317" s="16" t="n">
        <x:v>0.09000240530452358</x:v>
      </x:c>
      <x:c r="C1317" s="16" t="n">
        <x:f>$B$12+$D$12*B1317</x:f>
        <x:v>0.0016826677892633085</x:v>
      </x:c>
      <x:c r="D1317" s="12" t="n">
        <x:f>D1316*EXP(C1317)</x:f>
        <x:v>270.7738214184951</x:v>
      </x:c>
      <x:c r="E1317" s="16" t="n">
        <x:f>ABS(C1317)</x:f>
        <x:v>0.0016826677892633085</x:v>
      </x:c>
      <x:c r="F1317" s="16" t="n">
        <x:f>C1317^2</x:f>
        <x:v>0.00000283137088902427</x:v>
      </x:c>
      <x:c r="G1317" s="1"/>
      <x:c r="H1317" s="1"/>
      <x:c r="I1317" s="1"/>
      <x:c r="J1317" s="1"/>
      <x:c r="K1317" s="1"/>
      <x:c r="L1317" s="1"/>
      <x:c r="M1317" s="1"/>
      <x:c r="N1317" s="1"/>
    </x:row>
    <x:row r="1318" ht="22" customHeight="1">
      <x:c r="A1318" s="1" t="n">
        <x:v>1302</x:v>
      </x:c>
      <x:c r="B1318" s="16" t="n">
        <x:v>0.9664739545955812</x:v>
      </x:c>
      <x:c r="C1318" s="16" t="n">
        <x:f>$B$12+$D$12*B1318</x:f>
        <x:v>0.013270783581181665</x:v>
      </x:c>
      <x:c r="D1318" s="12" t="n">
        <x:f>D1317*EXP(C1318)</x:f>
        <x:v>274.391151516131</x:v>
      </x:c>
      <x:c r="E1318" s="16" t="n">
        <x:f>ABS(C1318)</x:f>
        <x:v>0.013270783581181665</x:v>
      </x:c>
      <x:c r="F1318" s="16" t="n">
        <x:f>C1318^2</x:f>
        <x:v>0.00017611369685856086</x:v>
      </x:c>
      <x:c r="G1318" s="1"/>
      <x:c r="H1318" s="1"/>
      <x:c r="I1318" s="1"/>
      <x:c r="J1318" s="1"/>
      <x:c r="K1318" s="1"/>
      <x:c r="L1318" s="1"/>
      <x:c r="M1318" s="1"/>
      <x:c r="N1318" s="1"/>
    </x:row>
    <x:row r="1319" ht="22" customHeight="1">
      <x:c r="A1319" s="1" t="n">
        <x:v>1303</x:v>
      </x:c>
      <x:c r="B1319" s="16" t="n">
        <x:v>-0.1080618231789736</x:v>
      </x:c>
      <x:c r="C1319" s="16" t="n">
        <x:f>$B$12+$D$12*B1319</x:f>
        <x:v>-0.0009360038786992475</x:v>
      </x:c>
      <x:c r="D1319" s="12" t="n">
        <x:f>D1318*EXP(C1319)</x:f>
        <x:v>274.1344404940295</x:v>
      </x:c>
      <x:c r="E1319" s="16" t="n">
        <x:f>ABS(C1319)</x:f>
        <x:v>0.0009360038786992475</x:v>
      </x:c>
      <x:c r="F1319" s="16" t="n">
        <x:f>C1319^2</x:f>
        <x:v>8.761032609400356e-7</x:v>
      </x:c>
      <x:c r="G1319" s="1"/>
      <x:c r="H1319" s="1"/>
      <x:c r="I1319" s="1"/>
      <x:c r="J1319" s="1"/>
      <x:c r="K1319" s="1"/>
      <x:c r="L1319" s="1"/>
      <x:c r="M1319" s="1"/>
      <x:c r="N1319" s="1"/>
    </x:row>
    <x:row r="1320" ht="22" customHeight="1">
      <x:c r="A1320" s="1" t="n">
        <x:v>1304</x:v>
      </x:c>
      <x:c r="B1320" s="16" t="n">
        <x:v>0.045294149219127035</x:v>
      </x:c>
      <x:c r="C1320" s="16" t="n">
        <x:f>$B$12+$D$12*B1320</x:f>
        <x:v>0.0010915653755096946</x:v>
      </x:c>
      <x:c r="D1320" s="12" t="n">
        <x:f>D1319*EXP(C1320)</x:f>
        <x:v>274.4338395345923</x:v>
      </x:c>
      <x:c r="E1320" s="16" t="n">
        <x:f>ABS(C1320)</x:f>
        <x:v>0.0010915653755096946</x:v>
      </x:c>
      <x:c r="F1320" s="16" t="n">
        <x:f>C1320^2</x:f>
        <x:v>0.0000011915149690116206</x:v>
      </x:c>
      <x:c r="G1320" s="1"/>
      <x:c r="H1320" s="1"/>
      <x:c r="I1320" s="1"/>
      <x:c r="J1320" s="1"/>
      <x:c r="K1320" s="1"/>
      <x:c r="L1320" s="1"/>
      <x:c r="M1320" s="1"/>
      <x:c r="N1320" s="1"/>
    </x:row>
    <x:row r="1321" ht="22" customHeight="1">
      <x:c r="A1321" s="1" t="n">
        <x:v>1305</x:v>
      </x:c>
      <x:c r="B1321" s="16" t="n">
        <x:v>0.5690088585387708</x:v>
      </x:c>
      <x:c r="C1321" s="16" t="n">
        <x:f>$B$12+$D$12*B1321</x:f>
        <x:v>0.008015768104549511</x:v>
      </x:c>
      <x:c r="D1321" s="12" t="n">
        <x:f>D1320*EXP(C1321)</x:f>
        <x:v>276.6424776921203</x:v>
      </x:c>
      <x:c r="E1321" s="16" t="n">
        <x:f>ABS(C1321)</x:f>
        <x:v>0.008015768104549511</x:v>
      </x:c>
      <x:c r="F1321" s="16" t="n">
        <x:f>C1321^2</x:f>
        <x:v>0.00006425253830591325</x:v>
      </x:c>
      <x:c r="G1321" s="1"/>
      <x:c r="H1321" s="1"/>
      <x:c r="I1321" s="1"/>
      <x:c r="J1321" s="1"/>
      <x:c r="K1321" s="1"/>
      <x:c r="L1321" s="1"/>
      <x:c r="M1321" s="1"/>
      <x:c r="N1321" s="1"/>
    </x:row>
    <x:row r="1322" ht="22" customHeight="1">
      <x:c r="A1322" s="1" t="n">
        <x:v>1306</x:v>
      </x:c>
      <x:c r="B1322" s="16" t="n">
        <x:v>-1.0594527155669844</x:v>
      </x:c>
      <x:c r="C1322" s="16" t="n">
        <x:f>$B$12+$D$12*B1322</x:f>
        <x:v>-0.01351465270453546</x:v>
      </x:c>
      <x:c r="D1322" s="12" t="n">
        <x:f>D1321*EXP(C1322)</x:f>
        <x:v>272.9289010543357</x:v>
      </x:c>
      <x:c r="E1322" s="16" t="n">
        <x:f>ABS(C1322)</x:f>
        <x:v>0.01351465270453546</x:v>
      </x:c>
      <x:c r="F1322" s="16" t="n">
        <x:f>C1322^2</x:f>
        <x:v>0.00018264583772420763</x:v>
      </x:c>
      <x:c r="G1322" s="1"/>
      <x:c r="H1322" s="1"/>
      <x:c r="I1322" s="1"/>
      <x:c r="J1322" s="1"/>
      <x:c r="K1322" s="1"/>
      <x:c r="L1322" s="1"/>
      <x:c r="M1322" s="1"/>
      <x:c r="N1322" s="1"/>
    </x:row>
    <x:row r="1323" ht="22" customHeight="1">
      <x:c r="A1323" s="1" t="n">
        <x:v>1307</x:v>
      </x:c>
      <x:c r="B1323" s="16" t="n">
        <x:v>0.08146753319283405</x:v>
      </x:c>
      <x:c r="C1323" s="16" t="n">
        <x:f>$B$12+$D$12*B1323</x:f>
        <x:v>0.001569825465539884</x:v>
      </x:c>
      <x:c r="D1323" s="12" t="n">
        <x:f>D1322*EXP(C1323)</x:f>
        <x:v>273.3576882659778</x:v>
      </x:c>
      <x:c r="E1323" s="16" t="n">
        <x:f>ABS(C1323)</x:f>
        <x:v>0.001569825465539884</x:v>
      </x:c>
      <x:c r="F1323" s="16" t="n">
        <x:f>C1323^2</x:f>
        <x:v>0.0000024643519922575133</x:v>
      </x:c>
      <x:c r="G1323" s="1"/>
      <x:c r="H1323" s="1"/>
      <x:c r="I1323" s="1"/>
      <x:c r="J1323" s="1"/>
      <x:c r="K1323" s="1"/>
      <x:c r="L1323" s="1"/>
      <x:c r="M1323" s="1"/>
      <x:c r="N1323" s="1"/>
    </x:row>
    <x:row r="1324" ht="22" customHeight="1">
      <x:c r="A1324" s="1" t="n">
        <x:v>1308</x:v>
      </x:c>
      <x:c r="B1324" s="16" t="n">
        <x:v>0.650656309967017</x:v>
      </x:c>
      <x:c r="C1324" s="16" t="n">
        <x:f>$B$12+$D$12*B1324</x:f>
        <x:v>0.009095255649845008</x:v>
      </x:c>
      <x:c r="D1324" s="12" t="n">
        <x:f>D1323*EXP(C1324)</x:f>
        <x:v>275.8552872577544</x:v>
      </x:c>
      <x:c r="E1324" s="16" t="n">
        <x:f>ABS(C1324)</x:f>
        <x:v>0.009095255649845008</x:v>
      </x:c>
      <x:c r="F1324" s="16" t="n">
        <x:f>C1324^2</x:f>
        <x:v>0.00008272367533603753</x:v>
      </x:c>
      <x:c r="G1324" s="1"/>
      <x:c r="H1324" s="1"/>
      <x:c r="I1324" s="1"/>
      <x:c r="J1324" s="1"/>
      <x:c r="K1324" s="1"/>
      <x:c r="L1324" s="1"/>
      <x:c r="M1324" s="1"/>
      <x:c r="N1324" s="1"/>
    </x:row>
    <x:row r="1325" ht="22" customHeight="1">
      <x:c r="A1325" s="1" t="n">
        <x:v>1309</x:v>
      </x:c>
      <x:c r="B1325" s="16" t="n">
        <x:v>0.5638632985120272</x:v>
      </x:c>
      <x:c r="C1325" s="16" t="n">
        <x:f>$B$12+$D$12*B1325</x:f>
        <x:v>0.007947736979691662</x:v>
      </x:c>
      <x:c r="D1325" s="12" t="n">
        <x:f>D1324*EXP(C1325)</x:f>
        <x:v>278.0564480622711</x:v>
      </x:c>
      <x:c r="E1325" s="16" t="n">
        <x:f>ABS(C1325)</x:f>
        <x:v>0.007947736979691662</x:v>
      </x:c>
      <x:c r="F1325" s="16" t="n">
        <x:f>C1325^2</x:f>
        <x:v>0.00006316652309835833</x:v>
      </x:c>
      <x:c r="G1325" s="1"/>
      <x:c r="H1325" s="1"/>
      <x:c r="I1325" s="1"/>
      <x:c r="J1325" s="1"/>
      <x:c r="K1325" s="1"/>
      <x:c r="L1325" s="1"/>
      <x:c r="M1325" s="1"/>
      <x:c r="N1325" s="1"/>
    </x:row>
    <x:row r="1326" ht="22" customHeight="1">
      <x:c r="A1326" s="1" t="n">
        <x:v>1310</x:v>
      </x:c>
      <x:c r="B1326" s="16" t="n">
        <x:v>-0.4803507934521541</x:v>
      </x:c>
      <x:c r="C1326" s="16" t="n">
        <x:f>$B$12+$D$12*B1326</x:f>
        <x:v>-0.005858157597287364</x:v>
      </x:c>
      <x:c r="D1326" s="12" t="n">
        <x:f>D1325*EXP(C1326)</x:f>
        <x:v>276.4323114374929</x:v>
      </x:c>
      <x:c r="E1326" s="16" t="n">
        <x:f>ABS(C1326)</x:f>
        <x:v>0.005858157597287364</x:v>
      </x:c>
      <x:c r="F1326" s="16" t="n">
        <x:f>C1326^2</x:f>
        <x:v>0.00003431801043465566</x:v>
      </x:c>
      <x:c r="G1326" s="1"/>
      <x:c r="H1326" s="1"/>
      <x:c r="I1326" s="1"/>
      <x:c r="J1326" s="1"/>
      <x:c r="K1326" s="1"/>
      <x:c r="L1326" s="1"/>
      <x:c r="M1326" s="1"/>
      <x:c r="N1326" s="1"/>
    </x:row>
    <x:row r="1327" ht="22" customHeight="1">
      <x:c r="A1327" s="1" t="n">
        <x:v>1311</x:v>
      </x:c>
      <x:c r="B1327" s="16" t="n">
        <x:v>-0.6309411628250013</x:v>
      </x:c>
      <x:c r="C1327" s="16" t="n">
        <x:f>$B$12+$D$12*B1327</x:f>
        <x:v>-0.007849161913231012</x:v>
      </x:c>
      <x:c r="D1327" s="12" t="n">
        <x:f>D1326*EXP(C1327)</x:f>
        <x:v>274.27104263753023</x:v>
      </x:c>
      <x:c r="E1327" s="16" t="n">
        <x:f>ABS(C1327)</x:f>
        <x:v>0.007849161913231012</x:v>
      </x:c>
      <x:c r="F1327" s="16" t="n">
        <x:f>C1327^2</x:f>
        <x:v>0.00006160934274011632</x:v>
      </x:c>
      <x:c r="G1327" s="1"/>
      <x:c r="H1327" s="1"/>
      <x:c r="I1327" s="1"/>
      <x:c r="J1327" s="1"/>
      <x:c r="K1327" s="1"/>
      <x:c r="L1327" s="1"/>
      <x:c r="M1327" s="1"/>
      <x:c r="N1327" s="1"/>
    </x:row>
    <x:row r="1328" ht="22" customHeight="1">
      <x:c r="A1328" s="1" t="n">
        <x:v>1312</x:v>
      </x:c>
      <x:c r="B1328" s="16" t="n">
        <x:v>-1.0388295384658242</x:v>
      </x:c>
      <x:c r="C1328" s="16" t="n">
        <x:f>$B$12+$D$12*B1328</x:f>
        <x:v>-0.013241986963772068</x:v>
      </x:c>
      <x:c r="D1328" s="12" t="n">
        <x:f>D1327*EXP(C1328)</x:f>
        <x:v>270.66309001827824</x:v>
      </x:c>
      <x:c r="E1328" s="16" t="n">
        <x:f>ABS(C1328)</x:f>
        <x:v>0.013241986963772068</x:v>
      </x:c>
      <x:c r="F1328" s="16" t="n">
        <x:f>C1328^2</x:f>
        <x:v>0.0001753502187487094</x:v>
      </x:c>
      <x:c r="G1328" s="1"/>
      <x:c r="H1328" s="1"/>
      <x:c r="I1328" s="1"/>
      <x:c r="J1328" s="1"/>
      <x:c r="K1328" s="1"/>
      <x:c r="L1328" s="1"/>
      <x:c r="M1328" s="1"/>
      <x:c r="N1328" s="1"/>
    </x:row>
    <x:row r="1329" ht="22" customHeight="1">
      <x:c r="A1329" s="1" t="n">
        <x:v>1313</x:v>
      </x:c>
      <x:c r="B1329" s="16" t="n">
        <x:v>-1.7796330362397415</x:v>
      </x:c>
      <x:c r="C1329" s="16" t="n">
        <x:f>$B$12+$D$12*B1329</x:f>
        <x:v>-0.023036391263838576</x:v>
      </x:c>
      <x:c r="D1329" s="12" t="n">
        <x:f>D1328*EXP(C1329)</x:f>
        <x:v>264.49925797958696</x:v>
      </x:c>
      <x:c r="E1329" s="16" t="n">
        <x:f>ABS(C1329)</x:f>
        <x:v>0.023036391263838576</x:v>
      </x:c>
      <x:c r="F1329" s="16" t="n">
        <x:f>C1329^2</x:f>
        <x:v>0.0005306753224606582</x:v>
      </x:c>
      <x:c r="G1329" s="1"/>
      <x:c r="H1329" s="1"/>
      <x:c r="I1329" s="1"/>
      <x:c r="J1329" s="1"/>
      <x:c r="K1329" s="1"/>
      <x:c r="L1329" s="1"/>
      <x:c r="M1329" s="1"/>
      <x:c r="N1329" s="1"/>
    </x:row>
    <x:row r="1330" ht="22" customHeight="1">
      <x:c r="A1330" s="1" t="n">
        <x:v>1314</x:v>
      </x:c>
      <x:c r="B1330" s="16" t="n">
        <x:v>-1.6593341142597715</x:v>
      </x:c>
      <x:c r="C1330" s="16" t="n">
        <x:f>$B$12+$D$12*B1330</x:f>
        <x:v>-0.021445880038831414</x:v>
      </x:c>
      <x:c r="D1330" s="12" t="n">
        <x:f>D1329*EXP(C1330)</x:f>
        <x:v>258.8872311411052</x:v>
      </x:c>
      <x:c r="E1330" s="16" t="n">
        <x:f>ABS(C1330)</x:f>
        <x:v>0.021445880038831414</x:v>
      </x:c>
      <x:c r="F1330" s="16" t="n">
        <x:f>C1330^2</x:f>
        <x:v>0.0004599257706399477</x:v>
      </x:c>
      <x:c r="G1330" s="1"/>
      <x:c r="H1330" s="1"/>
      <x:c r="I1330" s="1"/>
      <x:c r="J1330" s="1"/>
      <x:c r="K1330" s="1"/>
      <x:c r="L1330" s="1"/>
      <x:c r="M1330" s="1"/>
      <x:c r="N1330" s="1"/>
    </x:row>
    <x:row r="1331" ht="22" customHeight="1">
      <x:c r="A1331" s="1" t="n">
        <x:v>1315</x:v>
      </x:c>
      <x:c r="B1331" s="16" t="n">
        <x:v>0.33343962282473405</x:v>
      </x:c>
      <x:c r="C1331" s="16" t="n">
        <x:f>$B$12+$D$12*B1331</x:f>
        <x:v>0.004901230521811092</x:v>
      </x:c>
      <x:c r="D1331" s="12" t="n">
        <x:f>D1330*EXP(C1331)</x:f>
        <x:v>260.1592117288224</x:v>
      </x:c>
      <x:c r="E1331" s="16" t="n">
        <x:f>ABS(C1331)</x:f>
        <x:v>0.004901230521811092</x:v>
      </x:c>
      <x:c r="F1331" s="16" t="n">
        <x:f>C1331^2</x:f>
        <x:v>0.00002402206062793263</x:v>
      </x:c>
      <x:c r="G1331" s="1"/>
      <x:c r="H1331" s="1"/>
      <x:c r="I1331" s="1"/>
      <x:c r="J1331" s="1"/>
      <x:c r="K1331" s="1"/>
      <x:c r="L1331" s="1"/>
      <x:c r="M1331" s="1"/>
      <x:c r="N1331" s="1"/>
    </x:row>
    <x:row r="1332" ht="22" customHeight="1">
      <x:c r="A1332" s="1" t="n">
        <x:v>1316</x:v>
      </x:c>
      <x:c r="B1332" s="16" t="n">
        <x:v>0.7343556601675366</x:v>
      </x:c>
      <x:c r="C1332" s="16" t="n">
        <x:f>$B$12+$D$12*B1332</x:f>
        <x:v>0.010201872017046516</x:v>
      </x:c>
      <x:c r="D1332" s="12" t="n">
        <x:f>D1331*EXP(C1332)</x:f>
        <x:v>262.8269073180553</x:v>
      </x:c>
      <x:c r="E1332" s="16" t="n">
        <x:f>ABS(C1332)</x:f>
        <x:v>0.010201872017046516</x:v>
      </x:c>
      <x:c r="F1332" s="16" t="n">
        <x:f>C1332^2</x:f>
        <x:v>0.00010407819265219674</x:v>
      </x:c>
      <x:c r="G1332" s="1"/>
      <x:c r="H1332" s="1"/>
      <x:c r="I1332" s="1"/>
      <x:c r="J1332" s="1"/>
      <x:c r="K1332" s="1"/>
      <x:c r="L1332" s="1"/>
      <x:c r="M1332" s="1"/>
      <x:c r="N1332" s="1"/>
    </x:row>
    <x:row r="1333" ht="22" customHeight="1">
      <x:c r="A1333" s="1" t="n">
        <x:v>1317</x:v>
      </x:c>
      <x:c r="B1333" s="16" t="n">
        <x:v>-0.2318506516493846</x:v>
      </x:c>
      <x:c r="C1333" s="16" t="n">
        <x:f>$B$12+$D$12*B1333</x:f>
        <x:v>-0.0025726562939674155</x:v>
      </x:c>
      <x:c r="D1333" s="12" t="n">
        <x:f>D1332*EXP(C1333)</x:f>
        <x:v>262.15161304320907</x:v>
      </x:c>
      <x:c r="E1333" s="16" t="n">
        <x:f>ABS(C1333)</x:f>
        <x:v>0.0025726562939674155</x:v>
      </x:c>
      <x:c r="F1333" s="16" t="n">
        <x:f>C1333^2</x:f>
        <x:v>0.000006618560406890157</x:v>
      </x:c>
      <x:c r="G1333" s="1"/>
      <x:c r="H1333" s="1"/>
      <x:c r="I1333" s="1"/>
      <x:c r="J1333" s="1"/>
      <x:c r="K1333" s="1"/>
      <x:c r="L1333" s="1"/>
      <x:c r="M1333" s="1"/>
      <x:c r="N1333" s="1"/>
    </x:row>
    <x:row r="1334" ht="22" customHeight="1">
      <x:c r="A1334" s="1" t="n">
        <x:v>1318</x:v>
      </x:c>
      <x:c r="B1334" s="16" t="n">
        <x:v>0.920194103396632</x:v>
      </x:c>
      <x:c r="C1334" s="16" t="n">
        <x:f>$B$12+$D$12*B1334</x:f>
        <x:v>0.012658902596613526</x:v>
      </x:c>
      <x:c r="D1334" s="12" t="n">
        <x:f>D1333*EXP(C1334)</x:f>
        <x:v>265.49125830284044</x:v>
      </x:c>
      <x:c r="E1334" s="16" t="n">
        <x:f>ABS(C1334)</x:f>
        <x:v>0.012658902596613526</x:v>
      </x:c>
      <x:c r="F1334" s="16" t="n">
        <x:f>C1334^2</x:f>
        <x:v>0.00016024781495054867</x:v>
      </x:c>
      <x:c r="G1334" s="1"/>
      <x:c r="H1334" s="1"/>
      <x:c r="I1334" s="1"/>
      <x:c r="J1334" s="1"/>
      <x:c r="K1334" s="1"/>
      <x:c r="L1334" s="1"/>
      <x:c r="M1334" s="1"/>
      <x:c r="N1334" s="1"/>
    </x:row>
    <x:row r="1335" ht="22" customHeight="1">
      <x:c r="A1335" s="1" t="n">
        <x:v>1319</x:v>
      </x:c>
      <x:c r="B1335" s="16" t="n">
        <x:v>0.11163466697256363</x:v>
      </x:c>
      <x:c r="C1335" s="16" t="n">
        <x:f>$B$12+$D$12*B1335</x:f>
        <x:v>0.0019686749657119767</x:v>
      </x:c>
      <x:c r="D1335" s="12" t="n">
        <x:f>D1334*EXP(C1335)</x:f>
        <x:v>266.014439114186</x:v>
      </x:c>
      <x:c r="E1335" s="16" t="n">
        <x:f>ABS(C1335)</x:f>
        <x:v>0.0019686749657119767</x:v>
      </x:c>
      <x:c r="F1335" s="16" t="n">
        <x:f>C1335^2</x:f>
        <x:v>0.000003875681120621052</x:v>
      </x:c>
      <x:c r="G1335" s="1"/>
      <x:c r="H1335" s="1"/>
      <x:c r="I1335" s="1"/>
      <x:c r="J1335" s="1"/>
      <x:c r="K1335" s="1"/>
      <x:c r="L1335" s="1"/>
      <x:c r="M1335" s="1"/>
      <x:c r="N1335" s="1"/>
    </x:row>
    <x:row r="1336" ht="22" customHeight="1">
      <x:c r="A1336" s="1" t="n">
        <x:v>1320</x:v>
      </x:c>
      <x:c r="B1336" s="16" t="n">
        <x:v>-0.8113791400432031</x:v>
      </x:c>
      <x:c r="C1336" s="16" t="n">
        <x:f>$B$12+$D$12*B1336</x:f>
        <x:v>-0.010234791172909003</x:v>
      </x:c>
      <x:c r="D1336" s="12" t="n">
        <x:f>D1335*EXP(C1336)</x:f>
        <x:v>263.3057221023705</x:v>
      </x:c>
      <x:c r="E1336" s="16" t="n">
        <x:f>ABS(C1336)</x:f>
        <x:v>0.010234791172909003</x:v>
      </x:c>
      <x:c r="F1336" s="16" t="n">
        <x:f>C1336^2</x:f>
        <x:v>0.00010475095035305604</x:v>
      </x:c>
      <x:c r="G1336" s="1"/>
      <x:c r="H1336" s="1"/>
      <x:c r="I1336" s="1"/>
      <x:c r="J1336" s="1"/>
      <x:c r="K1336" s="1"/>
      <x:c r="L1336" s="1"/>
      <x:c r="M1336" s="1"/>
      <x:c r="N1336" s="1"/>
    </x:row>
    <x:row r="1337" ht="22" customHeight="1">
      <x:c r="A1337" s="1" t="n">
        <x:v>1321</x:v>
      </x:c>
      <x:c r="B1337" s="16" t="n">
        <x:v>0.5874718914966972</x:v>
      </x:c>
      <x:c r="C1337" s="16" t="n">
        <x:f>$B$12+$D$12*B1337</x:f>
        <x:v>0.008259873876105373</x:v>
      </x:c>
      <x:c r="D1337" s="12" t="n">
        <x:f>D1336*EXP(C1337)</x:f>
        <x:v>265.4896010236768</x:v>
      </x:c>
      <x:c r="E1337" s="16" t="n">
        <x:f>ABS(C1337)</x:f>
        <x:v>0.008259873876105373</x:v>
      </x:c>
      <x:c r="F1337" s="16" t="n">
        <x:f>C1337^2</x:f>
        <x:v>0.000068225516449168</x:v>
      </x:c>
      <x:c r="G1337" s="1"/>
      <x:c r="H1337" s="1"/>
      <x:c r="I1337" s="1"/>
      <x:c r="J1337" s="1"/>
      <x:c r="K1337" s="1"/>
      <x:c r="L1337" s="1"/>
      <x:c r="M1337" s="1"/>
      <x:c r="N1337" s="1"/>
    </x:row>
    <x:row r="1338" ht="22" customHeight="1">
      <x:c r="A1338" s="1" t="n">
        <x:v>1322</x:v>
      </x:c>
      <x:c r="B1338" s="16" t="n">
        <x:v>-1.204917543899079</x:v>
      </x:c>
      <x:c r="C1338" s="16" t="n">
        <x:f>$B$12+$D$12*B1338</x:f>
        <x:v>-0.015437890573154586</x:v>
      </x:c>
      <x:c r="D1338" s="12" t="n">
        <x:f>D1337*EXP(C1338)</x:f>
        <x:v>261.422476303596</x:v>
      </x:c>
      <x:c r="E1338" s="16" t="n">
        <x:f>ABS(C1338)</x:f>
        <x:v>0.015437890573154586</x:v>
      </x:c>
      <x:c r="F1338" s="16" t="n">
        <x:f>C1338^2</x:f>
        <x:v>0.0002383284653486952</x:v>
      </x:c>
      <x:c r="G1338" s="1"/>
      <x:c r="H1338" s="1"/>
      <x:c r="I1338" s="1"/>
      <x:c r="J1338" s="1"/>
      <x:c r="K1338" s="1"/>
      <x:c r="L1338" s="1"/>
      <x:c r="M1338" s="1"/>
      <x:c r="N1338" s="1"/>
    </x:row>
    <x:row r="1339" ht="22" customHeight="1">
      <x:c r="A1339" s="1" t="n">
        <x:v>1323</x:v>
      </x:c>
      <x:c r="B1339" s="16" t="n">
        <x:v>0.5673560564863016</x:v>
      </x:c>
      <x:c r="C1339" s="16" t="n">
        <x:f>$B$12+$D$12*B1339</x:f>
        <x:v>0.007993915870349068</x:v>
      </x:c>
      <x:c r="D1339" s="12" t="n">
        <x:f>D1338*EXP(C1339)</x:f>
        <x:v>263.5206406873844</x:v>
      </x:c>
      <x:c r="E1339" s="16" t="n">
        <x:f>ABS(C1339)</x:f>
        <x:v>0.007993915870349068</x:v>
      </x:c>
      <x:c r="F1339" s="16" t="n">
        <x:f>C1339^2</x:f>
        <x:v>0.0000639026909422187</x:v>
      </x:c>
      <x:c r="G1339" s="1"/>
      <x:c r="H1339" s="1"/>
      <x:c r="I1339" s="1"/>
      <x:c r="J1339" s="1"/>
      <x:c r="K1339" s="1"/>
      <x:c r="L1339" s="1"/>
      <x:c r="M1339" s="1"/>
      <x:c r="N1339" s="1"/>
    </x:row>
    <x:row r="1340" ht="22" customHeight="1">
      <x:c r="A1340" s="1" t="n">
        <x:v>1324</x:v>
      </x:c>
      <x:c r="B1340" s="16" t="n">
        <x:v>-0.011217932519348859</x:v>
      </x:c>
      <x:c r="C1340" s="16" t="n">
        <x:f>$B$12+$D$12*B1340</x:f>
        <x:v>0.00034440073866836163</x:v>
      </x:c>
      <x:c r="D1340" s="12" t="n">
        <x:f>D1339*EXP(C1340)</x:f>
        <x:v>263.61141302082365</x:v>
      </x:c>
      <x:c r="E1340" s="16" t="n">
        <x:f>ABS(C1340)</x:f>
        <x:v>0.00034440073866836163</x:v>
      </x:c>
      <x:c r="F1340" s="16" t="n">
        <x:f>C1340^2</x:f>
        <x:v>1.1861186879531313e-7</x:v>
      </x:c>
      <x:c r="G1340" s="1"/>
      <x:c r="H1340" s="1"/>
      <x:c r="I1340" s="1"/>
      <x:c r="J1340" s="1"/>
      <x:c r="K1340" s="1"/>
      <x:c r="L1340" s="1"/>
      <x:c r="M1340" s="1"/>
      <x:c r="N1340" s="1"/>
    </x:row>
    <x:row r="1341" ht="22" customHeight="1">
      <x:c r="A1341" s="1" t="n">
        <x:v>1325</x:v>
      </x:c>
      <x:c r="B1341" s="16" t="n">
        <x:v>-0.8544233937619292</x:v>
      </x:c>
      <x:c r="C1341" s="16" t="n">
        <x:f>$B$12+$D$12*B1341</x:f>
        <x:v>-0.010803893269460536</x:v>
      </x:c>
      <x:c r="D1341" s="12" t="n">
        <x:f>D1340*EXP(C1341)</x:f>
        <x:v>260.778713097398</x:v>
      </x:c>
      <x:c r="E1341" s="16" t="n">
        <x:f>ABS(C1341)</x:f>
        <x:v>0.010803893269460536</x:v>
      </x:c>
      <x:c r="F1341" s="16" t="n">
        <x:f>C1341^2</x:f>
        <x:v>0.00011672410977789466</x:v>
      </x:c>
      <x:c r="G1341" s="1"/>
      <x:c r="H1341" s="1"/>
      <x:c r="I1341" s="1"/>
      <x:c r="J1341" s="1"/>
      <x:c r="K1341" s="1"/>
      <x:c r="L1341" s="1"/>
      <x:c r="M1341" s="1"/>
      <x:c r="N1341" s="1"/>
    </x:row>
    <x:row r="1342" ht="22" customHeight="1">
      <x:c r="A1342" s="1" t="n">
        <x:v>1326</x:v>
      </x:c>
      <x:c r="B1342" s="16" t="n">
        <x:v>-0.03675964737799034</x:v>
      </x:c>
      <x:c r="C1342" s="16" t="n">
        <x:f>$B$12+$D$12*B1342</x:f>
        <x:v>0.000006705408402929013</x:v>
      </x:c>
      <x:c r="D1342" s="12" t="n">
        <x:f>D1341*EXP(C1342)</x:f>
        <x:v>260.7804617310348</x:v>
      </x:c>
      <x:c r="E1342" s="16" t="n">
        <x:f>ABS(C1342)</x:f>
        <x:v>0.000006705408402929013</x:v>
      </x:c>
      <x:c r="F1342" s="16" t="n">
        <x:f>C1342^2</x:f>
        <x:v>4.4962501850071015e-11</x:v>
      </x:c>
      <x:c r="G1342" s="1"/>
      <x:c r="H1342" s="1"/>
      <x:c r="I1342" s="1"/>
      <x:c r="J1342" s="1"/>
      <x:c r="K1342" s="1"/>
      <x:c r="L1342" s="1"/>
      <x:c r="M1342" s="1"/>
      <x:c r="N1342" s="1"/>
    </x:row>
    <x:row r="1343" ht="22" customHeight="1">
      <x:c r="A1343" s="1" t="n">
        <x:v>1327</x:v>
      </x:c>
      <x:c r="B1343" s="16" t="n">
        <x:v>-1.675005872339364</x:v>
      </x:c>
      <x:c r="C1343" s="16" t="n">
        <x:f>$B$12+$D$12*B1343</x:f>
        <x:v>-0.0216530814561919</x:v>
      </x:c>
      <x:c r="D1343" s="12" t="n">
        <x:f>D1342*EXP(C1343)</x:f>
        <x:v>255.19445651490594</x:v>
      </x:c>
      <x:c r="E1343" s="16" t="n">
        <x:f>ABS(C1343)</x:f>
        <x:v>0.0216530814561919</x:v>
      </x:c>
      <x:c r="F1343" s="16" t="n">
        <x:f>C1343^2</x:f>
        <x:v>0.00046885593654848157</x:v>
      </x:c>
      <x:c r="G1343" s="1"/>
      <x:c r="H1343" s="1"/>
      <x:c r="I1343" s="1"/>
      <x:c r="J1343" s="1"/>
      <x:c r="K1343" s="1"/>
      <x:c r="L1343" s="1"/>
      <x:c r="M1343" s="1"/>
      <x:c r="N1343" s="1"/>
    </x:row>
    <x:row r="1344" ht="22" customHeight="1">
      <x:c r="A1344" s="1" t="n">
        <x:v>1328</x:v>
      </x:c>
      <x:c r="B1344" s="16" t="n">
        <x:v>-0.9420300752934094</x:v>
      </x:c>
      <x:c r="C1344" s="16" t="n">
        <x:f>$B$12+$D$12*B1344</x:f>
        <x:v>-0.011962169736681474</x:v>
      </x:c>
      <x:c r="D1344" s="12" t="n">
        <x:f>D1343*EXP(C1344)</x:f>
        <x:v>252.15996285891148</x:v>
      </x:c>
      <x:c r="E1344" s="16" t="n">
        <x:f>ABS(C1344)</x:f>
        <x:v>0.011962169736681474</x:v>
      </x:c>
      <x:c r="F1344" s="16" t="n">
        <x:f>C1344^2</x:f>
        <x:v>0.00014309350480917814</x:v>
      </x:c>
      <x:c r="G1344" s="1"/>
      <x:c r="H1344" s="1"/>
      <x:c r="I1344" s="1"/>
      <x:c r="J1344" s="1"/>
      <x:c r="K1344" s="1"/>
      <x:c r="L1344" s="1"/>
      <x:c r="M1344" s="1"/>
      <x:c r="N1344" s="1"/>
    </x:row>
    <x:row r="1345" ht="22" customHeight="1">
      <x:c r="A1345" s="1" t="n">
        <x:v>1329</x:v>
      </x:c>
      <x:c r="B1345" s="16" t="n">
        <x:v>0.8592389673681016</x:v>
      </x:c>
      <x:c r="C1345" s="16" t="n">
        <x:f>$B$12+$D$12*B1345</x:f>
        <x:v>0.011852994892042754</x:v>
      </x:c>
      <x:c r="D1345" s="12" t="n">
        <x:f>D1344*EXP(C1345)</x:f>
        <x:v>255.16659722055797</x:v>
      </x:c>
      <x:c r="E1345" s="16" t="n">
        <x:f>ABS(C1345)</x:f>
        <x:v>0.011852994892042754</x:v>
      </x:c>
      <x:c r="F1345" s="16" t="n">
        <x:f>C1345^2</x:f>
        <x:v>0.00014049348791079163</x:v>
      </x:c>
      <x:c r="G1345" s="1"/>
      <x:c r="H1345" s="1"/>
      <x:c r="I1345" s="1"/>
      <x:c r="J1345" s="1"/>
      <x:c r="K1345" s="1"/>
      <x:c r="L1345" s="1"/>
      <x:c r="M1345" s="1"/>
      <x:c r="N1345" s="1"/>
    </x:row>
    <x:row r="1346" ht="22" customHeight="1">
      <x:c r="A1346" s="1" t="n">
        <x:v>1330</x:v>
      </x:c>
      <x:c r="B1346" s="16" t="n">
        <x:v>0.6173610622920669</x:v>
      </x:c>
      <x:c r="C1346" s="16" t="n">
        <x:f>$B$12+$D$12*B1346</x:f>
        <x:v>0.008655048337137592</x:v>
      </x:c>
      <x:c r="D1346" s="12" t="n">
        <x:f>D1345*EXP(C1346)</x:f>
        <x:v>257.384661333358</x:v>
      </x:c>
      <x:c r="E1346" s="16" t="n">
        <x:f>ABS(C1346)</x:f>
        <x:v>0.008655048337137592</x:v>
      </x:c>
      <x:c r="F1346" s="16" t="n">
        <x:f>C1346^2</x:f>
        <x:v>0.0000749098617181882</x:v>
      </x:c>
      <x:c r="G1346" s="1"/>
      <x:c r="H1346" s="1"/>
      <x:c r="I1346" s="1"/>
      <x:c r="J1346" s="1"/>
      <x:c r="K1346" s="1"/>
      <x:c r="L1346" s="1"/>
      <x:c r="M1346" s="1"/>
      <x:c r="N1346" s="1"/>
    </x:row>
    <x:row r="1347" ht="22" customHeight="1">
      <x:c r="A1347" s="1" t="n">
        <x:v>1331</x:v>
      </x:c>
      <x:c r="B1347" s="16" t="n">
        <x:v>-2.3676429805462806</x:v>
      </x:c>
      <x:c r="C1347" s="16" t="n">
        <x:f>$B$12+$D$12*B1347</x:f>
        <x:v>-0.03081066223354107</x:v>
      </x:c>
      <x:c r="D1347" s="12" t="n">
        <x:f>D1346*EXP(C1347)</x:f>
        <x:v>249.5753916211432</x:v>
      </x:c>
      <x:c r="E1347" s="16" t="n">
        <x:f>ABS(C1347)</x:f>
        <x:v>0.03081066223354107</x:v>
      </x:c>
      <x:c r="F1347" s="16" t="n">
        <x:f>C1347^2</x:f>
        <x:v>0.000949296907269354</x:v>
      </x:c>
      <x:c r="G1347" s="1"/>
      <x:c r="H1347" s="1"/>
      <x:c r="I1347" s="1"/>
      <x:c r="J1347" s="1"/>
      <x:c r="K1347" s="1"/>
      <x:c r="L1347" s="1"/>
      <x:c r="M1347" s="1"/>
      <x:c r="N1347" s="1"/>
    </x:row>
    <x:row r="1348" ht="22" customHeight="1">
      <x:c r="A1348" s="1" t="n">
        <x:v>1332</x:v>
      </x:c>
      <x:c r="B1348" s="16" t="n">
        <x:v>0.6682566615543675</x:v>
      </x:c>
      <x:c r="C1348" s="16" t="n">
        <x:f>$B$12+$D$12*B1348</x:f>
        <x:v>0.009327955630052766</x:v>
      </x:c>
      <x:c r="D1348" s="12" t="n">
        <x:f>D1347*EXP(C1348)</x:f>
        <x:v>251.9143115117782</x:v>
      </x:c>
      <x:c r="E1348" s="16" t="n">
        <x:f>ABS(C1348)</x:f>
        <x:v>0.009327955630052766</x:v>
      </x:c>
      <x:c r="F1348" s="16" t="n">
        <x:f>C1348^2</x:f>
        <x:v>0.0000870107562362331</x:v>
      </x:c>
      <x:c r="G1348" s="1"/>
      <x:c r="H1348" s="1"/>
      <x:c r="I1348" s="1"/>
      <x:c r="J1348" s="1"/>
      <x:c r="K1348" s="1"/>
      <x:c r="L1348" s="1"/>
      <x:c r="M1348" s="1"/>
      <x:c r="N1348" s="1"/>
    </x:row>
    <x:row r="1349" ht="22" customHeight="1">
      <x:c r="A1349" s="1" t="n">
        <x:v>1333</x:v>
      </x:c>
      <x:c r="B1349" s="16" t="n">
        <x:v>-0.7393803486779759</x:v>
      </x:c>
      <x:c r="C1349" s="16" t="n">
        <x:f>$B$12+$D$12*B1349</x:f>
        <x:v>-0.009282871704566556</x:v>
      </x:c>
      <x:c r="D1349" s="12" t="n">
        <x:f>D1348*EXP(C1349)</x:f>
        <x:v>249.58664371314458</x:v>
      </x:c>
      <x:c r="E1349" s="16" t="n">
        <x:f>ABS(C1349)</x:f>
        <x:v>0.009282871704566556</x:v>
      </x:c>
      <x:c r="F1349" s="16" t="n">
        <x:f>C1349^2</x:f>
        <x:v>0.0000861717070834424</x:v>
      </x:c>
      <x:c r="G1349" s="1"/>
      <x:c r="H1349" s="1"/>
      <x:c r="I1349" s="1"/>
      <x:c r="J1349" s="1"/>
      <x:c r="K1349" s="1"/>
      <x:c r="L1349" s="1"/>
      <x:c r="M1349" s="1"/>
      <x:c r="N1349" s="1"/>
    </x:row>
    <x:row r="1350" ht="22" customHeight="1">
      <x:c r="A1350" s="1" t="n">
        <x:v>1334</x:v>
      </x:c>
      <x:c r="B1350" s="16" t="n">
        <x:v>0.3327713355519886</x:v>
      </x:c>
      <x:c r="C1350" s="16" t="n">
        <x:f>$B$12+$D$12*B1350</x:f>
        <x:v>0.004892394878138341</x:v>
      </x:c>
      <x:c r="D1350" s="12" t="n">
        <x:f>D1349*EXP(C1350)</x:f>
        <x:v>250.81071200165206</x:v>
      </x:c>
      <x:c r="E1350" s="16" t="n">
        <x:f>ABS(C1350)</x:f>
        <x:v>0.004892394878138341</x:v>
      </x:c>
      <x:c r="F1350" s="16" t="n">
        <x:f>C1350^2</x:f>
        <x:v>0.000023935527643634274</x:v>
      </x:c>
      <x:c r="G1350" s="1"/>
      <x:c r="H1350" s="1"/>
      <x:c r="I1350" s="1"/>
      <x:c r="J1350" s="1"/>
      <x:c r="K1350" s="1"/>
      <x:c r="L1350" s="1"/>
      <x:c r="M1350" s="1"/>
      <x:c r="N1350" s="1"/>
    </x:row>
    <x:row r="1351" ht="22" customHeight="1">
      <x:c r="A1351" s="1" t="n">
        <x:v>1335</x:v>
      </x:c>
      <x:c r="B1351" s="16" t="n">
        <x:v>-1.5113066795122478</x:v>
      </x:c>
      <x:c r="C1351" s="16" t="n">
        <x:f>$B$12+$D$12*B1351</x:f>
        <x:v>-0.019488761116234977</x:v>
      </x:c>
      <x:c r="D1351" s="12" t="n">
        <x:f>D1350*EXP(C1351)</x:f>
        <x:v>245.97004446758785</x:v>
      </x:c>
      <x:c r="E1351" s="16" t="n">
        <x:f>ABS(C1351)</x:f>
        <x:v>0.019488761116234977</x:v>
      </x:c>
      <x:c r="F1351" s="16" t="n">
        <x:f>C1351^2</x:f>
        <x:v>0.0003798118098456724</x:v>
      </x:c>
      <x:c r="G1351" s="1"/>
      <x:c r="H1351" s="1"/>
      <x:c r="I1351" s="1"/>
      <x:c r="J1351" s="1"/>
      <x:c r="K1351" s="1"/>
      <x:c r="L1351" s="1"/>
      <x:c r="M1351" s="1"/>
      <x:c r="N1351" s="1"/>
    </x:row>
    <x:row r="1352" ht="22" customHeight="1">
      <x:c r="A1352" s="1" t="n">
        <x:v>1336</x:v>
      </x:c>
      <x:c r="B1352" s="16" t="n">
        <x:v>-0.9871856394475786</x:v>
      </x:c>
      <x:c r="C1352" s="16" t="n">
        <x:f>$B$12+$D$12*B1352</x:f>
        <x:v>-0.012559186156086258</x:v>
      </x:c>
      <x:c r="D1352" s="12" t="n">
        <x:f>D1351*EXP(C1352)</x:f>
        <x:v>242.9001787493416</x:v>
      </x:c>
      <x:c r="E1352" s="16" t="n">
        <x:f>ABS(C1352)</x:f>
        <x:v>0.012559186156086258</x:v>
      </x:c>
      <x:c r="F1352" s="16" t="n">
        <x:f>C1352^2</x:f>
        <x:v>0.00015773315690322873</x:v>
      </x:c>
      <x:c r="G1352" s="1"/>
      <x:c r="H1352" s="1"/>
      <x:c r="I1352" s="1"/>
      <x:c r="J1352" s="1"/>
      <x:c r="K1352" s="1"/>
      <x:c r="L1352" s="1"/>
      <x:c r="M1352" s="1"/>
      <x:c r="N1352" s="1"/>
    </x:row>
    <x:row r="1353" ht="22" customHeight="1">
      <x:c r="A1353" s="1" t="n">
        <x:v>1337</x:v>
      </x:c>
      <x:c r="B1353" s="16" t="n">
        <x:v>-0.3716645077073433</x:v>
      </x:c>
      <x:c r="C1353" s="16" t="n">
        <x:f>$B$12+$D$12*B1353</x:f>
        <x:v>-0.004421180817809323</x:v>
      </x:c>
      <x:c r="D1353" s="12" t="n">
        <x:f>D1352*EXP(C1353)</x:f>
        <x:v>241.82864360914283</x:v>
      </x:c>
      <x:c r="E1353" s="16" t="n">
        <x:f>ABS(C1353)</x:f>
        <x:v>0.004421180817809323</x:v>
      </x:c>
      <x:c r="F1353" s="16" t="n">
        <x:f>C1353^2</x:f>
        <x:v>0.000019546839823765115</x:v>
      </x:c>
      <x:c r="G1353" s="1"/>
      <x:c r="H1353" s="1"/>
      <x:c r="I1353" s="1"/>
      <x:c r="J1353" s="1"/>
      <x:c r="K1353" s="1"/>
      <x:c r="L1353" s="1"/>
      <x:c r="M1353" s="1"/>
      <x:c r="N1353" s="1"/>
    </x:row>
    <x:row r="1354" ht="22" customHeight="1">
      <x:c r="A1354" s="1" t="n">
        <x:v>1338</x:v>
      </x:c>
      <x:c r="B1354" s="16" t="n">
        <x:v>0.14556154093572438</x:v>
      </x:c>
      <x:c r="C1354" s="16" t="n">
        <x:f>$B$12+$D$12*B1354</x:f>
        <x:v>0.0024172332152762994</x:v>
      </x:c>
      <x:c r="D1354" s="12" t="n">
        <x:f>D1353*EXP(C1354)</x:f>
        <x:v>242.41390691285352</x:v>
      </x:c>
      <x:c r="E1354" s="16" t="n">
        <x:f>ABS(C1354)</x:f>
        <x:v>0.0024172332152762994</x:v>
      </x:c>
      <x:c r="F1354" s="16" t="n">
        <x:f>C1354^2</x:f>
        <x:v>0.000005843016417034996</x:v>
      </x:c>
      <x:c r="G1354" s="1"/>
      <x:c r="H1354" s="1"/>
      <x:c r="I1354" s="1"/>
      <x:c r="J1354" s="1"/>
      <x:c r="K1354" s="1"/>
      <x:c r="L1354" s="1"/>
      <x:c r="M1354" s="1"/>
      <x:c r="N1354" s="1"/>
    </x:row>
    <x:row r="1355" ht="22" customHeight="1">
      <x:c r="A1355" s="1" t="n">
        <x:v>1339</x:v>
      </x:c>
      <x:c r="B1355" s="16" t="n">
        <x:v>1.6193080257245192</x:v>
      </x:c>
      <x:c r="C1355" s="16" t="n">
        <x:f>$B$12+$D$12*B1355</x:f>
        <x:v>0.021902115442747186</x:v>
      </x:c>
      <x:c r="D1355" s="12" t="n">
        <x:f>D1354*EXP(C1355)</x:f>
        <x:v>247.78185440666044</x:v>
      </x:c>
      <x:c r="E1355" s="16" t="n">
        <x:f>ABS(C1355)</x:f>
        <x:v>0.021902115442747186</x:v>
      </x:c>
      <x:c r="F1355" s="16" t="n">
        <x:f>C1355^2</x:f>
        <x:v>0.0004797026608674248</x:v>
      </x:c>
      <x:c r="G1355" s="1"/>
      <x:c r="H1355" s="1"/>
      <x:c r="I1355" s="1"/>
      <x:c r="J1355" s="1"/>
      <x:c r="K1355" s="1"/>
      <x:c r="L1355" s="1"/>
      <x:c r="M1355" s="1"/>
      <x:c r="N1355" s="1"/>
    </x:row>
    <x:row r="1356" ht="22" customHeight="1">
      <x:c r="A1356" s="1" t="n">
        <x:v>1340</x:v>
      </x:c>
      <x:c r="B1356" s="16" t="n">
        <x:v>0.6228727000415045</x:v>
      </x:c>
      <x:c r="C1356" s="16" t="n">
        <x:f>$B$12+$D$12*B1356</x:f>
        <x:v>0.00872791949478698</x:v>
      </x:c>
      <x:c r="D1356" s="12" t="n">
        <x:f>D1355*EXP(C1356)</x:f>
        <x:v>249.95393958800616</x:v>
      </x:c>
      <x:c r="E1356" s="16" t="n">
        <x:f>ABS(C1356)</x:f>
        <x:v>0.00872791949478698</x:v>
      </x:c>
      <x:c r="F1356" s="16" t="n">
        <x:f>C1356^2</x:f>
        <x:v>0.00007617657870748261</x:v>
      </x:c>
      <x:c r="G1356" s="1"/>
      <x:c r="H1356" s="1"/>
      <x:c r="I1356" s="1"/>
      <x:c r="J1356" s="1"/>
      <x:c r="K1356" s="1"/>
      <x:c r="L1356" s="1"/>
      <x:c r="M1356" s="1"/>
      <x:c r="N1356" s="1"/>
    </x:row>
    <x:row r="1357" ht="22" customHeight="1">
      <x:c r="A1357" s="1" t="n">
        <x:v>1341</x:v>
      </x:c>
      <x:c r="B1357" s="16" t="n">
        <x:v>0.49757468117855197</x:v>
      </x:c>
      <x:c r="C1357" s="16" t="n">
        <x:f>$B$12+$D$12*B1357</x:f>
        <x:v>0.007071313581843996</x:v>
      </x:c>
      <x:c r="D1357" s="12" t="n">
        <x:f>D1356*EXP(C1357)</x:f>
        <x:v>251.72770631502183</x:v>
      </x:c>
      <x:c r="E1357" s="16" t="n">
        <x:f>ABS(C1357)</x:f>
        <x:v>0.007071313581843996</x:v>
      </x:c>
      <x:c r="F1357" s="16" t="n">
        <x:f>C1357^2</x:f>
        <x:v>0.00005000347577277136</x:v>
      </x:c>
      <x:c r="G1357" s="1"/>
      <x:c r="H1357" s="1"/>
      <x:c r="I1357" s="1"/>
      <x:c r="J1357" s="1"/>
      <x:c r="K1357" s="1"/>
      <x:c r="L1357" s="1"/>
      <x:c r="M1357" s="1"/>
      <x:c r="N1357" s="1"/>
    </x:row>
    <x:row r="1358" ht="22" customHeight="1">
      <x:c r="A1358" s="1" t="n">
        <x:v>1342</x:v>
      </x:c>
      <x:c r="B1358" s="16" t="n">
        <x:v>-0.9142541385586457</x:v>
      </x:c>
      <x:c r="C1358" s="16" t="n">
        <x:f>$B$12+$D$12*B1358</x:f>
        <x:v>-0.011594935031377247</x:v>
      </x:c>
      <x:c r="D1358" s="12" t="n">
        <x:f>D1357*EXP(C1358)</x:f>
        <x:v>248.82579615618383</x:v>
      </x:c>
      <x:c r="E1358" s="16" t="n">
        <x:f>ABS(C1358)</x:f>
        <x:v>0.011594935031377247</x:v>
      </x:c>
      <x:c r="F1358" s="16" t="n">
        <x:f>C1358^2</x:f>
        <x:v>0.00013444251838185927</x:v>
      </x:c>
      <x:c r="G1358" s="1"/>
      <x:c r="H1358" s="1"/>
      <x:c r="I1358" s="1"/>
      <x:c r="J1358" s="1"/>
      <x:c r="K1358" s="1"/>
      <x:c r="L1358" s="1"/>
      <x:c r="M1358" s="1"/>
      <x:c r="N1358" s="1"/>
    </x:row>
    <x:row r="1359" ht="22" customHeight="1">
      <x:c r="A1359" s="1" t="n">
        <x:v>1343</x:v>
      </x:c>
      <x:c r="B1359" s="16" t="n">
        <x:v>0.8179756256639378</x:v>
      </x:c>
      <x:c r="C1359" s="16" t="n">
        <x:f>$B$12+$D$12*B1359</x:f>
        <x:v>0.011307438813221814</x:v>
      </x:c>
      <x:c r="D1359" s="12" t="n">
        <x:f>D1358*EXP(C1359)</x:f>
        <x:v>251.65534595361487</x:v>
      </x:c>
      <x:c r="E1359" s="16" t="n">
        <x:f>ABS(C1359)</x:f>
        <x:v>0.011307438813221814</x:v>
      </x:c>
      <x:c r="F1359" s="16" t="n">
        <x:f>C1359^2</x:f>
        <x:v>0.00012785817251475515</x:v>
      </x:c>
      <x:c r="G1359" s="1"/>
      <x:c r="H1359" s="1"/>
      <x:c r="I1359" s="1"/>
      <x:c r="J1359" s="1"/>
      <x:c r="K1359" s="1"/>
      <x:c r="L1359" s="1"/>
      <x:c r="M1359" s="1"/>
      <x:c r="N1359" s="1"/>
    </x:row>
    <x:row r="1360" ht="22" customHeight="1">
      <x:c r="A1360" s="1" t="n">
        <x:v>1344</x:v>
      </x:c>
      <x:c r="B1360" s="16" t="n">
        <x:v>2.5090202738560072</x:v>
      </x:c>
      <x:c r="C1360" s="16" t="n">
        <x:f>$B$12+$D$12*B1360</x:f>
        <x:v>0.03366529082610686</x:v>
      </x:c>
      <x:c r="D1360" s="12" t="n">
        <x:f>D1359*EXP(C1360)</x:f>
        <x:v>260.27161724568157</x:v>
      </x:c>
      <x:c r="E1360" s="16" t="n">
        <x:f>ABS(C1360)</x:f>
        <x:v>0.03366529082610686</x:v>
      </x:c>
      <x:c r="F1360" s="16" t="n">
        <x:f>C1360^2</x:f>
        <x:v>0.0011333518064063546</x:v>
      </x:c>
      <x:c r="G1360" s="1"/>
      <x:c r="H1360" s="1"/>
      <x:c r="I1360" s="1"/>
      <x:c r="J1360" s="1"/>
      <x:c r="K1360" s="1"/>
      <x:c r="L1360" s="1"/>
      <x:c r="M1360" s="1"/>
      <x:c r="N1360" s="1"/>
    </x:row>
    <x:row r="1361" ht="22" customHeight="1">
      <x:c r="A1361" s="1" t="n">
        <x:v>1345</x:v>
      </x:c>
      <x:c r="B1361" s="16" t="n">
        <x:v>-0.7261223053857283</x:v>
      </x:c>
      <x:c r="C1361" s="16" t="n">
        <x:f>$B$12+$D$12*B1361</x:f>
        <x:v>-0.009107582796479236</x:v>
      </x:c>
      <x:c r="D1361" s="12" t="n">
        <x:f>D1360*EXP(C1361)</x:f>
        <x:v>257.9119337593147</x:v>
      </x:c>
      <x:c r="E1361" s="16" t="n">
        <x:f>ABS(C1361)</x:f>
        <x:v>0.009107582796479236</x:v>
      </x:c>
      <x:c r="F1361" s="16" t="n">
        <x:f>C1361^2</x:f>
        <x:v>0.00008294806439472454</x:v>
      </x:c>
      <x:c r="G1361" s="1"/>
      <x:c r="H1361" s="1"/>
      <x:c r="I1361" s="1"/>
      <x:c r="J1361" s="1"/>
      <x:c r="K1361" s="1"/>
      <x:c r="L1361" s="1"/>
      <x:c r="M1361" s="1"/>
      <x:c r="N1361" s="1"/>
    </x:row>
    <x:row r="1362" ht="22" customHeight="1">
      <x:c r="A1362" s="1" t="n">
        <x:v>1346</x:v>
      </x:c>
      <x:c r="B1362" s="16" t="n">
        <x:v>-0.5415960830297781</x:v>
      </x:c>
      <x:c r="C1362" s="16" t="n">
        <x:f>$B$12+$D$12*B1362</x:f>
        <x:v>-0.006667901516424431</x:v>
      </x:c>
      <x:c r="D1362" s="12" t="n">
        <x:f>D1361*EXP(C1362)</x:f>
        <x:v>256.1979231625603</x:v>
      </x:c>
      <x:c r="E1362" s="16" t="n">
        <x:f>ABS(C1362)</x:f>
        <x:v>0.006667901516424431</x:v>
      </x:c>
      <x:c r="F1362" s="16" t="n">
        <x:f>C1362^2</x:f>
        <x:v>0.00004446091063273523</x:v>
      </x:c>
      <x:c r="G1362" s="1"/>
      <x:c r="H1362" s="1"/>
      <x:c r="I1362" s="1"/>
      <x:c r="J1362" s="1"/>
      <x:c r="K1362" s="1"/>
      <x:c r="L1362" s="1"/>
      <x:c r="M1362" s="1"/>
      <x:c r="N1362" s="1"/>
    </x:row>
    <x:row r="1363" ht="22" customHeight="1">
      <x:c r="A1363" s="1" t="n">
        <x:v>1347</x:v>
      </x:c>
      <x:c r="B1363" s="16" t="n">
        <x:v>-1.0457245462315867</x:v>
      </x:c>
      <x:c r="C1363" s="16" t="n">
        <x:f>$B$12+$D$12*B1363</x:f>
        <x:v>-0.013333148106926642</x:v>
      </x:c>
      <x:c r="D1363" s="12" t="n">
        <x:f>D1362*EXP(C1363)</x:f>
        <x:v>252.80466995103595</x:v>
      </x:c>
      <x:c r="E1363" s="16" t="n">
        <x:f>ABS(C1363)</x:f>
        <x:v>0.013333148106926642</x:v>
      </x:c>
      <x:c r="F1363" s="16" t="n">
        <x:f>C1363^2</x:f>
        <x:v>0.00017777283844124152</x:v>
      </x:c>
      <x:c r="G1363" s="1"/>
      <x:c r="H1363" s="1"/>
      <x:c r="I1363" s="1"/>
      <x:c r="J1363" s="1"/>
      <x:c r="K1363" s="1"/>
      <x:c r="L1363" s="1"/>
      <x:c r="M1363" s="1"/>
      <x:c r="N1363" s="1"/>
    </x:row>
    <x:row r="1364" ht="22" customHeight="1">
      <x:c r="A1364" s="1" t="n">
        <x:v>1348</x:v>
      </x:c>
      <x:c r="B1364" s="16" t="n">
        <x:v>-0.4688158074408808</x:v>
      </x:c>
      <x:c r="C1364" s="16" t="n">
        <x:f>$B$12+$D$12*B1364</x:f>
        <x:v>-0.005705649790656433</x:v>
      </x:c>
      <x:c r="D1364" s="12" t="n">
        <x:f>D1363*EXP(C1364)</x:f>
        <x:v>251.36636218100617</x:v>
      </x:c>
      <x:c r="E1364" s="16" t="n">
        <x:f>ABS(C1364)</x:f>
        <x:v>0.005705649790656433</x:v>
      </x:c>
      <x:c r="F1364" s="16" t="n">
        <x:f>C1364^2</x:f>
        <x:v>0.000032554439533617795</x:v>
      </x:c>
      <x:c r="G1364" s="1"/>
      <x:c r="H1364" s="1"/>
      <x:c r="I1364" s="1"/>
      <x:c r="J1364" s="1"/>
      <x:c r="K1364" s="1"/>
      <x:c r="L1364" s="1"/>
      <x:c r="M1364" s="1"/>
      <x:c r="N1364" s="1"/>
    </x:row>
    <x:row r="1365" ht="22" customHeight="1">
      <x:c r="A1365" s="1" t="n">
        <x:v>1349</x:v>
      </x:c>
      <x:c r="B1365" s="16" t="n">
        <x:v>-0.012725940224528188</x:v>
      </x:c>
      <x:c r="C1365" s="16" t="n">
        <x:f>$B$12+$D$12*B1365</x:f>
        <x:v>0.0003244628776883242</x:v>
      </x:c>
      <x:c r="D1365" s="12" t="n">
        <x:f>D1364*EXP(C1365)</x:f>
        <x:v>251.44793446710716</x:v>
      </x:c>
      <x:c r="E1365" s="16" t="n">
        <x:f>ABS(C1365)</x:f>
        <x:v>0.0003244628776883242</x:v>
      </x:c>
      <x:c r="F1365" s="16" t="n">
        <x:f>C1365^2</x:f>
        <x:v>1.0527615899778844e-7</x:v>
      </x:c>
      <x:c r="G1365" s="1"/>
      <x:c r="H1365" s="1"/>
      <x:c r="I1365" s="1"/>
      <x:c r="J1365" s="1"/>
      <x:c r="K1365" s="1"/>
      <x:c r="L1365" s="1"/>
      <x:c r="M1365" s="1"/>
      <x:c r="N1365" s="1"/>
    </x:row>
    <x:row r="1366" ht="22" customHeight="1">
      <x:c r="A1366" s="1" t="n">
        <x:v>1350</x:v>
      </x:c>
      <x:c r="B1366" s="16" t="n">
        <x:v>0.7052906941082987</x:v>
      </x:c>
      <x:c r="C1366" s="16" t="n">
        <x:f>$B$12+$D$12*B1366</x:f>
        <x:v>0.009817594635247806</x:v>
      </x:c>
      <x:c r="D1366" s="12" t="n">
        <x:f>D1365*EXP(C1366)</x:f>
        <x:v>253.9287060386456</x:v>
      </x:c>
      <x:c r="E1366" s="16" t="n">
        <x:f>ABS(C1366)</x:f>
        <x:v>0.009817594635247806</x:v>
      </x:c>
      <x:c r="F1366" s="16" t="n">
        <x:f>C1366^2</x:f>
        <x:v>0.00009638516442204651</x:v>
      </x:c>
      <x:c r="G1366" s="1"/>
      <x:c r="H1366" s="1"/>
      <x:c r="I1366" s="1"/>
      <x:c r="J1366" s="1"/>
      <x:c r="K1366" s="1"/>
      <x:c r="L1366" s="1"/>
      <x:c r="M1366" s="1"/>
      <x:c r="N1366" s="1"/>
    </x:row>
    <x:row r="1367" ht="22" customHeight="1">
      <x:c r="A1367" s="1" t="n">
        <x:v>1351</x:v>
      </x:c>
      <x:c r="B1367" s="16" t="n">
        <x:v>0.04317765217807436</x:v>
      </x:c>
      <x:c r="C1367" s="16" t="n">
        <x:f>$B$12+$D$12*B1367</x:f>
        <x:v>0.0010635824788545673</x:v>
      </x:c>
      <x:c r="D1367" s="12" t="n">
        <x:f>D1366*EXP(C1367)</x:f>
        <x:v>254.1989238352508</x:v>
      </x:c>
      <x:c r="E1367" s="16" t="n">
        <x:f>ABS(C1367)</x:f>
        <x:v>0.0010635824788545673</x:v>
      </x:c>
      <x:c r="F1367" s="16" t="n">
        <x:f>C1367^2</x:f>
        <x:v>0.000001131207689326426</x:v>
      </x:c>
      <x:c r="G1367" s="1"/>
      <x:c r="H1367" s="1"/>
      <x:c r="I1367" s="1"/>
      <x:c r="J1367" s="1"/>
      <x:c r="K1367" s="1"/>
      <x:c r="L1367" s="1"/>
      <x:c r="M1367" s="1"/>
      <x:c r="N1367" s="1"/>
    </x:row>
    <x:row r="1368" ht="22" customHeight="1">
      <x:c r="A1368" s="1" t="n">
        <x:v>1352</x:v>
      </x:c>
      <x:c r="B1368" s="16" t="n">
        <x:v>0.7995050022767414</x:v>
      </x:c>
      <x:c r="C1368" s="16" t="n">
        <x:f>$B$12+$D$12*B1368</x:f>
        <x:v>0.011063232686128611</x:v>
      </x:c>
      <x:c r="D1368" s="12" t="n">
        <x:f>D1367*EXP(C1368)</x:f>
        <x:v>257.02679955864846</x:v>
      </x:c>
      <x:c r="E1368" s="16" t="n">
        <x:f>ABS(C1368)</x:f>
        <x:v>0.011063232686128611</x:v>
      </x:c>
      <x:c r="F1368" s="16" t="n">
        <x:f>C1368^2</x:f>
        <x:v>0.00012239511746742448</x:v>
      </x:c>
      <x:c r="G1368" s="1"/>
      <x:c r="H1368" s="1"/>
      <x:c r="I1368" s="1"/>
      <x:c r="J1368" s="1"/>
      <x:c r="K1368" s="1"/>
      <x:c r="L1368" s="1"/>
      <x:c r="M1368" s="1"/>
      <x:c r="N1368" s="1"/>
    </x:row>
    <x:row r="1369" ht="22" customHeight="1">
      <x:c r="A1369" s="1" t="n">
        <x:v>1353</x:v>
      </x:c>
      <x:c r="B1369" s="16" t="n">
        <x:v>0.42226559126826624</x:v>
      </x:c>
      <x:c r="C1369" s="16" t="n">
        <x:f>$B$12+$D$12*B1369</x:f>
        <x:v>0.006075627578379005</x:v>
      </x:c>
      <x:c r="D1369" s="12" t="n">
        <x:f>D1368*EXP(C1369)</x:f>
        <x:v>258.59315213963794</x:v>
      </x:c>
      <x:c r="E1369" s="16" t="n">
        <x:f>ABS(C1369)</x:f>
        <x:v>0.006075627578379005</x:v>
      </x:c>
      <x:c r="F1369" s="16" t="n">
        <x:f>C1369^2</x:f>
        <x:v>0.00003691325047115954</x:v>
      </x:c>
      <x:c r="G1369" s="1"/>
      <x:c r="H1369" s="1"/>
      <x:c r="I1369" s="1"/>
      <x:c r="J1369" s="1"/>
      <x:c r="K1369" s="1"/>
      <x:c r="L1369" s="1"/>
      <x:c r="M1369" s="1"/>
      <x:c r="N1369" s="1"/>
    </x:row>
    <x:row r="1370" ht="22" customHeight="1">
      <x:c r="A1370" s="1" t="n">
        <x:v>1354</x:v>
      </x:c>
      <x:c r="B1370" s="16" t="n">
        <x:v>1.8034844181389513</x:v>
      </x:c>
      <x:c r="C1370" s="16" t="n">
        <x:f>$B$12+$D$12*B1370</x:f>
        <x:v>0.02433717150721676</x:v>
      </x:c>
      <x:c r="D1370" s="12" t="n">
        <x:f>D1369*EXP(C1370)</x:f>
        <x:v>264.96378518879584</x:v>
      </x:c>
      <x:c r="E1370" s="16" t="n">
        <x:f>ABS(C1370)</x:f>
        <x:v>0.02433717150721676</x:v>
      </x:c>
      <x:c r="F1370" s="16" t="n">
        <x:f>C1370^2</x:f>
        <x:v>0.0005922979169716832</x:v>
      </x:c>
      <x:c r="G1370" s="1"/>
      <x:c r="H1370" s="1"/>
      <x:c r="I1370" s="1"/>
      <x:c r="J1370" s="1"/>
      <x:c r="K1370" s="1"/>
      <x:c r="L1370" s="1"/>
      <x:c r="M1370" s="1"/>
      <x:c r="N1370" s="1"/>
    </x:row>
    <x:row r="1371" ht="22" customHeight="1">
      <x:c r="A1371" s="1" t="n">
        <x:v>1355</x:v>
      </x:c>
      <x:c r="B1371" s="16" t="n">
        <x:v>0.6783463938499961</x:v>
      </x:c>
      <x:c r="C1371" s="16" t="n">
        <x:f>$B$12+$D$12*B1371</x:f>
        <x:v>0.009461355266636265</x:v>
      </x:c>
      <x:c r="D1371" s="12" t="n">
        <x:f>D1370*EXP(C1371)</x:f>
        <x:v>267.4825985977747</x:v>
      </x:c>
      <x:c r="E1371" s="16" t="n">
        <x:f>ABS(C1371)</x:f>
        <x:v>0.009461355266636265</x:v>
      </x:c>
      <x:c r="F1371" s="16" t="n">
        <x:f>C1371^2</x:f>
        <x:v>0.00008951724348150578</x:v>
      </x:c>
      <x:c r="G1371" s="1"/>
      <x:c r="H1371" s="1"/>
      <x:c r="I1371" s="1"/>
      <x:c r="J1371" s="1"/>
      <x:c r="K1371" s="1"/>
      <x:c r="L1371" s="1"/>
      <x:c r="M1371" s="1"/>
      <x:c r="N1371" s="1"/>
    </x:row>
    <x:row r="1372" ht="22" customHeight="1">
      <x:c r="A1372" s="1" t="n">
        <x:v>1356</x:v>
      </x:c>
      <x:c r="B1372" s="16" t="n">
        <x:v>1.2192019086650006</x:v>
      </x:c>
      <x:c r="C1372" s="16" t="n">
        <x:f>$B$12+$D$12*B1372</x:f>
        <x:v>0.01661218216734218</x:v>
      </x:c>
      <x:c r="D1372" s="12" t="n">
        <x:f>D1371*EXP(C1372)</x:f>
        <x:v>271.9631813409375</x:v>
      </x:c>
      <x:c r="E1372" s="16" t="n">
        <x:f>ABS(C1372)</x:f>
        <x:v>0.01661218216734218</x:v>
      </x:c>
      <x:c r="F1372" s="16" t="n">
        <x:f>C1372^2</x:f>
        <x:v>0.00027596459636096155</x:v>
      </x:c>
      <x:c r="G1372" s="1"/>
      <x:c r="H1372" s="1"/>
      <x:c r="I1372" s="1"/>
      <x:c r="J1372" s="1"/>
      <x:c r="K1372" s="1"/>
      <x:c r="L1372" s="1"/>
      <x:c r="M1372" s="1"/>
      <x:c r="N1372" s="1"/>
    </x:row>
    <x:row r="1373" ht="22" customHeight="1">
      <x:c r="A1373" s="1" t="n">
        <x:v>1357</x:v>
      </x:c>
      <x:c r="B1373" s="16" t="n">
        <x:v>0.12891203513132032</x:v>
      </x:c>
      <x:c r="C1373" s="16" t="n">
        <x:f>$B$12+$D$12*B1373</x:f>
        <x:v>0.0021971046768249265</x:v>
      </x:c>
      <x:c r="D1373" s="12" t="n">
        <x:f>D1372*EXP(C1373)</x:f>
        <x:v>272.5613698193029</x:v>
      </x:c>
      <x:c r="E1373" s="16" t="n">
        <x:f>ABS(C1373)</x:f>
        <x:v>0.0021971046768249265</x:v>
      </x:c>
      <x:c r="F1373" s="16" t="n">
        <x:f>C1373^2</x:f>
        <x:v>0.000004827268960925965</x:v>
      </x:c>
      <x:c r="G1373" s="1"/>
      <x:c r="H1373" s="1"/>
      <x:c r="I1373" s="1"/>
      <x:c r="J1373" s="1"/>
      <x:c r="K1373" s="1"/>
      <x:c r="L1373" s="1"/>
      <x:c r="M1373" s="1"/>
      <x:c r="N1373" s="1"/>
    </x:row>
    <x:row r="1374" ht="22" customHeight="1">
      <x:c r="A1374" s="1" t="n">
        <x:v>1358</x:v>
      </x:c>
      <x:c r="B1374" s="16" t="n">
        <x:v>0.7320056188586616</x:v>
      </x:c>
      <x:c r="C1374" s="16" t="n">
        <x:f>$B$12+$D$12*B1374</x:f>
        <x:v>0.010170801355568613</x:v>
      </x:c>
      <x:c r="D1374" s="12" t="n">
        <x:f>D1373*EXP(C1374)</x:f>
        <x:v>275.3476828680187</x:v>
      </x:c>
      <x:c r="E1374" s="16" t="n">
        <x:f>ABS(C1374)</x:f>
        <x:v>0.010170801355568613</x:v>
      </x:c>
      <x:c r="F1374" s="16" t="n">
        <x:f>C1374^2</x:f>
        <x:v>0.00010344520021443633</x:v>
      </x:c>
      <x:c r="G1374" s="1"/>
      <x:c r="H1374" s="1"/>
      <x:c r="I1374" s="1"/>
      <x:c r="J1374" s="1"/>
      <x:c r="K1374" s="1"/>
      <x:c r="L1374" s="1"/>
      <x:c r="M1374" s="1"/>
      <x:c r="N1374" s="1"/>
    </x:row>
    <x:row r="1375" ht="22" customHeight="1">
      <x:c r="A1375" s="1" t="n">
        <x:v>1359</x:v>
      </x:c>
      <x:c r="B1375" s="16" t="n">
        <x:v>-1.8311127933423772</x:v>
      </x:c>
      <x:c r="C1375" s="16" t="n">
        <x:f>$B$12+$D$12*B1375</x:f>
        <x:v>-0.023717021897802337</x:v>
      </x:c>
      <x:c r="D1375" s="12" t="n">
        <x:f>D1374*EXP(C1375)</x:f>
        <x:v>268.89408837277165</x:v>
      </x:c>
      <x:c r="E1375" s="16" t="n">
        <x:f>ABS(C1375)</x:f>
        <x:v>0.023717021897802337</x:v>
      </x:c>
      <x:c r="F1375" s="16" t="n">
        <x:f>C1375^2</x:f>
        <x:v>0.0005624971277008356</x:v>
      </x:c>
      <x:c r="G1375" s="1"/>
      <x:c r="H1375" s="1"/>
      <x:c r="I1375" s="1"/>
      <x:c r="J1375" s="1"/>
      <x:c r="K1375" s="1"/>
      <x:c r="L1375" s="1"/>
      <x:c r="M1375" s="1"/>
      <x:c r="N1375" s="1"/>
    </x:row>
    <x:row r="1376" ht="22" customHeight="1">
      <x:c r="A1376" s="1" t="n">
        <x:v>1360</x:v>
      </x:c>
      <x:c r="B1376" s="16" t="n">
        <x:v>-0.5037872852976357</x:v>
      </x:c>
      <x:c r="C1376" s="16" t="n">
        <x:f>$B$12+$D$12*B1376</x:f>
        <x:v>-0.006168019088492031</x:v>
      </x:c>
      <x:c r="D1376" s="12" t="n">
        <x:f>D1375*EXP(C1376)</x:f>
        <x:v>267.24064896782545</x:v>
      </x:c>
      <x:c r="E1376" s="16" t="n">
        <x:f>ABS(C1376)</x:f>
        <x:v>0.006168019088492031</x:v>
      </x:c>
      <x:c r="F1376" s="16" t="n">
        <x:f>C1376^2</x:f>
        <x:v>0.00003804445947600206</x:v>
      </x:c>
      <x:c r="G1376" s="1"/>
      <x:c r="H1376" s="1"/>
      <x:c r="I1376" s="1"/>
      <x:c r="J1376" s="1"/>
      <x:c r="K1376" s="1"/>
      <x:c r="L1376" s="1"/>
      <x:c r="M1376" s="1"/>
      <x:c r="N1376" s="1"/>
    </x:row>
    <x:row r="1377" ht="22" customHeight="1">
      <x:c r="A1377" s="1" t="n">
        <x:v>1361</x:v>
      </x:c>
      <x:c r="B1377" s="16" t="n">
        <x:v>-0.31277209974066916</x:v>
      </x:c>
      <x:c r="C1377" s="16" t="n">
        <x:f>$B$12+$D$12*B1377</x:f>
        <x:v>-0.003642545112708886</x:v>
      </x:c>
      <x:c r="D1377" s="12" t="n">
        <x:f>D1376*EXP(C1377)</x:f>
        <x:v>266.26898358984613</x:v>
      </x:c>
      <x:c r="E1377" s="16" t="n">
        <x:f>ABS(C1377)</x:f>
        <x:v>0.003642545112708886</x:v>
      </x:c>
      <x:c r="F1377" s="16" t="n">
        <x:f>C1377^2</x:f>
        <x:v>0.000013268134898119392</x:v>
      </x:c>
      <x:c r="G1377" s="1"/>
      <x:c r="H1377" s="1"/>
      <x:c r="I1377" s="1"/>
      <x:c r="J1377" s="1"/>
      <x:c r="K1377" s="1"/>
      <x:c r="L1377" s="1"/>
      <x:c r="M1377" s="1"/>
      <x:c r="N1377" s="1"/>
    </x:row>
    <x:row r="1378" ht="22" customHeight="1">
      <x:c r="A1378" s="1" t="n">
        <x:v>1362</x:v>
      </x:c>
      <x:c r="B1378" s="16" t="n">
        <x:v>1.5323088061557182</x:v>
      </x:c>
      <x:c r="C1378" s="16" t="n">
        <x:f>$B$12+$D$12*B1378</x:f>
        <x:v>0.020751870427965755</x:v>
      </x:c>
      <x:c r="D1378" s="12" t="n">
        <x:f>D1377*EXP(C1378)</x:f>
        <x:v>271.8522947460783</x:v>
      </x:c>
      <x:c r="E1378" s="16" t="n">
        <x:f>ABS(C1378)</x:f>
        <x:v>0.020751870427965755</x:v>
      </x:c>
      <x:c r="F1378" s="16" t="n">
        <x:f>C1378^2</x:f>
        <x:v>0.0004306401262590796</x:v>
      </x:c>
      <x:c r="G1378" s="1"/>
      <x:c r="H1378" s="1"/>
      <x:c r="I1378" s="1"/>
      <x:c r="J1378" s="1"/>
      <x:c r="K1378" s="1"/>
      <x:c r="L1378" s="1"/>
      <x:c r="M1378" s="1"/>
      <x:c r="N1378" s="1"/>
    </x:row>
    <x:row r="1379" ht="22" customHeight="1">
      <x:c r="A1379" s="1" t="n">
        <x:v>1363</x:v>
      </x:c>
      <x:c r="B1379" s="16" t="n">
        <x:v>-0.2625978224394424</x:v>
      </x:c>
      <x:c r="C1379" s="16" t="n">
        <x:f>$B$12+$D$12*B1379</x:f>
        <x:v>-0.0029791746523525537</x:v>
      </x:c>
      <x:c r="D1379" s="12" t="n">
        <x:f>D1378*EXP(C1379)</x:f>
        <x:v>271.0436044932645</x:v>
      </x:c>
      <x:c r="E1379" s="16" t="n">
        <x:f>ABS(C1379)</x:f>
        <x:v>0.0029791746523525537</x:v>
      </x:c>
      <x:c r="F1379" s="16" t="n">
        <x:f>C1379^2</x:f>
        <x:v>0.00000887548160921996</x:v>
      </x:c>
      <x:c r="G1379" s="1"/>
      <x:c r="H1379" s="1"/>
      <x:c r="I1379" s="1"/>
      <x:c r="J1379" s="1"/>
      <x:c r="K1379" s="1"/>
      <x:c r="L1379" s="1"/>
      <x:c r="M1379" s="1"/>
      <x:c r="N1379" s="1"/>
    </x:row>
    <x:row r="1380" ht="22" customHeight="1">
      <x:c r="A1380" s="1" t="n">
        <x:v>1364</x:v>
      </x:c>
      <x:c r="B1380" s="16" t="n">
        <x:v>0.583749847805033</x:v>
      </x:c>
      <x:c r="C1380" s="16" t="n">
        <x:f>$B$12+$D$12*B1380</x:f>
        <x:v>0.008210663524307335</x:v>
      </x:c>
      <x:c r="D1380" s="12" t="n">
        <x:f>D1379*EXP(C1380)</x:f>
        <x:v>273.27821358803413</x:v>
      </x:c>
      <x:c r="E1380" s="16" t="n">
        <x:f>ABS(C1380)</x:f>
        <x:v>0.008210663524307335</x:v>
      </x:c>
      <x:c r="F1380" s="16" t="n">
        <x:f>C1380^2</x:f>
        <x:v>0.00006741499550939095</x:v>
      </x:c>
      <x:c r="G1380" s="1"/>
      <x:c r="H1380" s="1"/>
      <x:c r="I1380" s="1"/>
      <x:c r="J1380" s="1"/>
      <x:c r="K1380" s="1"/>
      <x:c r="L1380" s="1"/>
      <x:c r="M1380" s="1"/>
      <x:c r="N1380" s="1"/>
    </x:row>
    <x:row r="1381" ht="22" customHeight="1">
      <x:c r="A1381" s="1" t="n">
        <x:v>1365</x:v>
      </x:c>
      <x:c r="B1381" s="16" t="n">
        <x:v>-1.1498764215838093</x:v>
      </x:c>
      <x:c r="C1381" s="16" t="n">
        <x:f>$B$12+$D$12*B1381</x:f>
        <x:v>-0.014710173969891886</x:v>
      </x:c>
      <x:c r="D1381" s="12" t="n">
        <x:f>D1380*EXP(C1381)</x:f>
        <x:v>269.28766630537876</x:v>
      </x:c>
      <x:c r="E1381" s="16" t="n">
        <x:f>ABS(C1381)</x:f>
        <x:v>0.014710173969891886</x:v>
      </x:c>
      <x:c r="F1381" s="16" t="n">
        <x:f>C1381^2</x:f>
        <x:v>0.0002163892182244848</x:v>
      </x:c>
      <x:c r="G1381" s="1"/>
      <x:c r="H1381" s="1"/>
      <x:c r="I1381" s="1"/>
      <x:c r="J1381" s="1"/>
      <x:c r="K1381" s="1"/>
      <x:c r="L1381" s="1"/>
      <x:c r="M1381" s="1"/>
      <x:c r="N1381" s="1"/>
    </x:row>
    <x:row r="1382" ht="22" customHeight="1">
      <x:c r="A1382" s="1" t="n">
        <x:v>1366</x:v>
      </x:c>
      <x:c r="B1382" s="16" t="n">
        <x:v>-0.007730133283935484</x:v>
      </x:c>
      <x:c r="C1382" s="16" t="n">
        <x:f>$B$12+$D$12*B1382</x:f>
        <x:v>0.00039051406822438226</x:v>
      </x:c>
      <x:c r="D1382" s="12" t="n">
        <x:f>D1381*EXP(C1382)</x:f>
        <x:v>269.3928474634946</x:v>
      </x:c>
      <x:c r="E1382" s="16" t="n">
        <x:f>ABS(C1382)</x:f>
        <x:v>0.00039051406822438226</x:v>
      </x:c>
      <x:c r="F1382" s="16" t="n">
        <x:f>C1382^2</x:f>
        <x:v>1.5250123748115747e-7</x:v>
      </x:c>
      <x:c r="G1382" s="1"/>
      <x:c r="H1382" s="1"/>
      <x:c r="I1382" s="1"/>
      <x:c r="J1382" s="1"/>
      <x:c r="K1382" s="1"/>
      <x:c r="L1382" s="1"/>
      <x:c r="M1382" s="1"/>
      <x:c r="N1382" s="1"/>
    </x:row>
    <x:row r="1383" ht="22" customHeight="1">
      <x:c r="A1383" s="1" t="n">
        <x:v>1367</x:v>
      </x:c>
      <x:c r="B1383" s="16" t="n">
        <x:v>1.0972732380041577</x:v>
      </x:c>
      <x:c r="C1383" s="16" t="n">
        <x:f>$B$12+$D$12*B1383</x:f>
        <x:v>0.015000123504268197</x:v>
      </x:c>
      <x:c r="D1383" s="12" t="n">
        <x:f>D1382*EXP(C1383)</x:f>
        <x:v>273.46423274822075</x:v>
      </x:c>
      <x:c r="E1383" s="16" t="n">
        <x:f>ABS(C1383)</x:f>
        <x:v>0.015000123504268197</x:v>
      </x:c>
      <x:c r="F1383" s="16" t="n">
        <x:f>C1383^2</x:f>
        <x:v>0.00022500370514329923</x:v>
      </x:c>
      <x:c r="G1383" s="1"/>
      <x:c r="H1383" s="1"/>
      <x:c r="I1383" s="1"/>
      <x:c r="J1383" s="1"/>
      <x:c r="K1383" s="1"/>
      <x:c r="L1383" s="1"/>
      <x:c r="M1383" s="1"/>
      <x:c r="N1383" s="1"/>
    </x:row>
    <x:row r="1384" ht="22" customHeight="1">
      <x:c r="A1384" s="1" t="n">
        <x:v>1368</x:v>
      </x:c>
      <x:c r="B1384" s="16" t="n">
        <x:v>-0.46746349345975025</x:v>
      </x:c>
      <x:c r="C1384" s="16" t="n">
        <x:f>$B$12+$D$12*B1384</x:f>
        <x:v>-0.005687770407106509</x:v>
      </x:c>
      <x:c r="D1384" s="12" t="n">
        <x:f>D1383*EXP(C1384)</x:f>
        <x:v>271.91324598738754</x:v>
      </x:c>
      <x:c r="E1384" s="16" t="n">
        <x:f>ABS(C1384)</x:f>
        <x:v>0.005687770407106509</x:v>
      </x:c>
      <x:c r="F1384" s="16" t="n">
        <x:f>C1384^2</x:f>
        <x:v>0.000032350732203956544</x:v>
      </x:c>
      <x:c r="G1384" s="1"/>
      <x:c r="H1384" s="1"/>
      <x:c r="I1384" s="1"/>
      <x:c r="J1384" s="1"/>
      <x:c r="K1384" s="1"/>
      <x:c r="L1384" s="1"/>
      <x:c r="M1384" s="1"/>
      <x:c r="N1384" s="1"/>
    </x:row>
    <x:row r="1385" ht="22" customHeight="1">
      <x:c r="A1385" s="1" t="n">
        <x:v>1369</x:v>
      </x:c>
      <x:c r="B1385" s="16" t="n">
        <x:v>0.5565003075001405</x:v>
      </x:c>
      <x:c r="C1385" s="16" t="n">
        <x:f>$B$12+$D$12*B1385</x:f>
        <x:v>0.00785038847763291</x:v>
      </x:c>
      <x:c r="D1385" s="12" t="n">
        <x:f>D1384*EXP(C1385)</x:f>
        <x:v>274.0562713855896</x:v>
      </x:c>
      <x:c r="E1385" s="16" t="n">
        <x:f>ABS(C1385)</x:f>
        <x:v>0.00785038847763291</x:v>
      </x:c>
      <x:c r="F1385" s="16" t="n">
        <x:f>C1385^2</x:f>
        <x:v>0.00006162859924975156</x:v>
      </x:c>
      <x:c r="G1385" s="1"/>
      <x:c r="H1385" s="1"/>
      <x:c r="I1385" s="1"/>
      <x:c r="J1385" s="1"/>
      <x:c r="K1385" s="1"/>
      <x:c r="L1385" s="1"/>
      <x:c r="M1385" s="1"/>
      <x:c r="N1385" s="1"/>
    </x:row>
    <x:row r="1386" ht="22" customHeight="1">
      <x:c r="A1386" s="1" t="n">
        <x:v>1370</x:v>
      </x:c>
      <x:c r="B1386" s="16" t="n">
        <x:v>-0.9023390464241697</x:v>
      </x:c>
      <x:c r="C1386" s="16" t="n">
        <x:f>$B$12+$D$12*B1386</x:f>
        <x:v>-0.01143740171790305</x:v>
      </x:c>
      <x:c r="D1386" s="12" t="n">
        <x:f>D1385*EXP(C1386)</x:f>
        <x:v>270.9396367922878</x:v>
      </x:c>
      <x:c r="E1386" s="16" t="n">
        <x:f>ABS(C1386)</x:f>
        <x:v>0.01143740171790305</x:v>
      </x:c>
      <x:c r="F1386" s="16" t="n">
        <x:f>C1386^2</x:f>
        <x:v>0.00013081415805669163</x:v>
      </x:c>
      <x:c r="G1386" s="1"/>
      <x:c r="H1386" s="1"/>
      <x:c r="I1386" s="1"/>
      <x:c r="J1386" s="1"/>
      <x:c r="K1386" s="1"/>
      <x:c r="L1386" s="1"/>
      <x:c r="M1386" s="1"/>
      <x:c r="N1386" s="1"/>
    </x:row>
    <x:row r="1387" ht="22" customHeight="1">
      <x:c r="A1387" s="1" t="n">
        <x:v>1371</x:v>
      </x:c>
      <x:c r="B1387" s="16" t="n">
        <x:v>0.8074553460847008</x:v>
      </x:c>
      <x:c r="C1387" s="16" t="n">
        <x:f>$B$12+$D$12*B1387</x:f>
        <x:v>0.011168346770786255</x:v>
      </x:c>
      <x:c r="D1387" s="12" t="n">
        <x:f>D1386*EXP(C1387)</x:f>
        <x:v>273.9825451086394</x:v>
      </x:c>
      <x:c r="E1387" s="16" t="n">
        <x:f>ABS(C1387)</x:f>
        <x:v>0.011168346770786255</x:v>
      </x:c>
      <x:c r="F1387" s="16" t="n">
        <x:f>C1387^2</x:f>
        <x:v>0.00012473196959253177</x:v>
      </x:c>
      <x:c r="G1387" s="1"/>
      <x:c r="H1387" s="1"/>
      <x:c r="I1387" s="1"/>
      <x:c r="J1387" s="1"/>
      <x:c r="K1387" s="1"/>
      <x:c r="L1387" s="1"/>
      <x:c r="M1387" s="1"/>
      <x:c r="N1387" s="1"/>
    </x:row>
    <x:row r="1388" ht="22" customHeight="1">
      <x:c r="A1388" s="1" t="n">
        <x:v>1372</x:v>
      </x:c>
      <x:c r="B1388" s="16" t="n">
        <x:v>0.3293870693231652</x:v>
      </x:c>
      <x:c r="C1388" s="16" t="n">
        <x:f>$B$12+$D$12*B1388</x:f>
        <x:v>0.004847650392179834</x:v>
      </x:c>
      <x:c r="D1388" s="12" t="n">
        <x:f>D1387*EXP(C1388)</x:f>
        <x:v>275.31394116490833</x:v>
      </x:c>
      <x:c r="E1388" s="16" t="n">
        <x:f>ABS(C1388)</x:f>
        <x:v>0.004847650392179834</x:v>
      </x:c>
      <x:c r="F1388" s="16" t="n">
        <x:f>C1388^2</x:f>
        <x:v>0.0000234997143248013</x:v>
      </x:c>
      <x:c r="G1388" s="1"/>
      <x:c r="H1388" s="1"/>
      <x:c r="I1388" s="1"/>
      <x:c r="J1388" s="1"/>
      <x:c r="K1388" s="1"/>
      <x:c r="L1388" s="1"/>
      <x:c r="M1388" s="1"/>
      <x:c r="N1388" s="1"/>
    </x:row>
    <x:row r="1389" ht="22" customHeight="1">
      <x:c r="A1389" s="1" t="n">
        <x:v>1373</x:v>
      </x:c>
      <x:c r="B1389" s="16" t="n">
        <x:v>-0.3126556710578655</x:v>
      </x:c>
      <x:c r="C1389" s="16" t="n">
        <x:f>$B$12+$D$12*B1389</x:f>
        <x:v>-0.0036410057711764423</x:v>
      </x:c>
      <x:c r="D1389" s="12" t="n">
        <x:f>D1388*EXP(C1389)</x:f>
        <x:v>274.31334421128577</x:v>
      </x:c>
      <x:c r="E1389" s="16" t="n">
        <x:f>ABS(C1389)</x:f>
        <x:v>0.0036410057711764423</x:v>
      </x:c>
      <x:c r="F1389" s="16" t="n">
        <x:f>C1389^2</x:f>
        <x:v>0.000013256923025740159</x:v>
      </x:c>
      <x:c r="G1389" s="1"/>
      <x:c r="H1389" s="1"/>
      <x:c r="I1389" s="1"/>
      <x:c r="J1389" s="1"/>
      <x:c r="K1389" s="1"/>
      <x:c r="L1389" s="1"/>
      <x:c r="M1389" s="1"/>
      <x:c r="N1389" s="1"/>
    </x:row>
    <x:row r="1390" ht="22" customHeight="1">
      <x:c r="A1390" s="1" t="n">
        <x:v>1374</x:v>
      </x:c>
      <x:c r="B1390" s="16" t="n">
        <x:v>0.2354414822513176</x:v>
      </x:c>
      <x:c r="C1390" s="16" t="n">
        <x:f>$B$12+$D$12*B1390</x:f>
        <x:v>0.0036055651904309755</x:v>
      </x:c>
      <x:c r="D1390" s="12" t="n">
        <x:f>D1389*EXP(C1390)</x:f>
        <x:v>275.30418405184605</x:v>
      </x:c>
      <x:c r="E1390" s="16" t="n">
        <x:f>ABS(C1390)</x:f>
        <x:v>0.0036055651904309755</x:v>
      </x:c>
      <x:c r="F1390" s="16" t="n">
        <x:f>C1390^2</x:f>
        <x:v>0.000013000100342447556</x:v>
      </x:c>
      <x:c r="G1390" s="1"/>
      <x:c r="H1390" s="1"/>
      <x:c r="I1390" s="1"/>
      <x:c r="J1390" s="1"/>
      <x:c r="K1390" s="1"/>
      <x:c r="L1390" s="1"/>
      <x:c r="M1390" s="1"/>
      <x:c r="N1390" s="1"/>
    </x:row>
    <x:row r="1391" ht="22" customHeight="1">
      <x:c r="A1391" s="1" t="n">
        <x:v>1375</x:v>
      </x:c>
      <x:c r="B1391" s="16" t="n">
        <x:v>-0.5647040288324612</x:v>
      </x:c>
      <x:c r="C1391" s="16" t="n">
        <x:f>$B$12+$D$12*B1391</x:f>
        <x:v>-0.006973419193400323</x:v>
      </x:c>
      <x:c r="D1391" s="12" t="n">
        <x:f>D1390*EXP(C1391)</x:f>
        <x:v>273.39105086334246</x:v>
      </x:c>
      <x:c r="E1391" s="16" t="n">
        <x:f>ABS(C1391)</x:f>
        <x:v>0.006973419193400323</x:v>
      </x:c>
      <x:c r="F1391" s="16" t="n">
        <x:f>C1391^2</x:f>
        <x:v>0.00004862857524688402</x:v>
      </x:c>
      <x:c r="G1391" s="1"/>
      <x:c r="H1391" s="1"/>
      <x:c r="I1391" s="1"/>
      <x:c r="J1391" s="1"/>
      <x:c r="K1391" s="1"/>
      <x:c r="L1391" s="1"/>
      <x:c r="M1391" s="1"/>
      <x:c r="N1391" s="1"/>
    </x:row>
    <x:row r="1392" ht="22" customHeight="1">
      <x:c r="A1392" s="1" t="n">
        <x:v>1376</x:v>
      </x:c>
      <x:c r="B1392" s="16" t="n">
        <x:v>0.016979562278848972</x:v>
      </x:c>
      <x:c r="C1392" s="16" t="n">
        <x:f>$B$12+$D$12*B1392</x:f>
        <x:v>0.0007172090004172245</x:v>
      </x:c>
      <x:c r="D1392" s="12" t="n">
        <x:f>D1391*EXP(C1392)</x:f>
        <x:v>273.5871997171088</x:v>
      </x:c>
      <x:c r="E1392" s="16" t="n">
        <x:f>ABS(C1392)</x:f>
        <x:v>0.0007172090004172245</x:v>
      </x:c>
      <x:c r="F1392" s="16" t="n">
        <x:f>C1392^2</x:f>
        <x:v>5.143887502794743e-7</x:v>
      </x:c>
      <x:c r="G1392" s="1"/>
      <x:c r="H1392" s="1"/>
      <x:c r="I1392" s="1"/>
      <x:c r="J1392" s="1"/>
      <x:c r="K1392" s="1"/>
      <x:c r="L1392" s="1"/>
      <x:c r="M1392" s="1"/>
      <x:c r="N1392" s="1"/>
    </x:row>
    <x:row r="1393" ht="22" customHeight="1">
      <x:c r="A1393" s="1" t="n">
        <x:v>1377</x:v>
      </x:c>
      <x:c r="B1393" s="16" t="n">
        <x:v>1.489210154862125</x:v>
      </x:c>
      <x:c r="C1393" s="16" t="n">
        <x:f>$B$12+$D$12*B1393</x:f>
        <x:v>0.020182049123361356</x:v>
      </x:c>
      <x:c r="D1393" s="12" t="n">
        <x:f>D1392*EXP(C1393)</x:f>
        <x:v>279.16484485509756</x:v>
      </x:c>
      <x:c r="E1393" s="16" t="n">
        <x:f>ABS(C1393)</x:f>
        <x:v>0.020182049123361356</x:v>
      </x:c>
      <x:c r="F1393" s="16" t="n">
        <x:f>C1393^2</x:f>
        <x:v>0.0004073151068177709</x:v>
      </x:c>
      <x:c r="G1393" s="1"/>
      <x:c r="H1393" s="1"/>
      <x:c r="I1393" s="1"/>
      <x:c r="J1393" s="1"/>
      <x:c r="K1393" s="1"/>
      <x:c r="L1393" s="1"/>
      <x:c r="M1393" s="1"/>
      <x:c r="N1393" s="1"/>
    </x:row>
    <x:row r="1394" ht="22" customHeight="1">
      <x:c r="A1394" s="1" t="n">
        <x:v>1378</x:v>
      </x:c>
      <x:c r="B1394" s="16" t="n">
        <x:v>-1.0693571013128982</x:v>
      </x:c>
      <x:c r="C1394" s="16" t="n">
        <x:f>$B$12+$D$12*B1394</x:f>
        <x:v>-0.013645601814023738</x:v>
      </x:c>
      <x:c r="D1394" s="12" t="n">
        <x:f>D1393*EXP(C1394)</x:f>
        <x:v>275.38134531372486</x:v>
      </x:c>
      <x:c r="E1394" s="16" t="n">
        <x:f>ABS(C1394)</x:f>
        <x:v>0.013645601814023738</x:v>
      </x:c>
      <x:c r="F1394" s="16" t="n">
        <x:f>C1394^2</x:f>
        <x:v>0.00018620244886688792</x:v>
      </x:c>
      <x:c r="G1394" s="1"/>
      <x:c r="H1394" s="1"/>
      <x:c r="I1394" s="1"/>
      <x:c r="J1394" s="1"/>
      <x:c r="K1394" s="1"/>
      <x:c r="L1394" s="1"/>
      <x:c r="M1394" s="1"/>
      <x:c r="N1394" s="1"/>
    </x:row>
    <x:row r="1395" ht="22" customHeight="1">
      <x:c r="A1395" s="1" t="n">
        <x:v>1379</x:v>
      </x:c>
      <x:c r="B1395" s="16" t="n">
        <x:v>-0.4920240472542106</x:v>
      </x:c>
      <x:c r="C1395" s="16" t="n">
        <x:f>$B$12+$D$12*B1395</x:f>
        <x:v>-0.006012493487409636</x:v>
      </x:c>
      <x:c r="D1395" s="12" t="n">
        <x:f>D1394*EXP(C1395)</x:f>
        <x:v>273.7305843362104</x:v>
      </x:c>
      <x:c r="E1395" s="16" t="n">
        <x:f>ABS(C1395)</x:f>
        <x:v>0.006012493487409636</x:v>
      </x:c>
      <x:c r="F1395" s="16" t="n">
        <x:f>C1395^2</x:f>
        <x:v>0.00003615007793614329</x:v>
      </x:c>
      <x:c r="G1395" s="1"/>
      <x:c r="H1395" s="1"/>
      <x:c r="I1395" s="1"/>
      <x:c r="J1395" s="1"/>
      <x:c r="K1395" s="1"/>
      <x:c r="L1395" s="1"/>
      <x:c r="M1395" s="1"/>
      <x:c r="N1395" s="1"/>
    </x:row>
    <x:row r="1396" ht="22" customHeight="1">
      <x:c r="A1396" s="1" t="n">
        <x:v>1380</x:v>
      </x:c>
      <x:c r="B1396" s="16" t="n">
        <x:v>-2.0069255804528927</x:v>
      </x:c>
      <x:c r="C1396" s="16" t="n">
        <x:f>$B$12+$D$12*B1396</x:f>
        <x:v>-0.026041500012790174</x:v>
      </x:c>
      <x:c r="D1396" s="12" t="n">
        <x:f>D1395*EXP(C1396)</x:f>
        <x:v>266.69424537362244</x:v>
      </x:c>
      <x:c r="E1396" s="16" t="n">
        <x:f>ABS(C1396)</x:f>
        <x:v>0.026041500012790174</x:v>
      </x:c>
      <x:c r="F1396" s="16" t="n">
        <x:f>C1396^2</x:f>
        <x:v>0.0006781597229161507</x:v>
      </x:c>
      <x:c r="G1396" s="1"/>
      <x:c r="H1396" s="1"/>
      <x:c r="I1396" s="1"/>
      <x:c r="J1396" s="1"/>
      <x:c r="K1396" s="1"/>
      <x:c r="L1396" s="1"/>
      <x:c r="M1396" s="1"/>
      <x:c r="N1396" s="1"/>
    </x:row>
    <x:row r="1397" ht="22" customHeight="1">
      <x:c r="A1397" s="1" t="n">
        <x:v>1381</x:v>
      </x:c>
      <x:c r="B1397" s="16" t="n">
        <x:v>-1.009743423491211</x:v>
      </x:c>
      <x:c r="C1397" s="16" t="n">
        <x:f>$B$12+$D$12*B1397</x:f>
        <x:v>-0.012857429965275658</x:v>
      </x:c>
      <x:c r="D1397" s="12" t="n">
        <x:f>D1396*EXP(C1397)</x:f>
        <x:v>263.287192698027</x:v>
      </x:c>
      <x:c r="E1397" s="16" t="n">
        <x:f>ABS(C1397)</x:f>
        <x:v>0.012857429965275658</x:v>
      </x:c>
      <x:c r="F1397" s="16" t="n">
        <x:f>C1397^2</x:f>
        <x:v>0.00016531350531196842</x:v>
      </x:c>
      <x:c r="G1397" s="1"/>
      <x:c r="H1397" s="1"/>
      <x:c r="I1397" s="1"/>
      <x:c r="J1397" s="1"/>
      <x:c r="K1397" s="1"/>
      <x:c r="L1397" s="1"/>
      <x:c r="M1397" s="1"/>
      <x:c r="N1397" s="1"/>
    </x:row>
    <x:row r="1398" ht="22" customHeight="1">
      <x:c r="A1398" s="1" t="n">
        <x:v>1382</x:v>
      </x:c>
      <x:c r="B1398" s="16" t="n">
        <x:v>0.16463949339106046</x:v>
      </x:c>
      <x:c r="C1398" s="16" t="n">
        <x:f>$B$12+$D$12*B1398</x:f>
        <x:v>0.002669469037767022</x:v>
      </x:c>
      <x:c r="D1398" s="12" t="n">
        <x:f>D1397*EXP(C1398)</x:f>
        <x:v>263.9909686430931</x:v>
      </x:c>
      <x:c r="E1398" s="16" t="n">
        <x:f>ABS(C1398)</x:f>
        <x:v>0.002669469037767022</x:v>
      </x:c>
      <x:c r="F1398" s="16" t="n">
        <x:f>C1398^2</x:f>
        <x:v>0.0000071260649435967904</x:v>
      </x:c>
      <x:c r="G1398" s="1"/>
      <x:c r="H1398" s="1"/>
      <x:c r="I1398" s="1"/>
      <x:c r="J1398" s="1"/>
      <x:c r="K1398" s="1"/>
      <x:c r="L1398" s="1"/>
      <x:c r="M1398" s="1"/>
      <x:c r="N1398" s="1"/>
    </x:row>
    <x:row r="1399" ht="22" customHeight="1">
      <x:c r="A1399" s="1" t="n">
        <x:v>1383</x:v>
      </x:c>
      <x:c r="B1399" s="16" t="n">
        <x:v>-0.39157502794177945</x:v>
      </x:c>
      <x:c r="C1399" s="16" t="n">
        <x:f>$B$12+$D$12*B1399</x:f>
        <x:v>-0.004684424290048216</x:v>
      </x:c>
      <x:c r="D1399" s="12" t="n">
        <x:f>D1398*EXP(C1399)</x:f>
        <x:v>262.75721490632037</x:v>
      </x:c>
      <x:c r="E1399" s="16" t="n">
        <x:f>ABS(C1399)</x:f>
        <x:v>0.004684424290048216</x:v>
      </x:c>
      <x:c r="F1399" s="16" t="n">
        <x:f>C1399^2</x:f>
        <x:v>0.00002194383092919373</x:v>
      </x:c>
      <x:c r="G1399" s="1"/>
      <x:c r="H1399" s="1"/>
      <x:c r="I1399" s="1"/>
      <x:c r="J1399" s="1"/>
      <x:c r="K1399" s="1"/>
      <x:c r="L1399" s="1"/>
      <x:c r="M1399" s="1"/>
      <x:c r="N1399" s="1"/>
    </x:row>
    <x:row r="1400" ht="22" customHeight="1">
      <x:c r="A1400" s="1" t="n">
        <x:v>1384</x:v>
      </x:c>
      <x:c r="B1400" s="16" t="n">
        <x:v>2.041287886658965</x:v>
      </x:c>
      <x:c r="C1400" s="16" t="n">
        <x:f>$B$12+$D$12*B1400</x:f>
        <x:v>0.02748124860950114</x:v>
      </x:c>
      <x:c r="D1400" s="12" t="n">
        <x:f>D1399*EXP(C1400)</x:f>
        <x:v>270.0782460488531</x:v>
      </x:c>
      <x:c r="E1400" s="16" t="n">
        <x:f>ABS(C1400)</x:f>
        <x:v>0.02748124860950114</x:v>
      </x:c>
      <x:c r="F1400" s="16" t="n">
        <x:f>C1400^2</x:f>
        <x:v>0.0007552190251372084</x:v>
      </x:c>
      <x:c r="G1400" s="1"/>
      <x:c r="H1400" s="1"/>
      <x:c r="I1400" s="1"/>
      <x:c r="J1400" s="1"/>
      <x:c r="K1400" s="1"/>
      <x:c r="L1400" s="1"/>
      <x:c r="M1400" s="1"/>
      <x:c r="N1400" s="1"/>
    </x:row>
    <x:row r="1401" ht="22" customHeight="1">
      <x:c r="A1401" s="1" t="n">
        <x:v>1385</x:v>
      </x:c>
      <x:c r="B1401" s="16" t="n">
        <x:v>1.1306138849103973</x:v>
      </x:c>
      <x:c r="C1401" s="16" t="n">
        <x:f>$B$12+$D$12*B1401</x:f>
        <x:v>0.015440931054997569</x:v>
      </x:c>
      <x:c r="D1401" s="12" t="n">
        <x:f>D1400*EXP(C1401)</x:f>
        <x:v>274.2808683263747</x:v>
      </x:c>
      <x:c r="E1401" s="16" t="n">
        <x:f>ABS(C1401)</x:f>
        <x:v>0.015440931054997569</x:v>
      </x:c>
      <x:c r="F1401" s="16" t="n">
        <x:f>C1401^2</x:f>
        <x:v>0.00023842235184518834</x:v>
      </x:c>
      <x:c r="G1401" s="1"/>
      <x:c r="H1401" s="1"/>
      <x:c r="I1401" s="1"/>
      <x:c r="J1401" s="1"/>
      <x:c r="K1401" s="1"/>
      <x:c r="L1401" s="1"/>
      <x:c r="M1401" s="1"/>
      <x:c r="N1401" s="1"/>
    </x:row>
    <x:row r="1402" ht="22" customHeight="1">
      <x:c r="A1402" s="1" t="n">
        <x:v>1386</x:v>
      </x:c>
      <x:c r="B1402" s="16" t="n">
        <x:v>0.6596138640169106</x:v>
      </x:c>
      <x:c r="C1402" s="16" t="n">
        <x:f>$B$12+$D$12*B1402</x:f>
        <x:v>0.009213686389127413</x:v>
      </x:c>
      <x:c r="D1402" s="12" t="n">
        <x:f>D1401*EXP(C1402)</x:f>
        <x:v>276.8196841958742</x:v>
      </x:c>
      <x:c r="E1402" s="16" t="n">
        <x:f>ABS(C1402)</x:f>
        <x:v>0.009213686389127413</x:v>
      </x:c>
      <x:c r="F1402" s="16" t="n">
        <x:f>C1402^2</x:f>
        <x:v>0.00008489201687719174</x:v>
      </x:c>
      <x:c r="G1402" s="1"/>
      <x:c r="H1402" s="1"/>
      <x:c r="I1402" s="1"/>
      <x:c r="J1402" s="1"/>
      <x:c r="K1402" s="1"/>
      <x:c r="L1402" s="1"/>
      <x:c r="M1402" s="1"/>
      <x:c r="N1402" s="1"/>
    </x:row>
    <x:row r="1403" ht="22" customHeight="1">
      <x:c r="A1403" s="1" t="n">
        <x:v>1387</x:v>
      </x:c>
      <x:c r="B1403" s="16" t="n">
        <x:v>0.8288450097805765</x:v>
      </x:c>
      <x:c r="C1403" s="16" t="n">
        <x:f>$B$12+$D$12*B1403</x:f>
        <x:v>0.01145114648043854</x:v>
      </x:c>
      <x:c r="D1403" s="12" t="n">
        <x:f>D1402*EXP(C1403)</x:f>
        <x:v>280.00780593499235</x:v>
      </x:c>
      <x:c r="E1403" s="16" t="n">
        <x:f>ABS(C1403)</x:f>
        <x:v>0.01145114648043854</x:v>
      </x:c>
      <x:c r="F1403" s="16" t="n">
        <x:f>C1403^2</x:f>
        <x:v>0.00013112875571645997</x:v>
      </x:c>
      <x:c r="G1403" s="1"/>
      <x:c r="H1403" s="1"/>
      <x:c r="I1403" s="1"/>
      <x:c r="J1403" s="1"/>
      <x:c r="K1403" s="1"/>
      <x:c r="L1403" s="1"/>
      <x:c r="M1403" s="1"/>
      <x:c r="N1403" s="1"/>
    </x:row>
    <x:row r="1404" ht="22" customHeight="1">
      <x:c r="A1404" s="1" t="n">
        <x:v>1388</x:v>
      </x:c>
      <x:c r="B1404" s="16" t="n">
        <x:v>0.19219782689157924</x:v>
      </x:c>
      <x:c r="C1404" s="16" t="n">
        <x:f>$B$12+$D$12*B1404</x:f>
        <x:v>0.0030338267398448853</x:v>
      </x:c>
      <x:c r="D1404" s="12" t="n">
        <x:f>D1403*EXP(C1404)</x:f>
        <x:v>280.85859101871216</x:v>
      </x:c>
      <x:c r="E1404" s="16" t="n">
        <x:f>ABS(C1404)</x:f>
        <x:v>0.0030338267398448853</x:v>
      </x:c>
      <x:c r="F1404" s="16" t="n">
        <x:f>C1404^2</x:f>
        <x:v>0.000009204104687397845</x:v>
      </x:c>
      <x:c r="G1404" s="1"/>
      <x:c r="H1404" s="1"/>
      <x:c r="I1404" s="1"/>
      <x:c r="J1404" s="1"/>
      <x:c r="K1404" s="1"/>
      <x:c r="L1404" s="1"/>
      <x:c r="M1404" s="1"/>
      <x:c r="N1404" s="1"/>
    </x:row>
    <x:row r="1405" ht="22" customHeight="1">
      <x:c r="A1405" s="1" t="n">
        <x:v>1389</x:v>
      </x:c>
      <x:c r="B1405" s="16" t="n">
        <x:v>0.4076137902693643</x:v>
      </x:c>
      <x:c r="C1405" s="16" t="n">
        <x:f>$B$12+$D$12*B1405</x:f>
        <x:v>0.005881911345749715</x:v>
      </x:c>
      <x:c r="D1405" s="12" t="n">
        <x:f>D1404*EXP(C1405)</x:f>
        <x:v>282.5154443070268</x:v>
      </x:c>
      <x:c r="E1405" s="16" t="n">
        <x:f>ABS(C1405)</x:f>
        <x:v>0.005881911345749715</x:v>
      </x:c>
      <x:c r="F1405" s="16" t="n">
        <x:f>C1405^2</x:f>
        <x:v>0.000034596881079259226</x:v>
      </x:c>
      <x:c r="G1405" s="1"/>
      <x:c r="H1405" s="1"/>
      <x:c r="I1405" s="1"/>
      <x:c r="J1405" s="1"/>
      <x:c r="K1405" s="1"/>
      <x:c r="L1405" s="1"/>
      <x:c r="M1405" s="1"/>
      <x:c r="N1405" s="1"/>
    </x:row>
    <x:row r="1406" ht="22" customHeight="1">
      <x:c r="A1406" s="1" t="n">
        <x:v>1390</x:v>
      </x:c>
      <x:c r="B1406" s="16" t="n">
        <x:v>1.7963189609608814</x:v>
      </x:c>
      <x:c r="C1406" s="16" t="n">
        <x:f>$B$12+$D$12*B1406</x:f>
        <x:v>0.02424243466430535</x:v>
      </x:c>
      <x:c r="D1406" s="12" t="n">
        <x:f>D1405*EXP(C1406)</x:f>
        <x:v>289.4479979810761</x:v>
      </x:c>
      <x:c r="E1406" s="16" t="n">
        <x:f>ABS(C1406)</x:f>
        <x:v>0.02424243466430535</x:v>
      </x:c>
      <x:c r="F1406" s="16" t="n">
        <x:f>C1406^2</x:f>
        <x:v>0.0005876956384531137</x:v>
      </x:c>
      <x:c r="G1406" s="1"/>
      <x:c r="H1406" s="1"/>
      <x:c r="I1406" s="1"/>
      <x:c r="J1406" s="1"/>
      <x:c r="K1406" s="1"/>
      <x:c r="L1406" s="1"/>
      <x:c r="M1406" s="1"/>
      <x:c r="N1406" s="1"/>
    </x:row>
    <x:row r="1407" ht="22" customHeight="1">
      <x:c r="A1407" s="1" t="n">
        <x:v>1391</x:v>
      </x:c>
      <x:c r="B1407" s="16" t="n">
        <x:v>0.7758340741063333</x:v>
      </x:c>
      <x:c r="C1407" s="16" t="n">
        <x:f>$B$12+$D$12*B1407</x:f>
        <x:v>0.010750271635923682</x:v>
      </x:c>
      <x:c r="D1407" s="12" t="n">
        <x:f>D1406*EXP(C1407)</x:f>
        <x:v>292.57642819222974</x:v>
      </x:c>
      <x:c r="E1407" s="16" t="n">
        <x:f>ABS(C1407)</x:f>
        <x:v>0.010750271635923682</x:v>
      </x:c>
      <x:c r="F1407" s="16" t="n">
        <x:f>C1407^2</x:f>
        <x:v>0.00011556834024614524</x:v>
      </x:c>
      <x:c r="G1407" s="1"/>
      <x:c r="H1407" s="1"/>
      <x:c r="I1407" s="1"/>
      <x:c r="J1407" s="1"/>
      <x:c r="K1407" s="1"/>
      <x:c r="L1407" s="1"/>
      <x:c r="M1407" s="1"/>
      <x:c r="N1407" s="1"/>
    </x:row>
    <x:row r="1408" ht="22" customHeight="1">
      <x:c r="A1408" s="1" t="n">
        <x:v>1392</x:v>
      </x:c>
      <x:c r="B1408" s="16" t="n">
        <x:v>-0.5191989960203214</x:v>
      </x:c>
      <x:c r="C1408" s="16" t="n">
        <x:f>$B$12+$D$12*B1408</x:f>
        <x:v>-0.006371782335057749</x:v>
      </x:c>
      <x:c r="D1408" s="12" t="n">
        <x:f>D1407*EXP(C1408)</x:f>
        <x:v>290.7181215254228</x:v>
      </x:c>
      <x:c r="E1408" s="16" t="n">
        <x:f>ABS(C1408)</x:f>
        <x:v>0.006371782335057749</x:v>
      </x:c>
      <x:c r="F1408" s="16" t="n">
        <x:f>C1408^2</x:f>
        <x:v>0.00004059961012535398</x:v>
      </x:c>
      <x:c r="G1408" s="1"/>
      <x:c r="H1408" s="1"/>
      <x:c r="I1408" s="1"/>
      <x:c r="J1408" s="1"/>
      <x:c r="K1408" s="1"/>
      <x:c r="L1408" s="1"/>
      <x:c r="M1408" s="1"/>
      <x:c r="N1408" s="1"/>
    </x:row>
    <x:row r="1409" ht="22" customHeight="1">
      <x:c r="A1409" s="1" t="n">
        <x:v>1393</x:v>
      </x:c>
      <x:c r="B1409" s="16" t="n">
        <x:v>-0.07524214878841197</x:v>
      </x:c>
      <x:c r="C1409" s="16" t="n">
        <x:f>$B$12+$D$12*B1409</x:f>
        <x:v>-0.0005020842752637341</x:v>
      </x:c>
      <x:c r="D1409" s="12" t="n">
        <x:f>D1408*EXP(C1409)</x:f>
        <x:v>290.5721931653037</x:v>
      </x:c>
      <x:c r="E1409" s="16" t="n">
        <x:f>ABS(C1409)</x:f>
        <x:v>0.0005020842752637341</x:v>
      </x:c>
      <x:c r="F1409" s="16" t="n">
        <x:f>C1409^2</x:f>
        <x:v>2.520886194671091e-7</x:v>
      </x:c>
      <x:c r="G1409" s="1"/>
      <x:c r="H1409" s="1"/>
      <x:c r="I1409" s="1"/>
      <x:c r="J1409" s="1"/>
      <x:c r="K1409" s="1"/>
      <x:c r="L1409" s="1"/>
      <x:c r="M1409" s="1"/>
      <x:c r="N1409" s="1"/>
    </x:row>
    <x:row r="1410" ht="22" customHeight="1">
      <x:c r="A1410" s="1" t="n">
        <x:v>1394</x:v>
      </x:c>
      <x:c r="B1410" s="16" t="n">
        <x:v>0.30741045626759034</x:v>
      </x:c>
      <x:c r="C1410" s="16" t="n">
        <x:f>$B$12+$D$12*B1410</x:f>
        <x:v>0.0045570904338923385</x:v>
      </x:c>
      <x:c r="D1410" s="12" t="n">
        <x:f>D1409*EXP(C1410)</x:f>
        <x:v>291.89937868253224</x:v>
      </x:c>
      <x:c r="E1410" s="16" t="n">
        <x:f>ABS(C1410)</x:f>
        <x:v>0.0045570904338923385</x:v>
      </x:c>
      <x:c r="F1410" s="16" t="n">
        <x:f>C1410^2</x:f>
        <x:v>0.000020767073222673062</x:v>
      </x:c>
      <x:c r="G1410" s="1"/>
      <x:c r="H1410" s="1"/>
      <x:c r="I1410" s="1"/>
      <x:c r="J1410" s="1"/>
      <x:c r="K1410" s="1"/>
      <x:c r="L1410" s="1"/>
      <x:c r="M1410" s="1"/>
      <x:c r="N1410" s="1"/>
    </x:row>
    <x:row r="1411" ht="22" customHeight="1">
      <x:c r="A1411" s="1" t="n">
        <x:v>1395</x:v>
      </x:c>
      <x:c r="B1411" s="16" t="n">
        <x:v>-1.2862400339792013</x:v>
      </x:c>
      <x:c r="C1411" s="16" t="n">
        <x:f>$B$12+$D$12*B1411</x:f>
        <x:v>-0.016513081698637026</x:v>
      </x:c>
      <x:c r="D1411" s="12" t="n">
        <x:f>D1410*EXP(C1411)</x:f>
        <x:v>287.1188000681111</x:v>
      </x:c>
      <x:c r="E1411" s="16" t="n">
        <x:f>ABS(C1411)</x:f>
        <x:v>0.016513081698637026</x:v>
      </x:c>
      <x:c r="F1411" s="16" t="n">
        <x:f>C1411^2</x:f>
        <x:v>0.0002726818671858611</x:v>
      </x:c>
      <x:c r="G1411" s="1"/>
      <x:c r="H1411" s="1"/>
      <x:c r="I1411" s="1"/>
      <x:c r="J1411" s="1"/>
      <x:c r="K1411" s="1"/>
      <x:c r="L1411" s="1"/>
      <x:c r="M1411" s="1"/>
      <x:c r="N1411" s="1"/>
    </x:row>
    <x:row r="1412" ht="22" customHeight="1">
      <x:c r="A1412" s="1" t="n">
        <x:v>1396</x:v>
      </x:c>
      <x:c r="B1412" s="16" t="n">
        <x:v>-2.0670912480256134</x:v>
      </x:c>
      <x:c r="C1412" s="16" t="n">
        <x:f>$B$12+$D$12*B1412</x:f>
        <x:v>-0.026836969897802068</x:v>
      </x:c>
      <x:c r="D1412" s="12" t="n">
        <x:f>D1411*EXP(C1412)</x:f>
        <x:v>279.5158774869487</x:v>
      </x:c>
      <x:c r="E1412" s="16" t="n">
        <x:f>ABS(C1412)</x:f>
        <x:v>0.026836969897802068</x:v>
      </x:c>
      <x:c r="F1412" s="16" t="n">
        <x:f>C1412^2</x:f>
        <x:v>0.0007202229532955343</x:v>
      </x:c>
      <x:c r="G1412" s="1"/>
      <x:c r="H1412" s="1"/>
      <x:c r="I1412" s="1"/>
      <x:c r="J1412" s="1"/>
      <x:c r="K1412" s="1"/>
      <x:c r="L1412" s="1"/>
      <x:c r="M1412" s="1"/>
      <x:c r="N1412" s="1"/>
    </x:row>
    <x:row r="1413" ht="22" customHeight="1">
      <x:c r="A1413" s="1" t="n">
        <x:v>1397</x:v>
      </x:c>
      <x:c r="B1413" s="16" t="n">
        <x:v>-0.8098952360277621</x:v>
      </x:c>
      <x:c r="C1413" s="16" t="n">
        <x:f>$B$12+$D$12*B1413</x:f>
        <x:v>-0.010215171994660798</x:v>
      </x:c>
      <x:c r="D1413" s="12" t="n">
        <x:f>D1412*EXP(C1413)</x:f>
        <x:v>276.67510889580416</x:v>
      </x:c>
      <x:c r="E1413" s="16" t="n">
        <x:f>ABS(C1413)</x:f>
        <x:v>0.010215171994660798</x:v>
      </x:c>
      <x:c r="F1413" s="16" t="n">
        <x:f>C1413^2</x:f>
        <x:v>0.00010434973888050227</x:v>
      </x:c>
      <x:c r="G1413" s="1"/>
      <x:c r="H1413" s="1"/>
      <x:c r="I1413" s="1"/>
      <x:c r="J1413" s="1"/>
      <x:c r="K1413" s="1"/>
      <x:c r="L1413" s="1"/>
      <x:c r="M1413" s="1"/>
      <x:c r="N1413" s="1"/>
    </x:row>
    <x:row r="1414" ht="22" customHeight="1">
      <x:c r="A1414" s="1" t="n">
        <x:v>1398</x:v>
      </x:c>
      <x:c r="B1414" s="16" t="n">
        <x:v>-0.4120716874596666</x:v>
      </x:c>
      <x:c r="C1414" s="16" t="n">
        <x:f>$B$12+$D$12*B1414</x:f>
        <x:v>-0.004955417300640425</x:v>
      </x:c>
      <x:c r="D1414" s="12" t="n">
        <x:f>D1413*EXP(C1414)</x:f>
        <x:v>275.30745970942826</x:v>
      </x:c>
      <x:c r="E1414" s="16" t="n">
        <x:f>ABS(C1414)</x:f>
        <x:v>0.004955417300640425</x:v>
      </x:c>
      <x:c r="F1414" s="16" t="n">
        <x:f>C1414^2</x:f>
        <x:v>0.000024556160623486435</x:v>
      </x:c>
      <x:c r="G1414" s="1"/>
      <x:c r="H1414" s="1"/>
      <x:c r="I1414" s="1"/>
      <x:c r="J1414" s="1"/>
      <x:c r="K1414" s="1"/>
      <x:c r="L1414" s="1"/>
      <x:c r="M1414" s="1"/>
      <x:c r="N1414" s="1"/>
    </x:row>
    <x:row r="1415" ht="22" customHeight="1">
      <x:c r="A1415" s="1" t="n">
        <x:v>1399</x:v>
      </x:c>
      <x:c r="B1415" s="16" t="n">
        <x:v>0.29649660005626827</x:v>
      </x:c>
      <x:c r="C1415" s="16" t="n">
        <x:f>$B$12+$D$12*B1415</x:f>
        <x:v>0.004412794786628665</x:v>
      </x:c>
      <x:c r="D1415" s="12" t="n">
        <x:f>D1414*EXP(C1415)</x:f>
        <x:v>276.52501947728206</x:v>
      </x:c>
      <x:c r="E1415" s="16" t="n">
        <x:f>ABS(C1415)</x:f>
        <x:v>0.004412794786628665</x:v>
      </x:c>
      <x:c r="F1415" s="16" t="n">
        <x:f>C1415^2</x:f>
        <x:v>0.000019472757828897128</x:v>
      </x:c>
      <x:c r="G1415" s="1"/>
      <x:c r="H1415" s="1"/>
      <x:c r="I1415" s="1"/>
      <x:c r="J1415" s="1"/>
      <x:c r="K1415" s="1"/>
      <x:c r="L1415" s="1"/>
      <x:c r="M1415" s="1"/>
      <x:c r="N1415" s="1"/>
    </x:row>
    <x:row r="1416" ht="22" customHeight="1">
      <x:c r="A1416" s="1" t="n">
        <x:v>1400</x:v>
      </x:c>
      <x:c r="B1416" s="16" t="n">
        <x:v>0.20169394013781738</x:v>
      </x:c>
      <x:c r="C1416" s="16" t="n">
        <x:f>$B$12+$D$12*B1416</x:f>
        <x:v>0.00315937794565366</x:v>
      </x:c>
      <x:c r="D1416" s="12" t="n">
        <x:f>D1415*EXP(C1416)</x:f>
        <x:v>277.4000480704058</x:v>
      </x:c>
      <x:c r="E1416" s="16" t="n">
        <x:f>ABS(C1416)</x:f>
        <x:v>0.00315937794565366</x:v>
      </x:c>
      <x:c r="F1416" s="16" t="n">
        <x:f>C1416^2</x:f>
        <x:v>0.000009981669003482742</x:v>
      </x:c>
      <x:c r="G1416" s="1"/>
      <x:c r="H1416" s="1"/>
      <x:c r="I1416" s="1"/>
      <x:c r="J1416" s="1"/>
      <x:c r="K1416" s="1"/>
      <x:c r="L1416" s="1"/>
      <x:c r="M1416" s="1"/>
      <x:c r="N1416" s="1"/>
    </x:row>
    <x:row r="1417" ht="22" customHeight="1">
      <x:c r="A1417" s="1" t="n">
        <x:v>1401</x:v>
      </x:c>
      <x:c r="B1417" s="16" t="n">
        <x:v>0.8650993540078935</x:v>
      </x:c>
      <x:c r="C1417" s="16" t="n">
        <x:f>$B$12+$D$12*B1417</x:f>
        <x:v>0.011930476972347871</x:v>
      </x:c>
      <x:c r="D1417" s="12" t="n">
        <x:f>D1416*EXP(C1417)</x:f>
        <x:v>280.72938374700493</x:v>
      </x:c>
      <x:c r="E1417" s="16" t="n">
        <x:f>ABS(C1417)</x:f>
        <x:v>0.011930476972347871</x:v>
      </x:c>
      <x:c r="F1417" s="16" t="n">
        <x:f>C1417^2</x:f>
        <x:v>0.00014233628078772284</x:v>
      </x:c>
      <x:c r="G1417" s="1"/>
      <x:c r="H1417" s="1"/>
      <x:c r="I1417" s="1"/>
      <x:c r="J1417" s="1"/>
      <x:c r="K1417" s="1"/>
      <x:c r="L1417" s="1"/>
      <x:c r="M1417" s="1"/>
      <x:c r="N1417" s="1"/>
    </x:row>
    <x:row r="1418" ht="22" customHeight="1">
      <x:c r="A1418" s="1" t="n">
        <x:v>1402</x:v>
      </x:c>
      <x:c r="B1418" s="16" t="n">
        <x:v>-1.1711093988518622</x:v>
      </x:c>
      <x:c r="C1418" s="16" t="n">
        <x:f>$B$12+$D$12*B1418</x:f>
        <x:v>-0.014990902077254169</x:v>
      </x:c>
      <x:c r="D1418" s="12" t="n">
        <x:f>D1417*EXP(C1418)</x:f>
        <x:v>276.55238376736185</x:v>
      </x:c>
      <x:c r="E1418" s="16" t="n">
        <x:f>ABS(C1418)</x:f>
        <x:v>0.014990902077254169</x:v>
      </x:c>
      <x:c r="F1418" s="16" t="n">
        <x:f>C1418^2</x:f>
        <x:v>0.00022472714508982335</x:v>
      </x:c>
      <x:c r="G1418" s="1"/>
      <x:c r="H1418" s="1"/>
      <x:c r="I1418" s="1"/>
      <x:c r="J1418" s="1"/>
      <x:c r="K1418" s="1"/>
      <x:c r="L1418" s="1"/>
      <x:c r="M1418" s="1"/>
      <x:c r="N1418" s="1"/>
    </x:row>
    <x:row r="1419" ht="22" customHeight="1">
      <x:c r="A1419" s="1" t="n">
        <x:v>1403</x:v>
      </x:c>
      <x:c r="B1419" s="16" t="n">
        <x:v>0.211346382063029</x:v>
      </x:c>
      <x:c r="C1419" s="16" t="n">
        <x:f>$B$12+$D$12*B1419</x:f>
        <x:v>0.003286996023838392</x:v>
      </x:c>
      <x:c r="D1419" s="12" t="n">
        <x:f>D1418*EXP(C1419)</x:f>
        <x:v>277.4629059748266</x:v>
      </x:c>
      <x:c r="E1419" s="16" t="n">
        <x:f>ABS(C1419)</x:f>
        <x:v>0.003286996023838392</x:v>
      </x:c>
      <x:c r="F1419" s="16" t="n">
        <x:f>C1419^2</x:f>
        <x:v>0.0000108043428607294</x:v>
      </x:c>
      <x:c r="G1419" s="1"/>
      <x:c r="H1419" s="1"/>
      <x:c r="I1419" s="1"/>
      <x:c r="J1419" s="1"/>
      <x:c r="K1419" s="1"/>
      <x:c r="L1419" s="1"/>
      <x:c r="M1419" s="1"/>
      <x:c r="N1419" s="1"/>
    </x:row>
    <x:row r="1420" ht="22" customHeight="1">
      <x:c r="A1420" s="1" t="n">
        <x:v>1404</x:v>
      </x:c>
      <x:c r="B1420" s="16" t="n">
        <x:v>0.023359106393244768</x:v>
      </x:c>
      <x:c r="C1420" s="16" t="n">
        <x:f>$B$12+$D$12*B1420</x:f>
        <x:v>0.0008015550307670588</x:v>
      </x:c>
      <x:c r="D1420" s="12" t="n">
        <x:f>D1419*EXP(C1420)</x:f>
        <x:v>277.68539692041793</x:v>
      </x:c>
      <x:c r="E1420" s="16" t="n">
        <x:f>ABS(C1420)</x:f>
        <x:v>0.0008015550307670588</x:v>
      </x:c>
      <x:c r="F1420" s="16" t="n">
        <x:f>C1420^2</x:f>
        <x:v>6.424904673479806e-7</x:v>
      </x:c>
      <x:c r="G1420" s="1"/>
      <x:c r="H1420" s="1"/>
      <x:c r="I1420" s="1"/>
      <x:c r="J1420" s="1"/>
      <x:c r="K1420" s="1"/>
      <x:c r="L1420" s="1"/>
      <x:c r="M1420" s="1"/>
      <x:c r="N1420" s="1"/>
    </x:row>
    <x:row r="1421" ht="22" customHeight="1">
      <x:c r="A1421" s="1" t="n">
        <x:v>1405</x:v>
      </x:c>
      <x:c r="B1421" s="16" t="n">
        <x:v>0.3172741002671636</x:v>
      </x:c>
      <x:c r="C1421" s="16" t="n">
        <x:f>$B$12+$D$12*B1421</x:f>
        <x:v>0.004687500883483965</x:v>
      </x:c>
      <x:c r="D1421" s="12" t="n">
        <x:f>D1420*EXP(C1421)</x:f>
        <x:v>278.9901029802288</x:v>
      </x:c>
      <x:c r="E1421" s="16" t="n">
        <x:f>ABS(C1421)</x:f>
        <x:v>0.004687500883483965</x:v>
      </x:c>
      <x:c r="F1421" s="16" t="n">
        <x:f>C1421^2</x:f>
        <x:v>0.00002197266453266295</x:v>
      </x:c>
      <x:c r="G1421" s="1"/>
      <x:c r="H1421" s="1"/>
      <x:c r="I1421" s="1"/>
      <x:c r="J1421" s="1"/>
      <x:c r="K1421" s="1"/>
      <x:c r="L1421" s="1"/>
      <x:c r="M1421" s="1"/>
      <x:c r="N1421" s="1"/>
    </x:row>
    <x:row r="1422" ht="22" customHeight="1">
      <x:c r="A1422" s="1" t="n">
        <x:v>1406</x:v>
      </x:c>
      <x:c r="B1422" s="16" t="n">
        <x:v>0.19288334009296393</x:v>
      </x:c>
      <x:c r="C1422" s="16" t="n">
        <x:f>$B$12+$D$12*B1422</x:f>
        <x:v>0.0030428901331301093</x:v>
      </x:c>
      <x:c r="D1422" s="12" t="n">
        <x:f>D1421*EXP(C1422)</x:f>
        <x:v>279.84033213274256</x:v>
      </x:c>
      <x:c r="E1422" s="16" t="n">
        <x:f>ABS(C1422)</x:f>
        <x:v>0.0030428901331301093</x:v>
      </x:c>
      <x:c r="F1422" s="16" t="n">
        <x:f>C1422^2</x:f>
        <x:v>0.000009259180362300574</x:v>
      </x:c>
      <x:c r="G1422" s="1"/>
      <x:c r="H1422" s="1"/>
      <x:c r="I1422" s="1"/>
      <x:c r="J1422" s="1"/>
      <x:c r="K1422" s="1"/>
      <x:c r="L1422" s="1"/>
      <x:c r="M1422" s="1"/>
      <x:c r="N1422" s="1"/>
    </x:row>
    <x:row r="1423" ht="22" customHeight="1">
      <x:c r="A1423" s="1" t="n">
        <x:v>1407</x:v>
      </x:c>
      <x:c r="B1423" s="16" t="n">
        <x:v>-0.8027219756186369</x:v>
      </x:c>
      <x:c r="C1423" s="16" t="n">
        <x:f>$B$12+$D$12*B1423</x:f>
        <x:v>-0.010120331982690342</x:v>
      </x:c>
      <x:c r="D1423" s="12" t="n">
        <x:f>D1422*EXP(C1423)</x:f>
        <x:v>277.02253762743715</x:v>
      </x:c>
      <x:c r="E1423" s="16" t="n">
        <x:f>ABS(C1423)</x:f>
        <x:v>0.010120331982690342</x:v>
      </x:c>
      <x:c r="F1423" s="16" t="n">
        <x:f>C1423^2</x:f>
        <x:v>0.00010242111943986504</x:v>
      </x:c>
      <x:c r="G1423" s="1"/>
      <x:c r="H1423" s="1"/>
      <x:c r="I1423" s="1"/>
      <x:c r="J1423" s="1"/>
      <x:c r="K1423" s="1"/>
      <x:c r="L1423" s="1"/>
      <x:c r="M1423" s="1"/>
      <x:c r="N1423" s="1"/>
    </x:row>
    <x:row r="1424" ht="22" customHeight="1">
      <x:c r="A1424" s="1" t="n">
        <x:v>1408</x:v>
      </x:c>
      <x:c r="B1424" s="16" t="n">
        <x:v>-1.2957615152384856</x:v>
      </x:c>
      <x:c r="C1424" s="16" t="n">
        <x:f>$B$12+$D$12*B1424</x:f>
        <x:v>-0.016638968303207834</x:v>
      </x:c>
      <x:c r="D1424" s="12" t="n">
        <x:f>D1423*EXP(C1424)</x:f>
        <x:v>272.45130417254586</x:v>
      </x:c>
      <x:c r="E1424" s="16" t="n">
        <x:f>ABS(C1424)</x:f>
        <x:v>0.016638968303207834</x:v>
      </x:c>
      <x:c r="F1424" s="16" t="n">
        <x:f>C1424^2</x:f>
        <x:v>0.000276855266195155</x:v>
      </x:c>
      <x:c r="G1424" s="1"/>
      <x:c r="H1424" s="1"/>
      <x:c r="I1424" s="1"/>
      <x:c r="J1424" s="1"/>
      <x:c r="K1424" s="1"/>
      <x:c r="L1424" s="1"/>
      <x:c r="M1424" s="1"/>
      <x:c r="N1424" s="1"/>
    </x:row>
    <x:row r="1425" ht="22" customHeight="1">
      <x:c r="A1425" s="1" t="n">
        <x:v>1409</x:v>
      </x:c>
      <x:c r="B1425" s="16" t="n">
        <x:v>1.5634625202303476</x:v>
      </x:c>
      <x:c r="C1425" s="16" t="n">
        <x:f>$B$12+$D$12*B1425</x:f>
        <x:v>0.021163763827514354</x:v>
      </x:c>
      <x:c r="D1425" s="12" t="n">
        <x:f>D1424*EXP(C1425)</x:f>
        <x:v>278.27884809636856</x:v>
      </x:c>
      <x:c r="E1425" s="16" t="n">
        <x:f>ABS(C1425)</x:f>
        <x:v>0.021163763827514354</x:v>
      </x:c>
      <x:c r="F1425" s="16" t="n">
        <x:f>C1425^2</x:f>
        <x:v>0.00044790489934680504</x:v>
      </x:c>
      <x:c r="G1425" s="1"/>
      <x:c r="H1425" s="1"/>
      <x:c r="I1425" s="1"/>
      <x:c r="J1425" s="1"/>
      <x:c r="K1425" s="1"/>
      <x:c r="L1425" s="1"/>
      <x:c r="M1425" s="1"/>
      <x:c r="N1425" s="1"/>
    </x:row>
    <x:row r="1426" ht="22" customHeight="1">
      <x:c r="A1426" s="1" t="n">
        <x:v>1410</x:v>
      </x:c>
      <x:c r="B1426" s="16" t="n">
        <x:v>-0.13412725660142386</x:v>
      </x:c>
      <x:c r="C1426" s="16" t="n">
        <x:f>$B$12+$D$12*B1426</x:f>
        <x:v>-0.0012806234626551762</x:v>
      </x:c>
      <x:c r="D1426" s="12" t="n">
        <x:f>D1425*EXP(C1426)</x:f>
        <x:v>277.9227057651211</x:v>
      </x:c>
      <x:c r="E1426" s="16" t="n">
        <x:f>ABS(C1426)</x:f>
        <x:v>0.0012806234626551762</x:v>
      </x:c>
      <x:c r="F1426" s="16" t="n">
        <x:f>C1426^2</x:f>
        <x:v>0.0000016399964531029333</x:v>
      </x:c>
      <x:c r="G1426" s="1"/>
      <x:c r="H1426" s="1"/>
      <x:c r="I1426" s="1"/>
      <x:c r="J1426" s="1"/>
      <x:c r="K1426" s="1"/>
      <x:c r="L1426" s="1"/>
      <x:c r="M1426" s="1"/>
      <x:c r="N1426" s="1"/>
    </x:row>
    <x:row r="1427" ht="22" customHeight="1">
      <x:c r="A1427" s="1" t="n">
        <x:v>1411</x:v>
      </x:c>
      <x:c r="B1427" s="16" t="n">
        <x:v>0.6333466794410301</x:v>
      </x:c>
      <x:c r="C1427" s="16" t="n">
        <x:f>$B$12+$D$12*B1427</x:f>
        <x:v>0.008866399387468088</x:v>
      </x:c>
      <x:c r="D1427" s="12" t="n">
        <x:f>D1426*EXP(C1427)</x:f>
        <x:v>280.39783600513135</x:v>
      </x:c>
      <x:c r="E1427" s="16" t="n">
        <x:f>ABS(C1427)</x:f>
        <x:v>0.008866399387468088</x:v>
      </x:c>
      <x:c r="F1427" s="16" t="n">
        <x:f>C1427^2</x:f>
        <x:v>0.00007861303809809448</x:v>
      </x:c>
      <x:c r="G1427" s="1"/>
      <x:c r="H1427" s="1"/>
      <x:c r="I1427" s="1"/>
      <x:c r="J1427" s="1"/>
      <x:c r="K1427" s="1"/>
      <x:c r="L1427" s="1"/>
      <x:c r="M1427" s="1"/>
      <x:c r="N1427" s="1"/>
    </x:row>
    <x:row r="1428" ht="22" customHeight="1">
      <x:c r="A1428" s="1" t="n">
        <x:v>1412</x:v>
      </x:c>
      <x:c r="B1428" s="16" t="n">
        <x:v>-0.2876515930791877</x:v>
      </x:c>
      <x:c r="C1428" s="16" t="n">
        <x:f>$B$12+$D$12*B1428</x:f>
        <x:v>-0.0033104187131921393</x:v>
      </x:c>
      <x:c r="D1428" s="12" t="n">
        <x:f>D1427*EXP(C1428)</x:f>
        <x:v>279.4711364896884</x:v>
      </x:c>
      <x:c r="E1428" s="16" t="n">
        <x:f>ABS(C1428)</x:f>
        <x:v>0.0033104187131921393</x:v>
      </x:c>
      <x:c r="F1428" s="16" t="n">
        <x:f>C1428^2</x:f>
        <x:v>0.0000109588720566527</x:v>
      </x:c>
      <x:c r="G1428" s="1"/>
      <x:c r="H1428" s="1"/>
      <x:c r="I1428" s="1"/>
      <x:c r="J1428" s="1"/>
      <x:c r="K1428" s="1"/>
      <x:c r="L1428" s="1"/>
      <x:c r="M1428" s="1"/>
      <x:c r="N1428" s="1"/>
    </x:row>
    <x:row r="1429" ht="22" customHeight="1">
      <x:c r="A1429" s="1" t="n">
        <x:v>1413</x:v>
      </x:c>
      <x:c r="B1429" s="16" t="n">
        <x:v>-0.007642171471880381</x:v>
      </x:c>
      <x:c r="C1429" s="16" t="n">
        <x:f>$B$12+$D$12*B1429</x:f>
        <x:v>0.00039167703998791066</x:v>
      </x:c>
      <x:c r="D1429" s="12" t="n">
        <x:f>D1428*EXP(C1429)</x:f>
        <x:v>279.5806203569496</x:v>
      </x:c>
      <x:c r="E1429" s="16" t="n">
        <x:f>ABS(C1429)</x:f>
        <x:v>0.00039167703998791066</x:v>
      </x:c>
      <x:c r="F1429" s="16" t="n">
        <x:f>C1429^2</x:f>
        <x:v>1.5341090365369137e-7</x:v>
      </x:c>
      <x:c r="G1429" s="1"/>
      <x:c r="H1429" s="1"/>
      <x:c r="I1429" s="1"/>
      <x:c r="J1429" s="1"/>
      <x:c r="K1429" s="1"/>
      <x:c r="L1429" s="1"/>
      <x:c r="M1429" s="1"/>
      <x:c r="N1429" s="1"/>
    </x:row>
    <x:row r="1430" ht="22" customHeight="1">
      <x:c r="A1430" s="1" t="n">
        <x:v>1414</x:v>
      </x:c>
      <x:c r="B1430" s="16" t="n">
        <x:v>-0.15084768365408896</x:v>
      </x:c>
      <x:c r="C1430" s="16" t="n">
        <x:f>$B$12+$D$12*B1430</x:f>
        <x:v>-0.0015016896740265898</x:v>
      </x:c>
      <x:c r="D1430" s="12" t="n">
        <x:f>D1429*EXP(C1430)</x:f>
        <x:v>279.1610921057619</x:v>
      </x:c>
      <x:c r="E1430" s="16" t="n">
        <x:f>ABS(C1430)</x:f>
        <x:v>0.0015016896740265898</x:v>
      </x:c>
      <x:c r="F1430" s="16" t="n">
        <x:f>C1430^2</x:f>
        <x:v>0.0000022550718770780856</x:v>
      </x:c>
      <x:c r="G1430" s="1"/>
      <x:c r="H1430" s="1"/>
      <x:c r="I1430" s="1"/>
      <x:c r="J1430" s="1"/>
      <x:c r="K1430" s="1"/>
      <x:c r="L1430" s="1"/>
      <x:c r="M1430" s="1"/>
      <x:c r="N1430" s="1"/>
    </x:row>
    <x:row r="1431" ht="22" customHeight="1">
      <x:c r="A1431" s="1" t="n">
        <x:v>1415</x:v>
      </x:c>
      <x:c r="B1431" s="16" t="n">
        <x:v>-0.3274197891911716</x:v>
      </x:c>
      <x:c r="C1431" s="16" t="n">
        <x:f>$B$12+$D$12*B1431</x:f>
        <x:v>-0.0038362069852177867</x:v>
      </x:c>
      <x:c r="D1431" s="12" t="n">
        <x:f>D1430*EXP(C1431)</x:f>
        <x:v>278.0922238849238</x:v>
      </x:c>
      <x:c r="E1431" s="16" t="n">
        <x:f>ABS(C1431)</x:f>
        <x:v>0.0038362069852177867</x:v>
      </x:c>
      <x:c r="F1431" s="16" t="n">
        <x:f>C1431^2</x:f>
        <x:v>0.00001471648403343374</x:v>
      </x:c>
      <x:c r="G1431" s="1"/>
      <x:c r="H1431" s="1"/>
      <x:c r="I1431" s="1"/>
      <x:c r="J1431" s="1"/>
      <x:c r="K1431" s="1"/>
      <x:c r="L1431" s="1"/>
      <x:c r="M1431" s="1"/>
      <x:c r="N1431" s="1"/>
    </x:row>
    <x:row r="1432" ht="22" customHeight="1">
      <x:c r="A1432" s="1" t="n">
        <x:v>1416</x:v>
      </x:c>
      <x:c r="B1432" s="16" t="n">
        <x:v>0.9027839306025828</x:v>
      </x:c>
      <x:c r="C1432" s="16" t="n">
        <x:f>$B$12+$D$12*B1432</x:f>
        <x:v>0.012428717032167153</x:v>
      </x:c>
      <x:c r="D1432" s="12" t="n">
        <x:f>D1431*EXP(C1432)</x:f>
        <x:v>281.5701215775857</x:v>
      </x:c>
      <x:c r="E1432" s="16" t="n">
        <x:f>ABS(C1432)</x:f>
        <x:v>0.012428717032167153</x:v>
      </x:c>
      <x:c r="F1432" s="16" t="n">
        <x:f>C1432^2</x:f>
        <x:v>0.00015447300706568188</x:v>
      </x:c>
      <x:c r="G1432" s="1"/>
      <x:c r="H1432" s="1"/>
      <x:c r="I1432" s="1"/>
      <x:c r="J1432" s="1"/>
      <x:c r="K1432" s="1"/>
      <x:c r="L1432" s="1"/>
      <x:c r="M1432" s="1"/>
      <x:c r="N1432" s="1"/>
    </x:row>
    <x:row r="1433" ht="22" customHeight="1">
      <x:c r="A1433" s="1" t="n">
        <x:v>1417</x:v>
      </x:c>
      <x:c r="B1433" s="16" t="n">
        <x:v>-0.7808764809218363</x:v>
      </x:c>
      <x:c r="C1433" s="16" t="n">
        <x:f>$B$12+$D$12*B1433</x:f>
        <x:v>-0.009831505582925256</x:v>
      </x:c>
      <x:c r="D1433" s="12" t="n">
        <x:f>D1432*EXP(C1433)</x:f>
        <x:v>278.8154269418417</x:v>
      </x:c>
      <x:c r="E1433" s="16" t="n">
        <x:f>ABS(C1433)</x:f>
        <x:v>0.009831505582925256</x:v>
      </x:c>
      <x:c r="F1433" s="16" t="n">
        <x:f>C1433^2</x:f>
        <x:v>0.00009665850202709047</x:v>
      </x:c>
      <x:c r="G1433" s="1"/>
      <x:c r="H1433" s="1"/>
      <x:c r="I1433" s="1"/>
      <x:c r="J1433" s="1"/>
      <x:c r="K1433" s="1"/>
      <x:c r="L1433" s="1"/>
      <x:c r="M1433" s="1"/>
      <x:c r="N1433" s="1"/>
    </x:row>
    <x:row r="1434" ht="22" customHeight="1">
      <x:c r="A1434" s="1" t="n">
        <x:v>1418</x:v>
      </x:c>
      <x:c r="B1434" s="16" t="n">
        <x:v>-0.024659923953832593</x:v>
      </x:c>
      <x:c r="C1434" s="16" t="n">
        <x:f>$B$12+$D$12*B1434</x:f>
        <x:v>0.00016667979228651253</x:v>
      </x:c>
      <x:c r="D1434" s="12" t="n">
        <x:f>D1433*EXP(C1434)</x:f>
        <x:v>278.86190371255225</x:v>
      </x:c>
      <x:c r="E1434" s="16" t="n">
        <x:f>ABS(C1434)</x:f>
        <x:v>0.00016667979228651253</x:v>
      </x:c>
      <x:c r="F1434" s="16" t="n">
        <x:f>C1434^2</x:f>
        <x:v>2.7782153156674962e-8</x:v>
      </x:c>
      <x:c r="G1434" s="1"/>
      <x:c r="H1434" s="1"/>
      <x:c r="I1434" s="1"/>
      <x:c r="J1434" s="1"/>
      <x:c r="K1434" s="1"/>
      <x:c r="L1434" s="1"/>
      <x:c r="M1434" s="1"/>
      <x:c r="N1434" s="1"/>
    </x:row>
    <x:row r="1435" ht="22" customHeight="1">
      <x:c r="A1435" s="1" t="n">
        <x:v>1419</x:v>
      </x:c>
      <x:c r="B1435" s="16" t="n">
        <x:v>0.28336230776231836</x:v>
      </x:c>
      <x:c r="C1435" s="16" t="n">
        <x:f>$B$12+$D$12*B1435</x:f>
        <x:v>0.004239142030791579</x:v>
      </x:c>
      <x:c r="D1435" s="12" t="n">
        <x:f>D1434*EXP(C1435)</x:f>
        <x:v>280.04654809322295</x:v>
      </x:c>
      <x:c r="E1435" s="16" t="n">
        <x:f>ABS(C1435)</x:f>
        <x:v>0.004239142030791579</x:v>
      </x:c>
      <x:c r="F1435" s="16" t="n">
        <x:f>C1435^2</x:f>
        <x:v>0.000017970325157223753</x:v>
      </x:c>
      <x:c r="G1435" s="1"/>
      <x:c r="H1435" s="1"/>
      <x:c r="I1435" s="1"/>
      <x:c r="J1435" s="1"/>
      <x:c r="K1435" s="1"/>
      <x:c r="L1435" s="1"/>
      <x:c r="M1435" s="1"/>
      <x:c r="N1435" s="1"/>
    </x:row>
    <x:row r="1436" ht="22" customHeight="1">
      <x:c r="A1436" s="1" t="n">
        <x:v>1420</x:v>
      </x:c>
      <x:c r="B1436" s="16" t="n">
        <x:v>0.5360831212528356</x:v>
      </x:c>
      <x:c r="C1436" s="16" t="n">
        <x:f>$B$12+$D$12*B1436</x:f>
        <x:v>0.007580446209032972</x:v>
      </x:c>
      <x:c r="D1436" s="12" t="n">
        <x:f>D1435*EXP(C1436)</x:f>
        <x:v>282.17749243733243</x:v>
      </x:c>
      <x:c r="E1436" s="16" t="n">
        <x:f>ABS(C1436)</x:f>
        <x:v>0.007580446209032972</x:v>
      </x:c>
      <x:c r="F1436" s="16" t="n">
        <x:f>C1436^2</x:f>
        <x:v>0.00005746316472804235</x:v>
      </x:c>
      <x:c r="G1436" s="1"/>
      <x:c r="H1436" s="1"/>
      <x:c r="I1436" s="1"/>
      <x:c r="J1436" s="1"/>
      <x:c r="K1436" s="1"/>
      <x:c r="L1436" s="1"/>
      <x:c r="M1436" s="1"/>
      <x:c r="N1436" s="1"/>
    </x:row>
    <x:row r="1437" ht="22" customHeight="1">
      <x:c r="A1437" s="1" t="n">
        <x:v>1421</x:v>
      </x:c>
      <x:c r="B1437" s="16" t="n">
        <x:v>-1.351322157796106</x:v>
      </x:c>
      <x:c r="C1437" s="16" t="n">
        <x:f>$B$12+$D$12*B1437</x:f>
        <x:v>-0.01737355365278578</x:v>
      </x:c>
      <x:c r="D1437" s="12" t="n">
        <x:f>D1436*EXP(C1437)</x:f>
        <x:v>277.3174073542118</x:v>
      </x:c>
      <x:c r="E1437" s="16" t="n">
        <x:f>ABS(C1437)</x:f>
        <x:v>0.01737355365278578</x:v>
      </x:c>
      <x:c r="F1437" s="16" t="n">
        <x:f>C1437^2</x:f>
        <x:v>0.00030184036652622614</x:v>
      </x:c>
      <x:c r="G1437" s="1"/>
      <x:c r="H1437" s="1"/>
      <x:c r="I1437" s="1"/>
      <x:c r="J1437" s="1"/>
      <x:c r="K1437" s="1"/>
      <x:c r="L1437" s="1"/>
      <x:c r="M1437" s="1"/>
      <x:c r="N1437" s="1"/>
    </x:row>
    <x:row r="1438" ht="22" customHeight="1">
      <x:c r="A1438" s="1" t="n">
        <x:v>1422</x:v>
      </x:c>
      <x:c r="B1438" s="16" t="n">
        <x:v>-0.9381644030096427</x:v>
      </x:c>
      <x:c r="C1438" s="16" t="n">
        <x:f>$B$12+$D$12*B1438</x:f>
        <x:v>-0.01191106042449201</x:v>
      </x:c>
      <x:c r="D1438" s="12" t="n">
        <x:f>D1437*EXP(C1438)</x:f>
        <x:v>274.033857062022</x:v>
      </x:c>
      <x:c r="E1438" s="16" t="n">
        <x:f>ABS(C1438)</x:f>
        <x:v>0.01191106042449201</x:v>
      </x:c>
      <x:c r="F1438" s="16" t="n">
        <x:f>C1438^2</x:f>
        <x:v>0.00014187336043589978</x:v>
      </x:c>
      <x:c r="G1438" s="1"/>
      <x:c r="H1438" s="1"/>
      <x:c r="I1438" s="1"/>
      <x:c r="J1438" s="1"/>
      <x:c r="K1438" s="1"/>
      <x:c r="L1438" s="1"/>
      <x:c r="M1438" s="1"/>
      <x:c r="N1438" s="1"/>
    </x:row>
    <x:row r="1439" ht="22" customHeight="1">
      <x:c r="A1439" s="1" t="n">
        <x:v>1423</x:v>
      </x:c>
      <x:c r="B1439" s="16" t="n">
        <x:v>-0.17268180375889267</x:v>
      </x:c>
      <x:c r="C1439" s="16" t="n">
        <x:f>$B$12+$D$12*B1439</x:f>
        <x:v>-0.0017903656866065445</x:v>
      </x:c>
      <x:c r="D1439" s="12" t="n">
        <x:f>D1438*EXP(C1439)</x:f>
        <x:v>273.54367518071604</x:v>
      </x:c>
      <x:c r="E1439" s="16" t="n">
        <x:f>ABS(C1439)</x:f>
        <x:v>0.0017903656866065445</x:v>
      </x:c>
      <x:c r="F1439" s="16" t="n">
        <x:f>C1439^2</x:f>
        <x:v>0.0000032054092917781236</x:v>
      </x:c>
      <x:c r="G1439" s="1"/>
      <x:c r="H1439" s="1"/>
      <x:c r="I1439" s="1"/>
      <x:c r="J1439" s="1"/>
      <x:c r="K1439" s="1"/>
      <x:c r="L1439" s="1"/>
      <x:c r="M1439" s="1"/>
      <x:c r="N1439" s="1"/>
    </x:row>
    <x:row r="1440" ht="22" customHeight="1">
      <x:c r="A1440" s="1" t="n">
        <x:v>1424</x:v>
      </x:c>
      <x:c r="B1440" s="16" t="n">
        <x:v>-0.5354344617708557</x:v>
      </x:c>
      <x:c r="C1440" s="16" t="n">
        <x:f>$B$12+$D$12*B1440</x:f>
        <x:v>-0.006586436715117313</x:v>
      </x:c>
      <x:c r="D1440" s="12" t="n">
        <x:f>D1439*EXP(C1440)</x:f>
        <x:v>271.7479173896724</x:v>
      </x:c>
      <x:c r="E1440" s="16" t="n">
        <x:f>ABS(C1440)</x:f>
        <x:v>0.006586436715117313</x:v>
      </x:c>
      <x:c r="F1440" s="16" t="n">
        <x:f>C1440^2</x:f>
        <x:v>0.00004338114860224534</x:v>
      </x:c>
      <x:c r="G1440" s="1"/>
      <x:c r="H1440" s="1"/>
      <x:c r="I1440" s="1"/>
      <x:c r="J1440" s="1"/>
      <x:c r="K1440" s="1"/>
      <x:c r="L1440" s="1"/>
      <x:c r="M1440" s="1"/>
      <x:c r="N1440" s="1"/>
    </x:row>
    <x:row r="1441" ht="22" customHeight="1">
      <x:c r="A1441" s="1" t="n">
        <x:v>1425</x:v>
      </x:c>
      <x:c r="B1441" s="16" t="n">
        <x:v>0.5515787817755249</x:v>
      </x:c>
      <x:c r="C1441" s="16" t="n">
        <x:f>$B$12+$D$12*B1441</x:f>
        <x:v>0.007785319383244302</x:v>
      </x:c>
      <x:c r="D1441" s="12" t="n">
        <x:f>D1440*EXP(C1441)</x:f>
        <x:v>273.8718186153002</x:v>
      </x:c>
      <x:c r="E1441" s="16" t="n">
        <x:f>ABS(C1441)</x:f>
        <x:v>0.007785319383244302</x:v>
      </x:c>
      <x:c r="F1441" s="16" t="n">
        <x:f>C1441^2</x:f>
        <x:v>0.00006061119789911945</x:v>
      </x:c>
      <x:c r="G1441" s="1"/>
      <x:c r="H1441" s="1"/>
      <x:c r="I1441" s="1"/>
      <x:c r="J1441" s="1"/>
      <x:c r="K1441" s="1"/>
      <x:c r="L1441" s="1"/>
      <x:c r="M1441" s="1"/>
      <x:c r="N1441" s="1"/>
    </x:row>
    <x:row r="1442" ht="22" customHeight="1">
      <x:c r="A1442" s="1" t="n">
        <x:v>1426</x:v>
      </x:c>
      <x:c r="B1442" s="16" t="n">
        <x:v>0.09303224895269174</x:v>
      </x:c>
      <x:c r="C1442" s="16" t="n">
        <x:f>$B$12+$D$12*B1442</x:f>
        <x:v>0.0017227263388588775</x:v>
      </x:c>
      <x:c r="D1442" s="12" t="n">
        <x:f>D1441*EXP(C1442)</x:f>
        <x:v>274.34403144065027</x:v>
      </x:c>
      <x:c r="E1442" s="16" t="n">
        <x:f>ABS(C1442)</x:f>
        <x:v>0.0017227263388588775</x:v>
      </x:c>
      <x:c r="F1442" s="16" t="n">
        <x:f>C1442^2</x:f>
        <x:v>0.000002967786038598112</x:v>
      </x:c>
      <x:c r="G1442" s="1"/>
      <x:c r="H1442" s="1"/>
      <x:c r="I1442" s="1"/>
      <x:c r="J1442" s="1"/>
      <x:c r="K1442" s="1"/>
      <x:c r="L1442" s="1"/>
      <x:c r="M1442" s="1"/>
      <x:c r="N1442" s="1"/>
    </x:row>
    <x:row r="1443" ht="22" customHeight="1">
      <x:c r="A1443" s="1" t="n">
        <x:v>1427</x:v>
      </x:c>
      <x:c r="B1443" s="16" t="n">
        <x:v>1.1371313901987754</x:v>
      </x:c>
      <x:c r="C1443" s="16" t="n">
        <x:f>$B$12+$D$12*B1443</x:f>
        <x:v>0.015527101114958164</x:v>
      </x:c>
      <x:c r="D1443" s="12" t="n">
        <x:f>D1442*EXP(C1443)</x:f>
        <x:v>278.63704170926053</x:v>
      </x:c>
      <x:c r="E1443" s="16" t="n">
        <x:f>ABS(C1443)</x:f>
        <x:v>0.015527101114958164</x:v>
      </x:c>
      <x:c r="F1443" s="16" t="n">
        <x:f>C1443^2</x:f>
        <x:v>0.00024109086903413506</x:v>
      </x:c>
      <x:c r="G1443" s="1"/>
      <x:c r="H1443" s="1"/>
      <x:c r="I1443" s="1"/>
      <x:c r="J1443" s="1"/>
      <x:c r="K1443" s="1"/>
      <x:c r="L1443" s="1"/>
      <x:c r="M1443" s="1"/>
      <x:c r="N1443" s="1"/>
    </x:row>
    <x:row r="1444" ht="22" customHeight="1">
      <x:c r="A1444" s="1" t="n">
        <x:v>1428</x:v>
      </x:c>
      <x:c r="B1444" s="16" t="n">
        <x:v>-0.016701528870519487</x:v>
      </x:c>
      <x:c r="C1444" s="16" t="n">
        <x:f>$B$12+$D$12*B1444</x:f>
        <x:v>0.0002719003254776484</x:v>
      </x:c>
      <x:c r="D1444" s="12" t="n">
        <x:f>D1443*EXP(C1444)</x:f>
        <x:v>278.7128135123136</x:v>
      </x:c>
      <x:c r="E1444" s="16" t="n">
        <x:f>ABS(C1444)</x:f>
        <x:v>0.0002719003254776484</x:v>
      </x:c>
      <x:c r="F1444" s="16" t="n">
        <x:f>C1444^2</x:f>
        <x:v>7.392978699485113e-8</x:v>
      </x:c>
      <x:c r="G1444" s="1"/>
      <x:c r="H1444" s="1"/>
      <x:c r="I1444" s="1"/>
      <x:c r="J1444" s="1"/>
      <x:c r="K1444" s="1"/>
      <x:c r="L1444" s="1"/>
      <x:c r="M1444" s="1"/>
      <x:c r="N1444" s="1"/>
    </x:row>
    <x:row r="1445" ht="22" customHeight="1">
      <x:c r="A1445" s="1" t="n">
        <x:v>1429</x:v>
      </x:c>
      <x:c r="B1445" s="16" t="n">
        <x:v>0.9222827872056581</x:v>
      </x:c>
      <x:c r="C1445" s="16" t="n">
        <x:f>$B$12+$D$12*B1445</x:f>
        <x:v>0.012686517765470152</x:v>
      </x:c>
      <x:c r="D1445" s="12" t="n">
        <x:f>D1444*EXP(C1445)</x:f>
        <x:v>282.27123282079003</x:v>
      </x:c>
      <x:c r="E1445" s="16" t="n">
        <x:f>ABS(C1445)</x:f>
        <x:v>0.012686517765470152</x:v>
      </x:c>
      <x:c r="F1445" s="16" t="n">
        <x:f>C1445^2</x:f>
        <x:v>0.00016094773301358978</x:v>
      </x:c>
      <x:c r="G1445" s="1"/>
      <x:c r="H1445" s="1"/>
      <x:c r="I1445" s="1"/>
      <x:c r="J1445" s="1"/>
      <x:c r="K1445" s="1"/>
      <x:c r="L1445" s="1"/>
      <x:c r="M1445" s="1"/>
      <x:c r="N1445" s="1"/>
    </x:row>
    <x:row r="1446" ht="22" customHeight="1">
      <x:c r="A1446" s="1" t="n">
        <x:v>1430</x:v>
      </x:c>
      <x:c r="B1446" s="16" t="n">
        <x:v>0.26888950060482325</x:v>
      </x:c>
      <x:c r="C1446" s="16" t="n">
        <x:f>$B$12+$D$12*B1446</x:f>
        <x:v>0.004047792334032097</x:v>
      </x:c>
      <x:c r="D1446" s="12" t="n">
        <x:f>D1445*EXP(C1446)</x:f>
        <x:v>283.41612373022633</x:v>
      </x:c>
      <x:c r="E1446" s="16" t="n">
        <x:f>ABS(C1446)</x:f>
        <x:v>0.004047792334032097</x:v>
      </x:c>
      <x:c r="F1446" s="16" t="n">
        <x:f>C1446^2</x:f>
        <x:v>0.00001638462277944901</x:v>
      </x:c>
      <x:c r="G1446" s="1"/>
      <x:c r="H1446" s="1"/>
      <x:c r="I1446" s="1"/>
      <x:c r="J1446" s="1"/>
      <x:c r="K1446" s="1"/>
      <x:c r="L1446" s="1"/>
      <x:c r="M1446" s="1"/>
      <x:c r="N1446" s="1"/>
    </x:row>
    <x:row r="1447" ht="22" customHeight="1">
      <x:c r="A1447" s="1" t="n">
        <x:v>1431</x:v>
      </x:c>
      <x:c r="B1447" s="16" t="n">
        <x:v>-0.39746539769624384</x:v>
      </x:c>
      <x:c r="C1447" s="16" t="n">
        <x:f>$B$12+$D$12*B1447</x:f>
        <x:v>-0.004762302786876959</x:v>
      </x:c>
      <x:c r="D1447" s="12" t="n">
        <x:f>D1446*EXP(C1447)</x:f>
        <x:v>282.0696191105313</x:v>
      </x:c>
      <x:c r="E1447" s="16" t="n">
        <x:f>ABS(C1447)</x:f>
        <x:v>0.004762302786876959</x:v>
      </x:c>
      <x:c r="F1447" s="16" t="n">
        <x:f>C1447^2</x:f>
        <x:v>0.000022679527833896048</x:v>
      </x:c>
      <x:c r="G1447" s="1"/>
      <x:c r="H1447" s="1"/>
      <x:c r="I1447" s="1"/>
      <x:c r="J1447" s="1"/>
      <x:c r="K1447" s="1"/>
      <x:c r="L1447" s="1"/>
      <x:c r="M1447" s="1"/>
      <x:c r="N1447" s="1"/>
    </x:row>
    <x:row r="1448" ht="22" customHeight="1">
      <x:c r="A1448" s="1" t="n">
        <x:v>1432</x:v>
      </x:c>
      <x:c r="B1448" s="16" t="n">
        <x:v>-1.0614994780603049</x:v>
      </x:c>
      <x:c r="C1448" s="16" t="n">
        <x:f>$B$12+$D$12*B1448</x:f>
        <x:v>-0.013541713618024708</x:v>
      </x:c>
      <x:c r="D1448" s="12" t="n">
        <x:f>D1447*EXP(C1448)</x:f>
        <x:v>278.27565944305866</x:v>
      </x:c>
      <x:c r="E1448" s="16" t="n">
        <x:f>ABS(C1448)</x:f>
        <x:v>0.013541713618024708</x:v>
      </x:c>
      <x:c r="F1448" s="16" t="n">
        <x:f>C1448^2</x:f>
        <x:v>0.00018337800771259583</x:v>
      </x:c>
      <x:c r="G1448" s="1"/>
      <x:c r="H1448" s="1"/>
      <x:c r="I1448" s="1"/>
      <x:c r="J1448" s="1"/>
      <x:c r="K1448" s="1"/>
      <x:c r="L1448" s="1"/>
      <x:c r="M1448" s="1"/>
      <x:c r="N1448" s="1"/>
    </x:row>
    <x:row r="1449" ht="22" customHeight="1">
      <x:c r="A1449" s="1" t="n">
        <x:v>1433</x:v>
      </x:c>
      <x:c r="B1449" s="16" t="n">
        <x:v>-0.10069478116194838</x:v>
      </x:c>
      <x:c r="C1449" s="16" t="n">
        <x:f>$B$12+$D$12*B1449</x:f>
        <x:v>-0.0008386018169822775</x:v>
      </x:c>
      <x:c r="D1449" s="12" t="n">
        <x:f>D1448*EXP(C1449)</x:f>
        <x:v>278.04239479117854</x:v>
      </x:c>
      <x:c r="E1449" s="16" t="n">
        <x:f>ABS(C1449)</x:f>
        <x:v>0.0008386018169822775</x:v>
      </x:c>
      <x:c r="F1449" s="16" t="n">
        <x:f>C1449^2</x:f>
        <x:v>7.032530074459772e-7</x:v>
      </x:c>
      <x:c r="G1449" s="1"/>
      <x:c r="H1449" s="1"/>
      <x:c r="I1449" s="1"/>
      <x:c r="J1449" s="1"/>
      <x:c r="K1449" s="1"/>
      <x:c r="L1449" s="1"/>
      <x:c r="M1449" s="1"/>
      <x:c r="N1449" s="1"/>
    </x:row>
    <x:row r="1450" ht="22" customHeight="1">
      <x:c r="A1450" s="1" t="n">
        <x:v>1434</x:v>
      </x:c>
      <x:c r="B1450" s="16" t="n">
        <x:v>-0.0948396117496699</x:v>
      </x:c>
      <x:c r="C1450" s="16" t="n">
        <x:f>$B$12+$D$12*B1450</x:f>
        <x:v>-0.0007611887153411997</x:v>
      </x:c>
      <x:c r="D1450" s="12" t="n">
        <x:f>D1449*EXP(C1450)</x:f>
        <x:v>277.83083258747314</x:v>
      </x:c>
      <x:c r="E1450" s="16" t="n">
        <x:f>ABS(C1450)</x:f>
        <x:v>0.0007611887153411997</x:v>
      </x:c>
      <x:c r="F1450" s="16" t="n">
        <x:f>C1450^2</x:f>
        <x:v>5.794082603627859e-7</x:v>
      </x:c>
      <x:c r="G1450" s="1"/>
      <x:c r="H1450" s="1"/>
      <x:c r="I1450" s="1"/>
      <x:c r="J1450" s="1"/>
      <x:c r="K1450" s="1"/>
      <x:c r="L1450" s="1"/>
      <x:c r="M1450" s="1"/>
      <x:c r="N1450" s="1"/>
    </x:row>
    <x:row r="1451" ht="22" customHeight="1">
      <x:c r="A1451" s="1" t="n">
        <x:v>1435</x:v>
      </x:c>
      <x:c r="B1451" s="16" t="n">
        <x:v>-1.9849325023443989</x:v>
      </x:c>
      <x:c r="C1451" s="16" t="n">
        <x:f>$B$12+$D$12*B1451</x:f>
        <x:v>-0.025750722364675894</x:v>
      </x:c>
      <x:c r="D1451" s="12" t="n">
        <x:f>D1450*EXP(C1451)</x:f>
        <x:v>270.76781711439355</x:v>
      </x:c>
      <x:c r="E1451" s="16" t="n">
        <x:f>ABS(C1451)</x:f>
        <x:v>0.025750722364675894</x:v>
      </x:c>
      <x:c r="F1451" s="16" t="n">
        <x:f>C1451^2</x:f>
        <x:v>0.0006630997023026193</x:v>
      </x:c>
      <x:c r="G1451" s="1"/>
      <x:c r="H1451" s="1"/>
      <x:c r="I1451" s="1"/>
      <x:c r="J1451" s="1"/>
      <x:c r="K1451" s="1"/>
      <x:c r="L1451" s="1"/>
      <x:c r="M1451" s="1"/>
      <x:c r="N1451" s="1"/>
    </x:row>
    <x:row r="1452" ht="22" customHeight="1">
      <x:c r="A1452" s="1" t="n">
        <x:v>1436</x:v>
      </x:c>
      <x:c r="B1452" s="16" t="n">
        <x:v>-0.11958039053165352</x:v>
      </x:c>
      <x:c r="C1452" s="16" t="n">
        <x:f>$B$12+$D$12*B1452</x:f>
        <x:v>-0.001088294608897884</x:v>
      </x:c>
      <x:c r="D1452" s="12" t="n">
        <x:f>D1451*EXP(C1452)</x:f>
        <x:v>270.4733022473042</x:v>
      </x:c>
      <x:c r="E1452" s="16" t="n">
        <x:f>ABS(C1452)</x:f>
        <x:v>0.001088294608897884</x:v>
      </x:c>
      <x:c r="F1452" s="16" t="n">
        <x:f>C1452^2</x:f>
        <x:v>0.0000011843851557561983</x:v>
      </x:c>
      <x:c r="G1452" s="1"/>
      <x:c r="H1452" s="1"/>
      <x:c r="I1452" s="1"/>
      <x:c r="J1452" s="1"/>
      <x:c r="K1452" s="1"/>
      <x:c r="L1452" s="1"/>
      <x:c r="M1452" s="1"/>
      <x:c r="N1452" s="1"/>
    </x:row>
    <x:row r="1453" ht="22" customHeight="1">
      <x:c r="A1453" s="1" t="n">
        <x:v>1437</x:v>
      </x:c>
      <x:c r="B1453" s="16" t="n">
        <x:v>0.5928660261349679</x:v>
      </x:c>
      <x:c r="C1453" s="16" t="n">
        <x:f>$B$12+$D$12*B1453</x:f>
        <x:v>0.008331191486855018</x:v>
      </x:c>
      <x:c r="D1453" s="12" t="n">
        <x:f>D1452*EXP(C1453)</x:f>
        <x:v>272.73607984912275</x:v>
      </x:c>
      <x:c r="E1453" s="16" t="n">
        <x:f>ABS(C1453)</x:f>
        <x:v>0.008331191486855018</x:v>
      </x:c>
      <x:c r="F1453" s="16" t="n">
        <x:f>C1453^2</x:f>
        <x:v>0.00006940875159064552</x:v>
      </x:c>
      <x:c r="G1453" s="1"/>
      <x:c r="H1453" s="1"/>
      <x:c r="I1453" s="1"/>
      <x:c r="J1453" s="1"/>
      <x:c r="K1453" s="1"/>
      <x:c r="L1453" s="1"/>
      <x:c r="M1453" s="1"/>
      <x:c r="N1453" s="1"/>
    </x:row>
    <x:row r="1454" ht="22" customHeight="1">
      <x:c r="A1454" s="1" t="n">
        <x:v>1438</x:v>
      </x:c>
      <x:c r="B1454" s="16" t="n">
        <x:v>-0.04394999472002412</x:v>
      </x:c>
      <x:c r="C1454" s="16" t="n">
        <x:f>$B$12+$D$12*B1454</x:f>
        <x:v>-0.00008836051547217699</x:v>
      </x:c>
      <x:c r="D1454" s="12" t="n">
        <x:f>D1453*EXP(C1454)</x:f>
        <x:v>272.7119818131925</x:v>
      </x:c>
      <x:c r="E1454" s="16" t="n">
        <x:f>ABS(C1454)</x:f>
        <x:v>0.00008836051547217699</x:v>
      </x:c>
      <x:c r="F1454" s="16" t="n">
        <x:f>C1454^2</x:f>
        <x:v>7.80758069450883e-9</x:v>
      </x:c>
      <x:c r="G1454" s="1"/>
      <x:c r="H1454" s="1"/>
      <x:c r="I1454" s="1"/>
      <x:c r="J1454" s="1"/>
      <x:c r="K1454" s="1"/>
      <x:c r="L1454" s="1"/>
      <x:c r="M1454" s="1"/>
      <x:c r="N1454" s="1"/>
    </x:row>
    <x:row r="1455" ht="22" customHeight="1">
      <x:c r="A1455" s="1" t="n">
        <x:v>1439</x:v>
      </x:c>
      <x:c r="B1455" s="16" t="n">
        <x:v>-0.6187163757991146</x:v>
      </x:c>
      <x:c r="C1455" s="16" t="n">
        <x:f>$B$12+$D$12*B1455</x:f>
        <x:v>-0.007687534022739755</x:v>
      </x:c>
      <x:c r="D1455" s="12" t="n">
        <x:f>D1454*EXP(C1455)</x:f>
        <x:v>270.62353695530857</x:v>
      </x:c>
      <x:c r="E1455" s="16" t="n">
        <x:f>ABS(C1455)</x:f>
        <x:v>0.007687534022739755</x:v>
      </x:c>
      <x:c r="F1455" s="16" t="n">
        <x:f>C1455^2</x:f>
        <x:v>0.00005909817935078128</x:v>
      </x:c>
      <x:c r="G1455" s="1"/>
      <x:c r="H1455" s="1"/>
      <x:c r="I1455" s="1"/>
      <x:c r="J1455" s="1"/>
      <x:c r="K1455" s="1"/>
      <x:c r="L1455" s="1"/>
      <x:c r="M1455" s="1"/>
      <x:c r="N1455" s="1"/>
    </x:row>
    <x:row r="1456" ht="22" customHeight="1">
      <x:c r="A1456" s="1" t="n">
        <x:v>1440</x:v>
      </x:c>
      <x:c r="B1456" s="16" t="n">
        <x:v>0.35612195235950334</x:v>
      </x:c>
      <x:c r="C1456" s="16" t="n">
        <x:f>$B$12+$D$12*B1456</x:f>
        <x:v>0.005201120987499295</x:v>
      </x:c>
      <x:c r="D1456" s="12" t="n">
        <x:f>D1455*EXP(C1456)</x:f>
        <x:v>272.03474947530395</x:v>
      </x:c>
      <x:c r="E1456" s="16" t="n">
        <x:f>ABS(C1456)</x:f>
        <x:v>0.005201120987499295</x:v>
      </x:c>
      <x:c r="F1456" s="16" t="n">
        <x:f>C1456^2</x:f>
        <x:v>0.000027051659526605643</x:v>
      </x:c>
      <x:c r="G1456" s="1"/>
      <x:c r="H1456" s="1"/>
      <x:c r="I1456" s="1"/>
      <x:c r="J1456" s="1"/>
      <x:c r="K1456" s="1"/>
      <x:c r="L1456" s="1"/>
      <x:c r="M1456" s="1"/>
      <x:c r="N1456" s="1"/>
    </x:row>
    <x:row r="1457" ht="22" customHeight="1">
      <x:c r="A1457" s="1" t="n">
        <x:v>1441</x:v>
      </x:c>
      <x:c r="B1457" s="16" t="n">
        <x:v>-1.8504977824121094</x:v>
      </x:c>
      <x:c r="C1457" s="16" t="n">
        <x:f>$B$12+$D$12*B1457</x:f>
        <x:v>-0.02397331715136399</x:v>
      </x:c>
      <x:c r="D1457" s="12" t="n">
        <x:f>D1456*EXP(C1457)</x:f>
        <x:v>265.5907250928829</x:v>
      </x:c>
      <x:c r="E1457" s="16" t="n">
        <x:f>ABS(C1457)</x:f>
        <x:v>0.02397331715136399</x:v>
      </x:c>
      <x:c r="F1457" s="16" t="n">
        <x:f>C1457^2</x:f>
        <x:v>0.0005747199352398829</x:v>
      </x:c>
      <x:c r="G1457" s="1"/>
      <x:c r="H1457" s="1"/>
      <x:c r="I1457" s="1"/>
      <x:c r="J1457" s="1"/>
      <x:c r="K1457" s="1"/>
      <x:c r="L1457" s="1"/>
      <x:c r="M1457" s="1"/>
      <x:c r="N1457" s="1"/>
    </x:row>
    <x:row r="1458" ht="22" customHeight="1">
      <x:c r="A1458" s="1" t="n">
        <x:v>1442</x:v>
      </x:c>
      <x:c r="B1458" s="16" t="n">
        <x:v>-0.20387163866763167</x:v>
      </x:c>
      <x:c r="C1458" s="16" t="n">
        <x:f>$B$12+$D$12*B1458</x:f>
        <x:v>-0.002202736651466308</x:v>
      </x:c>
      <x:c r="D1458" s="12" t="n">
        <x:f>D1457*EXP(C1458)</x:f>
        <x:v>265.0063425251692</x:v>
      </x:c>
      <x:c r="E1458" s="16" t="n">
        <x:f>ABS(C1458)</x:f>
        <x:v>0.002202736651466308</x:v>
      </x:c>
      <x:c r="F1458" s="16" t="n">
        <x:f>C1458^2</x:f>
        <x:v>0.000004852048755713002</x:v>
      </x:c>
      <x:c r="G1458" s="1"/>
      <x:c r="H1458" s="1"/>
      <x:c r="I1458" s="1"/>
      <x:c r="J1458" s="1"/>
      <x:c r="K1458" s="1"/>
      <x:c r="L1458" s="1"/>
      <x:c r="M1458" s="1"/>
      <x:c r="N1458" s="1"/>
    </x:row>
    <x:row r="1459" ht="22" customHeight="1">
      <x:c r="A1459" s="1" t="n">
        <x:v>1443</x:v>
      </x:c>
      <x:c r="B1459" s="16" t="n">
        <x:v>0.7139933649633555</x:v>
      </x:c>
      <x:c r="C1459" s="16" t="n">
        <x:f>$B$12+$D$12*B1459</x:f>
        <x:v>0.009932655480803972</x:v>
      </x:c>
      <x:c r="D1459" s="12" t="n">
        <x:f>D1458*EXP(C1459)</x:f>
        <x:v>267.65167506559027</x:v>
      </x:c>
      <x:c r="E1459" s="16" t="n">
        <x:f>ABS(C1459)</x:f>
        <x:v>0.009932655480803972</x:v>
      </x:c>
      <x:c r="F1459" s="16" t="n">
        <x:f>C1459^2</x:f>
        <x:v>0.00009865764490034518</x:v>
      </x:c>
      <x:c r="G1459" s="1"/>
      <x:c r="H1459" s="1"/>
      <x:c r="I1459" s="1"/>
      <x:c r="J1459" s="1"/>
      <x:c r="K1459" s="1"/>
      <x:c r="L1459" s="1"/>
      <x:c r="M1459" s="1"/>
      <x:c r="N1459" s="1"/>
    </x:row>
    <x:row r="1460" ht="22" customHeight="1">
      <x:c r="A1460" s="1" t="n">
        <x:v>1444</x:v>
      </x:c>
      <x:c r="B1460" s="16" t="n">
        <x:v>-1.6084576103899009</x:v>
      </x:c>
      <x:c r="C1460" s="16" t="n">
        <x:f>$B$12+$D$12*B1460</x:f>
        <x:v>-0.020773225212318315</x:v>
      </x:c>
      <x:c r="D1460" s="12" t="n">
        <x:f>D1459*EXP(C1460)</x:f>
        <x:v>262.14903817524777</x:v>
      </x:c>
      <x:c r="E1460" s="16" t="n">
        <x:f>ABS(C1460)</x:f>
        <x:v>0.020773225212318315</x:v>
      </x:c>
      <x:c r="F1460" s="16" t="n">
        <x:f>C1460^2</x:f>
        <x:v>0.0004315268857216973</x:v>
      </x:c>
      <x:c r="G1460" s="1"/>
      <x:c r="H1460" s="1"/>
      <x:c r="I1460" s="1"/>
      <x:c r="J1460" s="1"/>
      <x:c r="K1460" s="1"/>
      <x:c r="L1460" s="1"/>
      <x:c r="M1460" s="1"/>
      <x:c r="N1460" s="1"/>
    </x:row>
    <x:row r="1461" ht="22" customHeight="1">
      <x:c r="A1461" s="1" t="n">
        <x:v>1445</x:v>
      </x:c>
      <x:c r="B1461" s="16" t="n">
        <x:v>-1.0814878170636866</x:v>
      </x:c>
      <x:c r="C1461" s="16" t="n">
        <x:f>$B$12+$D$12*B1461</x:f>
        <x:v>-0.013805985957550913</x:v>
      </x:c>
      <x:c r="D1461" s="12" t="n">
        <x:f>D1460*EXP(C1461)</x:f>
        <x:v>258.55468114849515</x:v>
      </x:c>
      <x:c r="E1461" s="16" t="n">
        <x:f>ABS(C1461)</x:f>
        <x:v>0.013805985957550913</x:v>
      </x:c>
      <x:c r="F1461" s="16" t="n">
        <x:f>C1461^2</x:f>
        <x:v>0.000190605248260093</x:v>
      </x:c>
      <x:c r="G1461" s="1"/>
      <x:c r="H1461" s="1"/>
      <x:c r="I1461" s="1"/>
      <x:c r="J1461" s="1"/>
      <x:c r="K1461" s="1"/>
      <x:c r="L1461" s="1"/>
      <x:c r="M1461" s="1"/>
      <x:c r="N1461" s="1"/>
    </x:row>
    <x:row r="1462" ht="22" customHeight="1">
      <x:c r="A1462" s="1" t="n">
        <x:v>1446</x:v>
      </x:c>
      <x:c r="B1462" s="16" t="n">
        <x:v>-1.590546706407091</x:v>
      </x:c>
      <x:c r="C1462" s="16" t="n">
        <x:f>$B$12+$D$12*B1462</x:f>
        <x:v>-0.02053641931775321</x:v>
      </x:c>
      <x:c r="D1462" s="12" t="n">
        <x:f>D1461*EXP(C1462)</x:f>
        <x:v>253.2990444890032</x:v>
      </x:c>
      <x:c r="E1462" s="16" t="n">
        <x:f>ABS(C1462)</x:f>
        <x:v>0.02053641931775321</x:v>
      </x:c>
      <x:c r="F1462" s="16" t="n">
        <x:f>C1462^2</x:f>
        <x:v>0.0004217445183945872</x:v>
      </x:c>
      <x:c r="G1462" s="1"/>
      <x:c r="H1462" s="1"/>
      <x:c r="I1462" s="1"/>
      <x:c r="J1462" s="1"/>
      <x:c r="K1462" s="1"/>
      <x:c r="L1462" s="1"/>
      <x:c r="M1462" s="1"/>
      <x:c r="N1462" s="1"/>
    </x:row>
    <x:row r="1463" ht="22" customHeight="1">
      <x:c r="A1463" s="1" t="n">
        <x:v>1447</x:v>
      </x:c>
      <x:c r="B1463" s="16" t="n">
        <x:v>-1.1937305372971823</x:v>
      </x:c>
      <x:c r="C1463" s="16" t="n">
        <x:f>$B$12+$D$12*B1463</x:f>
        <x:v>-0.015289983515620786</x:v>
      </x:c>
      <x:c r="D1463" s="12" t="n">
        <x:f>D1462*EXP(C1463)</x:f>
        <x:v>249.45556452514433</x:v>
      </x:c>
      <x:c r="E1463" s="16" t="n">
        <x:f>ABS(C1463)</x:f>
        <x:v>0.015289983515620786</x:v>
      </x:c>
      <x:c r="F1463" s="16" t="n">
        <x:f>C1463^2</x:f>
        <x:v>0.00023378359590795535</x:v>
      </x:c>
      <x:c r="G1463" s="1"/>
      <x:c r="H1463" s="1"/>
      <x:c r="I1463" s="1"/>
      <x:c r="J1463" s="1"/>
      <x:c r="K1463" s="1"/>
      <x:c r="L1463" s="1"/>
      <x:c r="M1463" s="1"/>
      <x:c r="N1463" s="1"/>
    </x:row>
    <x:row r="1464" ht="22" customHeight="1">
      <x:c r="A1464" s="1" t="n">
        <x:v>1448</x:v>
      </x:c>
      <x:c r="B1464" s="16" t="n">
        <x:v>1.9687726961271488</x:v>
      </x:c>
      <x:c r="C1464" s="16" t="n">
        <x:f>$B$12+$D$12*B1464</x:f>
        <x:v>0.026522501659602533</x:v>
      </x:c>
      <x:c r="D1464" s="12" t="n">
        <x:f>D1463*EXP(C1464)</x:f>
        <x:v>256.16026990205245</x:v>
      </x:c>
      <x:c r="E1464" s="16" t="n">
        <x:f>ABS(C1464)</x:f>
        <x:v>0.026522501659602533</x:v>
      </x:c>
      <x:c r="F1464" s="16" t="n">
        <x:f>C1464^2</x:f>
        <x:v>0.0007034430942836191</x:v>
      </x:c>
      <x:c r="G1464" s="1"/>
      <x:c r="H1464" s="1"/>
      <x:c r="I1464" s="1"/>
      <x:c r="J1464" s="1"/>
      <x:c r="K1464" s="1"/>
      <x:c r="L1464" s="1"/>
      <x:c r="M1464" s="1"/>
      <x:c r="N1464" s="1"/>
    </x:row>
    <x:row r="1465" ht="22" customHeight="1">
      <x:c r="A1465" s="1" t="n">
        <x:v>1449</x:v>
      </x:c>
      <x:c r="B1465" s="16" t="n">
        <x:v>0.5180346215151044</x:v>
      </x:c>
      <x:c r="C1465" s="16" t="n">
        <x:f>$B$12+$D$12*B1465</x:f>
        <x:v>0.007341821116181516</x:v>
      </x:c>
      <x:c r="D1465" s="12" t="n">
        <x:f>D1464*EXP(C1465)</x:f>
        <x:v>258.0478735259723</x:v>
      </x:c>
      <x:c r="E1465" s="16" t="n">
        <x:f>ABS(C1465)</x:f>
        <x:v>0.007341821116181516</x:v>
      </x:c>
      <x:c r="F1465" s="16" t="n">
        <x:f>C1465^2</x:f>
        <x:v>0.0000539023373020088</x:v>
      </x:c>
      <x:c r="G1465" s="1"/>
      <x:c r="H1465" s="1"/>
      <x:c r="I1465" s="1"/>
      <x:c r="J1465" s="1"/>
      <x:c r="K1465" s="1"/>
      <x:c r="L1465" s="1"/>
      <x:c r="M1465" s="1"/>
      <x:c r="N1465" s="1"/>
    </x:row>
    <x:row r="1466" ht="22" customHeight="1">
      <x:c r="A1466" s="1" t="n">
        <x:v>1450</x:v>
      </x:c>
      <x:c r="B1466" s="16" t="n">
        <x:v>-0.2501100701305011</x:v>
      </x:c>
      <x:c r="C1466" s="16" t="n">
        <x:f>$B$12+$D$12*B1466</x:f>
        <x:v>-0.0028140700122146543</x:v>
      </x:c>
      <x:c r="D1466" s="12" t="n">
        <x:f>D1465*EXP(C1466)</x:f>
        <x:v>257.32272952489507</x:v>
      </x:c>
      <x:c r="E1466" s="16" t="n">
        <x:f>ABS(C1466)</x:f>
        <x:v>0.0028140700122146543</x:v>
      </x:c>
      <x:c r="F1466" s="16" t="n">
        <x:f>C1466^2</x:f>
        <x:v>0.000007918990033645784</x:v>
      </x:c>
      <x:c r="G1466" s="1"/>
      <x:c r="H1466" s="1"/>
      <x:c r="I1466" s="1"/>
      <x:c r="J1466" s="1"/>
      <x:c r="K1466" s="1"/>
      <x:c r="L1466" s="1"/>
      <x:c r="M1466" s="1"/>
      <x:c r="N1466" s="1"/>
    </x:row>
    <x:row r="1467" ht="22" customHeight="1">
      <x:c r="A1467" s="1" t="n">
        <x:v>1451</x:v>
      </x:c>
      <x:c r="B1467" s="16" t="n">
        <x:v>2.328630299579817</x:v>
      </x:c>
      <x:c r="C1467" s="16" t="n">
        <x:f>$B$12+$D$12*B1467</x:f>
        <x:v>0.03128029622895822</x:v>
      </x:c>
      <x:c r="D1467" s="12" t="n">
        <x:f>D1466*EXP(C1467)</x:f>
        <x:v>265.49907328585317</x:v>
      </x:c>
      <x:c r="E1467" s="16" t="n">
        <x:f>ABS(C1467)</x:f>
        <x:v>0.03128029622895822</x:v>
      </x:c>
      <x:c r="F1467" s="16" t="n">
        <x:f>C1467^2</x:f>
        <x:v>0.0009784569321713778</x:v>
      </x:c>
      <x:c r="G1467" s="1"/>
      <x:c r="H1467" s="1"/>
      <x:c r="I1467" s="1"/>
      <x:c r="J1467" s="1"/>
      <x:c r="K1467" s="1"/>
      <x:c r="L1467" s="1"/>
      <x:c r="M1467" s="1"/>
      <x:c r="N1467" s="1"/>
    </x:row>
    <x:row r="1468" ht="22" customHeight="1">
      <x:c r="A1468" s="1" t="n">
        <x:v>1452</x:v>
      </x:c>
      <x:c r="B1468" s="16" t="n">
        <x:v>-0.5072727891524773</x:v>
      </x:c>
      <x:c r="C1468" s="16" t="n">
        <x:f>$B$12+$D$12*B1468</x:f>
        <x:v>-0.00621410207007398</x:v>
      </x:c>
      <x:c r="D1468" s="12" t="n">
        <x:f>D1467*EXP(C1468)</x:f>
        <x:v>263.85435047524226</x:v>
      </x:c>
      <x:c r="E1468" s="16" t="n">
        <x:f>ABS(C1468)</x:f>
        <x:v>0.00621410207007398</x:v>
      </x:c>
      <x:c r="F1468" s="16" t="n">
        <x:f>C1468^2</x:f>
        <x:v>0.000038615064537297715</x:v>
      </x:c>
      <x:c r="G1468" s="1"/>
      <x:c r="H1468" s="1"/>
      <x:c r="I1468" s="1"/>
      <x:c r="J1468" s="1"/>
      <x:c r="K1468" s="1"/>
      <x:c r="L1468" s="1"/>
      <x:c r="M1468" s="1"/>
      <x:c r="N1468" s="1"/>
    </x:row>
    <x:row r="1469" ht="22" customHeight="1">
      <x:c r="A1469" s="1" t="n">
        <x:v>1453</x:v>
      </x:c>
      <x:c r="B1469" s="16" t="n">
        <x:v>-1.5973517554533938</x:v>
      </x:c>
      <x:c r="C1469" s="16" t="n">
        <x:f>$B$12+$D$12*B1469</x:f>
        <x:v>-0.020626391087381128</x:v>
      </x:c>
      <x:c r="D1469" s="12" t="n">
        <x:f>D1468*EXP(C1469)</x:f>
        <x:v>258.4677316810099</x:v>
      </x:c>
      <x:c r="E1469" s="16" t="n">
        <x:f>ABS(C1469)</x:f>
        <x:v>0.020626391087381128</x:v>
      </x:c>
      <x:c r="F1469" s="16" t="n">
        <x:f>C1469^2</x:f>
        <x:v>0.0004254480092895956</x:v>
      </x:c>
      <x:c r="G1469" s="1"/>
      <x:c r="H1469" s="1"/>
      <x:c r="I1469" s="1"/>
      <x:c r="J1469" s="1"/>
      <x:c r="K1469" s="1"/>
      <x:c r="L1469" s="1"/>
      <x:c r="M1469" s="1"/>
      <x:c r="N1469" s="1"/>
    </x:row>
    <x:row r="1470" ht="22" customHeight="1">
      <x:c r="A1470" s="1" t="n">
        <x:v>1454</x:v>
      </x:c>
      <x:c r="B1470" s="16" t="n">
        <x:v>0.420713355777504</x:v>
      </x:c>
      <x:c r="C1470" s="16" t="n">
        <x:f>$B$12+$D$12*B1470</x:f>
        <x:v>0.006055104967442202</x:v>
      </x:c>
      <x:c r="D1470" s="12" t="n">
        <x:f>D1469*EXP(C1470)</x:f>
        <x:v>260.0375287738333</x:v>
      </x:c>
      <x:c r="E1470" s="16" t="n">
        <x:f>ABS(C1470)</x:f>
        <x:v>0.006055104967442202</x:v>
      </x:c>
      <x:c r="F1470" s="16" t="n">
        <x:f>C1470^2</x:f>
        <x:v>0.000036664296166743236</x:v>
      </x:c>
      <x:c r="G1470" s="1"/>
      <x:c r="H1470" s="1"/>
      <x:c r="I1470" s="1"/>
      <x:c r="J1470" s="1"/>
      <x:c r="K1470" s="1"/>
      <x:c r="L1470" s="1"/>
      <x:c r="M1470" s="1"/>
      <x:c r="N1470" s="1"/>
    </x:row>
    <x:row r="1471" ht="22" customHeight="1">
      <x:c r="A1471" s="1" t="n">
        <x:v>1455</x:v>
      </x:c>
      <x:c r="B1471" s="16" t="n">
        <x:v>0.680991485666575</x:v>
      </x:c>
      <x:c r="C1471" s="16" t="n">
        <x:f>$B$12+$D$12*B1471</x:f>
        <x:v>0.00949632688696503</x:v>
      </x:c>
      <x:c r="D1471" s="12" t="n">
        <x:f>D1470*EXP(C1471)</x:f>
        <x:v>262.5186924747667</x:v>
      </x:c>
      <x:c r="E1471" s="16" t="n">
        <x:f>ABS(C1471)</x:f>
        <x:v>0.00949632688696503</x:v>
      </x:c>
      <x:c r="F1471" s="16" t="n">
        <x:f>C1471^2</x:f>
        <x:v>0.00009018022434409494</x:v>
      </x:c>
      <x:c r="G1471" s="1"/>
      <x:c r="H1471" s="1"/>
      <x:c r="I1471" s="1"/>
      <x:c r="J1471" s="1"/>
      <x:c r="K1471" s="1"/>
      <x:c r="L1471" s="1"/>
      <x:c r="M1471" s="1"/>
      <x:c r="N1471" s="1"/>
    </x:row>
    <x:row r="1472" ht="22" customHeight="1">
      <x:c r="A1472" s="1" t="n">
        <x:v>1456</x:v>
      </x:c>
      <x:c r="B1472" s="16" t="n">
        <x:v>-1.3819943021995929</x:v>
      </x:c>
      <x:c r="C1472" s="16" t="n">
        <x:f>$B$12+$D$12*B1472</x:f>
        <x:v>-0.017779080062880367</x:v>
      </x:c>
      <x:c r="D1472" s="12" t="n">
        <x:f>D1471*EXP(C1472)</x:f>
        <x:v>257.89259733791516</x:v>
      </x:c>
      <x:c r="E1472" s="16" t="n">
        <x:f>ABS(C1472)</x:f>
        <x:v>0.017779080062880367</x:v>
      </x:c>
      <x:c r="F1472" s="16" t="n">
        <x:f>C1472^2</x:f>
        <x:v>0.00031609568788231016</x:v>
      </x:c>
      <x:c r="G1472" s="1"/>
      <x:c r="H1472" s="1"/>
      <x:c r="I1472" s="1"/>
      <x:c r="J1472" s="1"/>
      <x:c r="K1472" s="1"/>
      <x:c r="L1472" s="1"/>
      <x:c r="M1472" s="1"/>
      <x:c r="N1472" s="1"/>
    </x:row>
    <x:row r="1473" ht="22" customHeight="1">
      <x:c r="A1473" s="1" t="n">
        <x:v>1457</x:v>
      </x:c>
      <x:c r="B1473" s="16" t="n">
        <x:v>-1.001190707022207</x:v>
      </x:c>
      <x:c r="C1473" s="16" t="n">
        <x:f>$B$12+$D$12*B1473</x:f>
        <x:v>-0.012744351715492843</x:v>
      </x:c>
      <x:c r="D1473" s="12" t="n">
        <x:f>D1472*EXP(C1473)</x:f>
        <x:v>254.6267779504133</x:v>
      </x:c>
      <x:c r="E1473" s="16" t="n">
        <x:f>ABS(C1473)</x:f>
        <x:v>0.012744351715492843</x:v>
      </x:c>
      <x:c r="F1473" s="16" t="n">
        <x:f>C1473^2</x:f>
        <x:v>0.00016241850064818537</x:v>
      </x:c>
      <x:c r="G1473" s="1"/>
      <x:c r="H1473" s="1"/>
      <x:c r="I1473" s="1"/>
      <x:c r="J1473" s="1"/>
      <x:c r="K1473" s="1"/>
      <x:c r="L1473" s="1"/>
      <x:c r="M1473" s="1"/>
      <x:c r="N1473" s="1"/>
    </x:row>
    <x:row r="1474" ht="22" customHeight="1">
      <x:c r="A1474" s="1" t="n">
        <x:v>1458</x:v>
      </x:c>
      <x:c r="B1474" s="16" t="n">
        <x:v>0.21850550252593212</x:v>
      </x:c>
      <x:c r="C1474" s="16" t="n">
        <x:f>$B$12+$D$12*B1474</x:f>
        <x:v>0.0033816490869749164</x:v>
      </x:c>
      <x:c r="D1474" s="12" t="n">
        <x:f>D1473*EXP(C1474)</x:f>
        <x:v>255.48929390278488</x:v>
      </x:c>
      <x:c r="E1474" s="16" t="n">
        <x:f>ABS(C1474)</x:f>
        <x:v>0.0033816490869749164</x:v>
      </x:c>
      <x:c r="F1474" s="16" t="n">
        <x:f>C1474^2</x:f>
        <x:v>0.000011435550547438286</x:v>
      </x:c>
      <x:c r="G1474" s="1"/>
      <x:c r="H1474" s="1"/>
      <x:c r="I1474" s="1"/>
      <x:c r="J1474" s="1"/>
      <x:c r="K1474" s="1"/>
      <x:c r="L1474" s="1"/>
      <x:c r="M1474" s="1"/>
      <x:c r="N1474" s="1"/>
    </x:row>
    <x:row r="1475" ht="22" customHeight="1">
      <x:c r="A1475" s="1" t="n">
        <x:v>1459</x:v>
      </x:c>
      <x:c r="B1475" s="16" t="n">
        <x:v>1.9744250728636488</x:v>
      </x:c>
      <x:c r="C1475" s="16" t="n">
        <x:f>$B$12+$D$12*B1475</x:f>
        <x:v>0.02659723357323406</x:v>
      </x:c>
      <x:c r="D1475" s="12" t="n">
        <x:f>D1474*EXP(C1475)</x:f>
        <x:v>262.3757770680389</x:v>
      </x:c>
      <x:c r="E1475" s="16" t="n">
        <x:f>ABS(C1475)</x:f>
        <x:v>0.02659723357323406</x:v>
      </x:c>
      <x:c r="F1475" s="16" t="n">
        <x:f>C1475^2</x:f>
        <x:v>0.000707412833749169</x:v>
      </x:c>
      <x:c r="G1475" s="1"/>
      <x:c r="H1475" s="1"/>
      <x:c r="I1475" s="1"/>
      <x:c r="J1475" s="1"/>
      <x:c r="K1475" s="1"/>
      <x:c r="L1475" s="1"/>
      <x:c r="M1475" s="1"/>
      <x:c r="N1475" s="1"/>
    </x:row>
    <x:row r="1476" ht="22" customHeight="1">
      <x:c r="A1476" s="1" t="n">
        <x:v>1460</x:v>
      </x:c>
      <x:c r="B1476" s="16" t="n">
        <x:v>-0.8515252369035478</x:v>
      </x:c>
      <x:c r="C1476" s="16" t="n">
        <x:f>$B$12+$D$12*B1476</x:f>
        <x:v>-0.010765575793798911</x:v>
      </x:c>
      <x:c r="D1476" s="12" t="n">
        <x:f>D1475*EXP(C1476)</x:f>
        <x:v>259.5663007031795</x:v>
      </x:c>
      <x:c r="E1476" s="16" t="n">
        <x:f>ABS(C1476)</x:f>
        <x:v>0.010765575793798911</x:v>
      </x:c>
      <x:c r="F1476" s="16" t="n">
        <x:f>C1476^2</x:f>
        <x:v>0.00011589762217202906</x:v>
      </x:c>
      <x:c r="G1476" s="1"/>
      <x:c r="H1476" s="1"/>
      <x:c r="I1476" s="1"/>
      <x:c r="J1476" s="1"/>
      <x:c r="K1476" s="1"/>
      <x:c r="L1476" s="1"/>
      <x:c r="M1476" s="1"/>
      <x:c r="N1476" s="1"/>
    </x:row>
    <x:row r="1477" ht="22" customHeight="1">
      <x:c r="A1477" s="1" t="n">
        <x:v>1461</x:v>
      </x:c>
      <x:c r="B1477" s="16" t="n">
        <x:v>-1.2431670750705441</x:v>
      </x:c>
      <x:c r="C1477" s="16" t="n">
        <x:f>$B$12+$D$12*B1477</x:f>
        <x:v>-0.015943600081421053</x:v>
      </x:c>
      <x:c r="D1477" s="12" t="n">
        <x:f>D1476*EXP(C1477)</x:f>
        <x:v>255.46069544381112</x:v>
      </x:c>
      <x:c r="E1477" s="16" t="n">
        <x:f>ABS(C1477)</x:f>
        <x:v>0.015943600081421053</x:v>
      </x:c>
      <x:c r="F1477" s="16" t="n">
        <x:f>C1477^2</x:f>
        <x:v>0.0002541983835562894</x:v>
      </x:c>
      <x:c r="G1477" s="1"/>
      <x:c r="H1477" s="1"/>
      <x:c r="I1477" s="1"/>
      <x:c r="J1477" s="1"/>
      <x:c r="K1477" s="1"/>
      <x:c r="L1477" s="1"/>
      <x:c r="M1477" s="1"/>
      <x:c r="N1477" s="1"/>
    </x:row>
    <x:row r="1478" ht="22" customHeight="1">
      <x:c r="A1478" s="1" t="n">
        <x:v>1462</x:v>
      </x:c>
      <x:c r="B1478" s="16" t="n">
        <x:v>0.2838753241475162</x:v>
      </x:c>
      <x:c r="C1478" s="16" t="n">
        <x:f>$B$12+$D$12*B1478</x:f>
        <x:v>0.004245924787493303</x:v>
      </x:c>
      <x:c r="D1478" s="12" t="n">
        <x:f>D1477*EXP(C1478)</x:f>
        <x:v>256.54766831236526</x:v>
      </x:c>
      <x:c r="E1478" s="16" t="n">
        <x:f>ABS(C1478)</x:f>
        <x:v>0.004245924787493303</x:v>
      </x:c>
      <x:c r="F1478" s="16" t="n">
        <x:f>C1478^2</x:f>
        <x:v>0.000018027877301050052</x:v>
      </x:c>
      <x:c r="G1478" s="1"/>
      <x:c r="H1478" s="1"/>
      <x:c r="I1478" s="1"/>
      <x:c r="J1478" s="1"/>
      <x:c r="K1478" s="1"/>
      <x:c r="L1478" s="1"/>
      <x:c r="M1478" s="1"/>
      <x:c r="N1478" s="1"/>
    </x:row>
    <x:row r="1479" ht="22" customHeight="1">
      <x:c r="A1479" s="1" t="n">
        <x:v>1463</x:v>
      </x:c>
      <x:c r="B1479" s="16" t="n">
        <x:v>-0.07775754732014545</x:v>
      </x:c>
      <x:c r="C1479" s="16" t="n">
        <x:f>$B$12+$D$12*B1479</x:f>
        <x:v>-0.0005353411784366052</x:v>
      </x:c>
      <x:c r="D1479" s="12" t="n">
        <x:f>D1478*EXP(C1479)</x:f>
        <x:v>256.41036453674747</x:v>
      </x:c>
      <x:c r="E1479" s="16" t="n">
        <x:f>ABS(C1479)</x:f>
        <x:v>0.0005353411784366052</x:v>
      </x:c>
      <x:c r="F1479" s="16" t="n">
        <x:f>C1479^2</x:f>
        <x:v>2.865901773298931e-7</x:v>
      </x:c>
      <x:c r="G1479" s="1"/>
      <x:c r="H1479" s="1"/>
      <x:c r="I1479" s="1"/>
      <x:c r="J1479" s="1"/>
      <x:c r="K1479" s="1"/>
      <x:c r="L1479" s="1"/>
      <x:c r="M1479" s="1"/>
      <x:c r="N1479" s="1"/>
    </x:row>
    <x:row r="1480" ht="22" customHeight="1">
      <x:c r="A1480" s="1" t="n">
        <x:v>1464</x:v>
      </x:c>
      <x:c r="B1480" s="16" t="n">
        <x:v>-1.7016143842652145</x:v>
      </x:c>
      <x:c r="C1480" s="16" t="n">
        <x:f>$B$12+$D$12*B1480</x:f>
        <x:v>-0.022004881257904577</x:v>
      </x:c>
      <x:c r="D1480" s="12" t="n">
        <x:f>D1479*EXP(C1480)</x:f>
        <x:v>250.82971090649698</x:v>
      </x:c>
      <x:c r="E1480" s="16" t="n">
        <x:f>ABS(C1480)</x:f>
        <x:v>0.022004881257904577</x:v>
      </x:c>
      <x:c r="F1480" s="16" t="n">
        <x:f>C1480^2</x:f>
        <x:v>0.00048421479917448013</x:v>
      </x:c>
      <x:c r="G1480" s="1"/>
      <x:c r="H1480" s="1"/>
      <x:c r="I1480" s="1"/>
      <x:c r="J1480" s="1"/>
      <x:c r="K1480" s="1"/>
      <x:c r="L1480" s="1"/>
      <x:c r="M1480" s="1"/>
      <x:c r="N1480" s="1"/>
    </x:row>
    <x:row r="1481" ht="22" customHeight="1">
      <x:c r="A1481" s="1" t="n">
        <x:v>1465</x:v>
      </x:c>
      <x:c r="B1481" s="16" t="n">
        <x:v>0.6526506624697136</x:v>
      </x:c>
      <x:c r="C1481" s="16" t="n">
        <x:f>$B$12+$D$12*B1481</x:f>
        <x:v>0.009121623633779961</x:v>
      </x:c>
      <x:c r="D1481" s="12" t="n">
        <x:f>D1480*EXP(C1481)</x:f>
        <x:v>253.12815194600395</x:v>
      </x:c>
      <x:c r="E1481" s="16" t="n">
        <x:f>ABS(C1481)</x:f>
        <x:v>0.009121623633779961</x:v>
      </x:c>
      <x:c r="F1481" s="16" t="n">
        <x:f>C1481^2</x:f>
        <x:v>0.00008320401771633315</x:v>
      </x:c>
      <x:c r="G1481" s="1"/>
      <x:c r="H1481" s="1"/>
      <x:c r="I1481" s="1"/>
      <x:c r="J1481" s="1"/>
      <x:c r="K1481" s="1"/>
      <x:c r="L1481" s="1"/>
      <x:c r="M1481" s="1"/>
      <x:c r="N1481" s="1"/>
    </x:row>
    <x:row r="1482" ht="22" customHeight="1">
      <x:c r="A1482" s="1" t="n">
        <x:v>1466</x:v>
      </x:c>
      <x:c r="B1482" s="16" t="n">
        <x:v>-1.7092283502577523</x:v>
      </x:c>
      <x:c r="C1482" s="16" t="n">
        <x:f>$B$12+$D$12*B1482</x:f>
        <x:v>-0.022105547981917037</x:v>
      </x:c>
      <x:c r="D1482" s="12" t="n">
        <x:f>D1481*EXP(C1482)</x:f>
        <x:v>247.59400843061897</x:v>
      </x:c>
      <x:c r="E1482" s="16" t="n">
        <x:f>ABS(C1482)</x:f>
        <x:v>0.022105547981917037</x:v>
      </x:c>
      <x:c r="F1482" s="16" t="n">
        <x:f>C1482^2</x:f>
        <x:v>0.0004886552515808364</x:v>
      </x:c>
      <x:c r="G1482" s="1"/>
      <x:c r="H1482" s="1"/>
      <x:c r="I1482" s="1"/>
      <x:c r="J1482" s="1"/>
      <x:c r="K1482" s="1"/>
      <x:c r="L1482" s="1"/>
      <x:c r="M1482" s="1"/>
      <x:c r="N1482" s="1"/>
    </x:row>
    <x:row r="1483" ht="22" customHeight="1">
      <x:c r="A1483" s="1" t="n">
        <x:v>1467</x:v>
      </x:c>
      <x:c r="B1483" s="16" t="n">
        <x:v>-0.21621244231306588</x:v>
      </x:c>
      <x:c r="C1483" s="16" t="n">
        <x:f>$B$12+$D$12*B1483</x:f>
        <x:v>-0.0023658984354675023</x:v>
      </x:c>
      <x:c r="D1483" s="12" t="n">
        <x:f>D1482*EXP(C1483)</x:f>
        <x:v>247.00891855796783</x:v>
      </x:c>
      <x:c r="E1483" s="16" t="n">
        <x:f>ABS(C1483)</x:f>
        <x:v>0.0023658984354675023</x:v>
      </x:c>
      <x:c r="F1483" s="16" t="n">
        <x:f>C1483^2</x:f>
        <x:v>0.000005597475406947575</x:v>
      </x:c>
      <x:c r="G1483" s="1"/>
      <x:c r="H1483" s="1"/>
      <x:c r="I1483" s="1"/>
      <x:c r="J1483" s="1"/>
      <x:c r="K1483" s="1"/>
      <x:c r="L1483" s="1"/>
      <x:c r="M1483" s="1"/>
      <x:c r="N1483" s="1"/>
    </x:row>
    <x:row r="1484" ht="22" customHeight="1">
      <x:c r="A1484" s="1" t="n">
        <x:v>1468</x:v>
      </x:c>
      <x:c r="B1484" s="16" t="n">
        <x:v>0.04713574985398397</x:v>
      </x:c>
      <x:c r="C1484" s="16" t="n">
        <x:f>$B$12+$D$12*B1484</x:f>
        <x:v>0.0011159137772535437</x:v>
      </x:c>
      <x:c r="D1484" s="12" t="n">
        <x:f>D1483*EXP(C1484)</x:f>
        <x:v>247.2847130661171</x:v>
      </x:c>
      <x:c r="E1484" s="16" t="n">
        <x:f>ABS(C1484)</x:f>
        <x:v>0.0011159137772535437</x:v>
      </x:c>
      <x:c r="F1484" s="16" t="n">
        <x:f>C1484^2</x:f>
        <x:v>0.0000012452635582642716</x:v>
      </x:c>
      <x:c r="G1484" s="1"/>
      <x:c r="H1484" s="1"/>
      <x:c r="I1484" s="1"/>
      <x:c r="J1484" s="1"/>
      <x:c r="K1484" s="1"/>
      <x:c r="L1484" s="1"/>
      <x:c r="M1484" s="1"/>
      <x:c r="N1484" s="1"/>
    </x:row>
    <x:row r="1485" ht="22" customHeight="1">
      <x:c r="A1485" s="1" t="n">
        <x:v>1469</x:v>
      </x:c>
      <x:c r="B1485" s="16" t="n">
        <x:v>-0.390788365907933</x:v>
      </x:c>
      <x:c r="C1485" s="16" t="n">
        <x:f>$B$12+$D$12*B1485</x:f>
        <x:v>-0.004674023575108076</x:v>
      </x:c>
      <x:c r="D1485" s="12" t="n">
        <x:f>D1484*EXP(C1485)</x:f>
        <x:v>246.1315954362732</x:v>
      </x:c>
      <x:c r="E1485" s="16" t="n">
        <x:f>ABS(C1485)</x:f>
        <x:v>0.004674023575108076</x:v>
      </x:c>
      <x:c r="F1485" s="16" t="n">
        <x:f>C1485^2</x:f>
        <x:v>0.00002184649638066608</x:v>
      </x:c>
      <x:c r="G1485" s="1"/>
      <x:c r="H1485" s="1"/>
      <x:c r="I1485" s="1"/>
      <x:c r="J1485" s="1"/>
      <x:c r="K1485" s="1"/>
      <x:c r="L1485" s="1"/>
      <x:c r="M1485" s="1"/>
      <x:c r="N1485" s="1"/>
    </x:row>
    <x:row r="1486" ht="22" customHeight="1">
      <x:c r="A1486" s="1" t="n">
        <x:v>1470</x:v>
      </x:c>
      <x:c r="B1486" s="16" t="n">
        <x:v>-1.5032546497579635</x:v>
      </x:c>
      <x:c r="C1486" s="16" t="n">
        <x:f>$B$12+$D$12*B1486</x:f>
        <x:v>-0.019382302608565116</x:v>
      </x:c>
      <x:c r="D1486" s="12" t="n">
        <x:f>D1485*EXP(C1486)</x:f>
        <x:v>241.40693369379215</x:v>
      </x:c>
      <x:c r="E1486" s="16" t="n">
        <x:f>ABS(C1486)</x:f>
        <x:v>0.019382302608565116</x:v>
      </x:c>
      <x:c r="F1486" s="16" t="n">
        <x:f>C1486^2</x:f>
        <x:v>0.0003756736544099901</x:v>
      </x:c>
      <x:c r="G1486" s="1"/>
      <x:c r="H1486" s="1"/>
      <x:c r="I1486" s="1"/>
      <x:c r="J1486" s="1"/>
      <x:c r="K1486" s="1"/>
      <x:c r="L1486" s="1"/>
      <x:c r="M1486" s="1"/>
      <x:c r="N1486" s="1"/>
    </x:row>
    <x:row r="1487" ht="22" customHeight="1">
      <x:c r="A1487" s="1" t="n">
        <x:v>1471</x:v>
      </x:c>
      <x:c r="B1487" s="16" t="n">
        <x:v>-0.059162474944081514</x:v>
      </x:c>
      <x:c r="C1487" s="16" t="n">
        <x:f>$B$12+$D$12*B1487</x:f>
        <x:v>-0.0002894896707325322</x:v>
      </x:c>
      <x:c r="D1487" s="12" t="n">
        <x:f>D1486*EXP(C1487)</x:f>
        <x:v>241.3370589945344</x:v>
      </x:c>
      <x:c r="E1487" s="16" t="n">
        <x:f>ABS(C1487)</x:f>
        <x:v>0.0002894896707325322</x:v>
      </x:c>
      <x:c r="F1487" s="16" t="n">
        <x:f>C1487^2</x:f>
        <x:v>8.380426946082991e-8</x:v>
      </x:c>
      <x:c r="G1487" s="1"/>
      <x:c r="H1487" s="1"/>
      <x:c r="I1487" s="1"/>
      <x:c r="J1487" s="1"/>
      <x:c r="K1487" s="1"/>
      <x:c r="L1487" s="1"/>
      <x:c r="M1487" s="1"/>
      <x:c r="N1487" s="1"/>
    </x:row>
    <x:row r="1488" ht="22" customHeight="1">
      <x:c r="A1488" s="1" t="n">
        <x:v>1472</x:v>
      </x:c>
      <x:c r="B1488" s="16" t="n">
        <x:v>0.5374513328637586</x:v>
      </x:c>
      <x:c r="C1488" s="16" t="n">
        <x:f>$B$12+$D$12*B1488</x:f>
        <x:v>0.00759853578032373</x:v>
      </x:c>
      <x:c r="D1488" s="12" t="n">
        <x:f>D1487*EXP(C1488)</x:f>
        <x:v>243.17785208156198</x:v>
      </x:c>
      <x:c r="E1488" s="16" t="n">
        <x:f>ABS(C1488)</x:f>
        <x:v>0.00759853578032373</x:v>
      </x:c>
      <x:c r="F1488" s="16" t="n">
        <x:f>C1488^2</x:f>
        <x:v>0.00005773774600485996</x:v>
      </x:c>
      <x:c r="G1488" s="1"/>
      <x:c r="H1488" s="1"/>
      <x:c r="I1488" s="1"/>
      <x:c r="J1488" s="1"/>
      <x:c r="K1488" s="1"/>
      <x:c r="L1488" s="1"/>
      <x:c r="M1488" s="1"/>
      <x:c r="N1488" s="1"/>
    </x:row>
    <x:row r="1489" ht="22" customHeight="1">
      <x:c r="A1489" s="1" t="n">
        <x:v>1473</x:v>
      </x:c>
      <x:c r="B1489" s="16" t="n">
        <x:v>-0.13323285170441052</x:v>
      </x:c>
      <x:c r="C1489" s="16" t="n">
        <x:f>$B$12+$D$12*B1489</x:f>
        <x:v>-0.0012687982442327037</x:v>
      </x:c>
      <x:c r="D1489" s="12" t="n">
        <x:f>D1488*EXP(C1489)</x:f>
        <x:v>242.86950410685523</x:v>
      </x:c>
      <x:c r="E1489" s="16" t="n">
        <x:f>ABS(C1489)</x:f>
        <x:v>0.0012687982442327037</x:v>
      </x:c>
      <x:c r="F1489" s="16" t="n">
        <x:f>C1489^2</x:f>
        <x:v>0.0000016098489845679918</x:v>
      </x:c>
      <x:c r="G1489" s="1"/>
      <x:c r="H1489" s="1"/>
      <x:c r="I1489" s="1"/>
      <x:c r="J1489" s="1"/>
      <x:c r="K1489" s="1"/>
      <x:c r="L1489" s="1"/>
      <x:c r="M1489" s="1"/>
      <x:c r="N1489" s="1"/>
    </x:row>
    <x:row r="1490" ht="22" customHeight="1">
      <x:c r="A1490" s="1" t="n">
        <x:v>1474</x:v>
      </x:c>
      <x:c r="B1490" s="16" t="n">
        <x:v>-0.7824766582637189</x:v>
      </x:c>
      <x:c r="C1490" s="16" t="n">
        <x:f>$B$12+$D$12*B1490</x:f>
        <x:v>-0.00985266204868885</x:v>
      </x:c>
      <x:c r="D1490" s="12" t="n">
        <x:f>D1489*EXP(C1490)</x:f>
        <x:v>240.48834261326076</x:v>
      </x:c>
      <x:c r="E1490" s="16" t="n">
        <x:f>ABS(C1490)</x:f>
        <x:v>0.00985266204868885</x:v>
      </x:c>
      <x:c r="F1490" s="16" t="n">
        <x:f>C1490^2</x:f>
        <x:v>0.00009707494944567356</x:v>
      </x:c>
      <x:c r="G1490" s="1"/>
      <x:c r="H1490" s="1"/>
      <x:c r="I1490" s="1"/>
      <x:c r="J1490" s="1"/>
      <x:c r="K1490" s="1"/>
      <x:c r="L1490" s="1"/>
      <x:c r="M1490" s="1"/>
      <x:c r="N1490" s="1"/>
    </x:row>
    <x:row r="1491" ht="22" customHeight="1">
      <x:c r="A1491" s="1" t="n">
        <x:v>1475</x:v>
      </x:c>
      <x:c r="B1491" s="16" t="n">
        <x:v>-1.3971098752695443</x:v>
      </x:c>
      <x:c r="C1491" s="16" t="n">
        <x:f>$B$12+$D$12*B1491</x:f>
        <x:v>-0.01797892797709673</x:v>
      </x:c>
      <x:c r="D1491" s="12" t="n">
        <x:f>D1490*EXP(C1491)</x:f>
        <x:v>236.20325607915854</x:v>
      </x:c>
      <x:c r="E1491" s="16" t="n">
        <x:f>ABS(C1491)</x:f>
        <x:v>0.01797892797709673</x:v>
      </x:c>
      <x:c r="F1491" s="16" t="n">
        <x:f>C1491^2</x:f>
        <x:v>0.00032324185120563147</x:v>
      </x:c>
      <x:c r="G1491" s="1"/>
      <x:c r="H1491" s="1"/>
      <x:c r="I1491" s="1"/>
      <x:c r="J1491" s="1"/>
      <x:c r="K1491" s="1"/>
      <x:c r="L1491" s="1"/>
      <x:c r="M1491" s="1"/>
      <x:c r="N1491" s="1"/>
    </x:row>
    <x:row r="1492" ht="22" customHeight="1">
      <x:c r="A1492" s="1" t="n">
        <x:v>1476</x:v>
      </x:c>
      <x:c r="B1492" s="16" t="n">
        <x:v>0.17640140961690423</x:v>
      </x:c>
      <x:c r="C1492" s="16" t="n">
        <x:f>$B$12+$D$12*B1492</x:f>
        <x:v>0.0028249771626687</x:v>
      </x:c>
      <x:c r="D1492" s="12" t="n">
        <x:f>D1491*EXP(C1492)</x:f>
        <x:v>236.87146828104656</x:v>
      </x:c>
      <x:c r="E1492" s="16" t="n">
        <x:f>ABS(C1492)</x:f>
        <x:v>0.0028249771626687</x:v>
      </x:c>
      <x:c r="F1492" s="16" t="n">
        <x:f>C1492^2</x:f>
        <x:v>0.000007980495969599698</x:v>
      </x:c>
      <x:c r="G1492" s="1"/>
      <x:c r="H1492" s="1"/>
      <x:c r="I1492" s="1"/>
      <x:c r="J1492" s="1"/>
      <x:c r="K1492" s="1"/>
      <x:c r="L1492" s="1"/>
      <x:c r="M1492" s="1"/>
      <x:c r="N1492" s="1"/>
    </x:row>
    <x:row r="1493" ht="22" customHeight="1">
      <x:c r="A1493" s="1" t="n">
        <x:v>1477</x:v>
      </x:c>
      <x:c r="B1493" s="16" t="n">
        <x:v>0.439606040441401</x:v>
      </x:c>
      <x:c r="C1493" s="16" t="n">
        <x:f>$B$12+$D$12*B1493</x:f>
        <x:v>0.006304891304126516</x:v>
      </x:c>
      <x:c r="D1493" s="12" t="n">
        <x:f>D1492*EXP(C1493)</x:f>
        <x:v>238.3696350681006</x:v>
      </x:c>
      <x:c r="E1493" s="16" t="n">
        <x:f>ABS(C1493)</x:f>
        <x:v>0.006304891304126516</x:v>
      </x:c>
      <x:c r="F1493" s="16" t="n">
        <x:f>C1493^2</x:f>
        <x:v>0.00003975165435685016</x:v>
      </x:c>
      <x:c r="G1493" s="1"/>
      <x:c r="H1493" s="1"/>
      <x:c r="I1493" s="1"/>
      <x:c r="J1493" s="1"/>
      <x:c r="K1493" s="1"/>
      <x:c r="L1493" s="1"/>
      <x:c r="M1493" s="1"/>
      <x:c r="N1493" s="1"/>
    </x:row>
    <x:row r="1494" ht="22" customHeight="1">
      <x:c r="A1494" s="1" t="n">
        <x:v>1478</x:v>
      </x:c>
      <x:c r="B1494" s="16" t="n">
        <x:v>-0.5930947138147693</x:v>
      </x:c>
      <x:c r="C1494" s="16" t="n">
        <x:f>$B$12+$D$12*B1494</x:f>
        <x:v>-0.00734878168548917</x:v>
      </x:c>
      <x:c r="D1494" s="12" t="n">
        <x:f>D1493*EXP(C1494)</x:f>
        <x:v>236.62432944905595</x:v>
      </x:c>
      <x:c r="E1494" s="16" t="n">
        <x:f>ABS(C1494)</x:f>
        <x:v>0.00734878168548917</x:v>
      </x:c>
      <x:c r="F1494" s="16" t="n">
        <x:f>C1494^2</x:f>
        <x:v>0.00005400459226098105</x:v>
      </x:c>
      <x:c r="G1494" s="1"/>
      <x:c r="H1494" s="1"/>
      <x:c r="I1494" s="1"/>
      <x:c r="J1494" s="1"/>
      <x:c r="K1494" s="1"/>
      <x:c r="L1494" s="1"/>
      <x:c r="M1494" s="1"/>
      <x:c r="N1494" s="1"/>
    </x:row>
    <x:row r="1495" ht="22" customHeight="1">
      <x:c r="A1495" s="1" t="n">
        <x:v>1479</x:v>
      </x:c>
      <x:c r="B1495" s="16" t="n">
        <x:v>1.8817780490560418</x:v>
      </x:c>
      <x:c r="C1495" s="16" t="n">
        <x:f>$B$12+$D$12*B1495</x:f>
        <x:v>0.025372317099302235</x:v>
      </x:c>
      <x:c r="D1495" s="12" t="n">
        <x:f>D1494*EXP(C1495)</x:f>
        <x:v>242.70484921372847</x:v>
      </x:c>
      <x:c r="E1495" s="16" t="n">
        <x:f>ABS(C1495)</x:f>
        <x:v>0.025372317099302235</x:v>
      </x:c>
      <x:c r="F1495" s="16" t="n">
        <x:f>C1495^2</x:f>
        <x:v>0.0006437544749875446</x:v>
      </x:c>
      <x:c r="G1495" s="1"/>
      <x:c r="H1495" s="1"/>
      <x:c r="I1495" s="1"/>
      <x:c r="J1495" s="1"/>
      <x:c r="K1495" s="1"/>
      <x:c r="L1495" s="1"/>
      <x:c r="M1495" s="1"/>
      <x:c r="N1495" s="1"/>
    </x:row>
    <x:row r="1496" ht="22" customHeight="1">
      <x:c r="A1496" s="1" t="n">
        <x:v>1480</x:v>
      </x:c>
      <x:c r="B1496" s="16" t="n">
        <x:v>0.15310936413514165</x:v>
      </x:c>
      <x:c r="C1496" s="16" t="n">
        <x:f>$B$12+$D$12*B1496</x:f>
        <x:v>0.0025170254438803222</x:v>
      </x:c>
      <x:c r="D1496" s="12" t="n">
        <x:f>D1495*EXP(C1496)</x:f>
        <x:v>243.31651295822783</x:v>
      </x:c>
      <x:c r="E1496" s="16" t="n">
        <x:f>ABS(C1496)</x:f>
        <x:v>0.0025170254438803222</x:v>
      </x:c>
      <x:c r="F1496" s="16" t="n">
        <x:f>C1496^2</x:f>
        <x:v>0.000006335417085140933</x:v>
      </x:c>
      <x:c r="G1496" s="1"/>
      <x:c r="H1496" s="1"/>
      <x:c r="I1496" s="1"/>
      <x:c r="J1496" s="1"/>
      <x:c r="K1496" s="1"/>
      <x:c r="L1496" s="1"/>
      <x:c r="M1496" s="1"/>
      <x:c r="N1496" s="1"/>
    </x:row>
    <x:row r="1497" ht="22" customHeight="1">
      <x:c r="A1497" s="1" t="n">
        <x:v>1481</x:v>
      </x:c>
      <x:c r="B1497" s="16" t="n">
        <x:v>-0.7455848143909752</x:v>
      </x:c>
      <x:c r="C1497" s="16" t="n">
        <x:f>$B$12+$D$12*B1497</x:f>
        <x:v>-0.009364902966354094</x:v>
      </x:c>
      <x:c r="D1497" s="12" t="n">
        <x:f>D1496*EXP(C1497)</x:f>
        <x:v>241.04851379583985</x:v>
      </x:c>
      <x:c r="E1497" s="16" t="n">
        <x:f>ABS(C1497)</x:f>
        <x:v>0.009364902966354094</x:v>
      </x:c>
      <x:c r="F1497" s="16" t="n">
        <x:f>C1497^2</x:f>
        <x:v>0.0000877014075692277</x:v>
      </x:c>
      <x:c r="G1497" s="1"/>
      <x:c r="H1497" s="1"/>
      <x:c r="I1497" s="1"/>
      <x:c r="J1497" s="1"/>
      <x:c r="K1497" s="1"/>
      <x:c r="L1497" s="1"/>
      <x:c r="M1497" s="1"/>
      <x:c r="N1497" s="1"/>
    </x:row>
    <x:row r="1498" ht="22" customHeight="1">
      <x:c r="A1498" s="1" t="n">
        <x:v>1482</x:v>
      </x:c>
      <x:c r="B1498" s="16" t="n">
        <x:v>-0.5500502215704666</x:v>
      </x:c>
      <x:c r="C1498" s="16" t="n">
        <x:f>$B$12+$D$12*B1498</x:f>
        <x:v>-0.006779676435313309</x:v>
      </x:c>
      <x:c r="D1498" s="12" t="n">
        <x:f>D1497*EXP(C1498)</x:f>
        <x:v>239.41981014743828</x:v>
      </x:c>
      <x:c r="E1498" s="16" t="n">
        <x:f>ABS(C1498)</x:f>
        <x:v>0.006779676435313309</x:v>
      </x:c>
      <x:c r="F1498" s="16" t="n">
        <x:f>C1498^2</x:f>
        <x:v>0.000045964012567542577</x:v>
      </x:c>
      <x:c r="G1498" s="1"/>
      <x:c r="H1498" s="1"/>
      <x:c r="I1498" s="1"/>
      <x:c r="J1498" s="1"/>
      <x:c r="K1498" s="1"/>
      <x:c r="L1498" s="1"/>
      <x:c r="M1498" s="1"/>
      <x:c r="N1498" s="1"/>
    </x:row>
    <x:row r="1499" ht="22" customHeight="1">
      <x:c r="A1499" s="1" t="n">
        <x:v>1483</x:v>
      </x:c>
      <x:c r="B1499" s="16" t="n">
        <x:v>0.7443836557100757</x:v>
      </x:c>
      <x:c r="C1499" s="16" t="n">
        <x:f>$B$12+$D$12*B1499</x:f>
        <x:v>0.010334455411911731</x:v>
      </x:c>
      <x:c r="D1499" s="12" t="n">
        <x:f>D1498*EXP(C1499)</x:f>
        <x:v>241.90691279044495</x:v>
      </x:c>
      <x:c r="E1499" s="16" t="n">
        <x:f>ABS(C1499)</x:f>
        <x:v>0.010334455411911731</x:v>
      </x:c>
      <x:c r="F1499" s="16" t="n">
        <x:f>C1499^2</x:f>
        <x:v>0.00010680096866079168</x:v>
      </x:c>
      <x:c r="G1499" s="1"/>
      <x:c r="H1499" s="1"/>
      <x:c r="I1499" s="1"/>
      <x:c r="J1499" s="1"/>
      <x:c r="K1499" s="1"/>
      <x:c r="L1499" s="1"/>
      <x:c r="M1499" s="1"/>
      <x:c r="N1499" s="1"/>
    </x:row>
    <x:row r="1500" ht="22" customHeight="1">
      <x:c r="A1500" s="1" t="n">
        <x:v>1484</x:v>
      </x:c>
      <x:c r="B1500" s="16" t="n">
        <x:v>-0.45173457484557045</x:v>
      </x:c>
      <x:c r="C1500" s="16" t="n">
        <x:f>$B$12+$D$12*B1500</x:f>
        <x:v>-0.005479813251702885</x:v>
      </x:c>
      <x:c r="D1500" s="12" t="n">
        <x:f>D1499*EXP(C1500)</x:f>
        <x:v>240.5849334919666</x:v>
      </x:c>
      <x:c r="E1500" s="16" t="n">
        <x:f>ABS(C1500)</x:f>
        <x:v>0.005479813251702885</x:v>
      </x:c>
      <x:c r="F1500" s="16" t="n">
        <x:f>C1500^2</x:f>
        <x:v>0.000030028353273538547</x:v>
      </x:c>
      <x:c r="G1500" s="1"/>
      <x:c r="H1500" s="1"/>
      <x:c r="I1500" s="1"/>
      <x:c r="J1500" s="1"/>
      <x:c r="K1500" s="1"/>
      <x:c r="L1500" s="1"/>
      <x:c r="M1500" s="1"/>
      <x:c r="N1500" s="1"/>
    </x:row>
    <x:row r="1501" ht="22" customHeight="1">
      <x:c r="A1501" s="1" t="n">
        <x:v>1485</x:v>
      </x:c>
      <x:c r="B1501" s="16" t="n">
        <x:v>0.16831027340247406</x:v>
      </x:c>
      <x:c r="C1501" s="16" t="n">
        <x:f>$B$12+$D$12*B1501</x:f>
        <x:v>0.002718001615753526</x:v>
      </x:c>
      <x:c r="D1501" s="12" t="n">
        <x:f>D1500*EXP(C1501)</x:f>
        <x:v>241.2397332001433</x:v>
      </x:c>
      <x:c r="E1501" s="16" t="n">
        <x:f>ABS(C1501)</x:f>
        <x:v>0.002718001615753526</x:v>
      </x:c>
      <x:c r="F1501" s="16" t="n">
        <x:f>C1501^2</x:f>
        <x:v>0.000007387532783238779</x:v>
      </x:c>
      <x:c r="G1501" s="1"/>
      <x:c r="H1501" s="1"/>
      <x:c r="I1501" s="1"/>
      <x:c r="J1501" s="1"/>
      <x:c r="K1501" s="1"/>
      <x:c r="L1501" s="1"/>
      <x:c r="M1501" s="1"/>
      <x:c r="N1501" s="1"/>
    </x:row>
    <x:row r="1502" ht="22" customHeight="1">
      <x:c r="A1502" s="1" t="n">
        <x:v>1486</x:v>
      </x:c>
      <x:c r="B1502" s="16" t="n">
        <x:v>-1.7114434058651373</x:v>
      </x:c>
      <x:c r="C1502" s="16" t="n">
        <x:f>$B$12+$D$12*B1502</x:f>
        <x:v>-0.022134833953475017</x:v>
      </x:c>
      <x:c r="D1502" s="12" t="n">
        <x:f>D1501*EXP(C1502)</x:f>
        <x:v>235.9585959340701</x:v>
      </x:c>
      <x:c r="E1502" s="16" t="n">
        <x:f>ABS(C1502)</x:f>
        <x:v>0.022134833953475017</x:v>
      </x:c>
      <x:c r="F1502" s="16" t="n">
        <x:f>C1502^2</x:f>
        <x:v>0.0004899508741479105</x:v>
      </x:c>
      <x:c r="G1502" s="1"/>
      <x:c r="H1502" s="1"/>
      <x:c r="I1502" s="1"/>
      <x:c r="J1502" s="1"/>
      <x:c r="K1502" s="1"/>
      <x:c r="L1502" s="1"/>
      <x:c r="M1502" s="1"/>
      <x:c r="N1502" s="1"/>
    </x:row>
    <x:row r="1503" ht="22" customHeight="1">
      <x:c r="A1503" s="1" t="n">
        <x:v>1487</x:v>
      </x:c>
      <x:c r="B1503" s="16" t="n">
        <x:v>0.8045636002408999</x:v>
      </x:c>
      <x:c r="C1503" s="16" t="n">
        <x:f>$B$12+$D$12*B1503</x:f>
        <x:v>0.01113011405723626</x:v>
      </x:c>
      <x:c r="D1503" s="12" t="n">
        <x:f>D1502*EXP(C1503)</x:f>
        <x:v>238.59951160303416</x:v>
      </x:c>
      <x:c r="E1503" s="16" t="n">
        <x:f>ABS(C1503)</x:f>
        <x:v>0.01113011405723626</x:v>
      </x:c>
      <x:c r="F1503" s="16" t="n">
        <x:f>C1503^2</x:f>
        <x:v>0.00012387943892708822</x:v>
      </x:c>
      <x:c r="G1503" s="1"/>
      <x:c r="H1503" s="1"/>
      <x:c r="I1503" s="1"/>
      <x:c r="J1503" s="1"/>
      <x:c r="K1503" s="1"/>
      <x:c r="L1503" s="1"/>
      <x:c r="M1503" s="1"/>
      <x:c r="N1503" s="1"/>
    </x:row>
    <x:row r="1504" ht="22" customHeight="1">
      <x:c r="A1504" s="1" t="n">
        <x:v>1488</x:v>
      </x:c>
      <x:c r="B1504" s="16" t="n">
        <x:v>0.6475451735772562</x:v>
      </x:c>
      <x:c r="C1504" s="16" t="n">
        <x:f>$B$12+$D$12*B1504</x:f>
        <x:v>0.009054122302438398</x:v>
      </x:c>
      <x:c r="D1504" s="12" t="n">
        <x:f>D1503*EXP(C1504)</x:f>
        <x:v>240.7696301969826</x:v>
      </x:c>
      <x:c r="E1504" s="16" t="n">
        <x:f>ABS(C1504)</x:f>
        <x:v>0.009054122302438398</x:v>
      </x:c>
      <x:c r="F1504" s="16" t="n">
        <x:f>C1504^2</x:f>
        <x:v>0.0000819771306675124</x:v>
      </x:c>
      <x:c r="G1504" s="1"/>
      <x:c r="H1504" s="1"/>
      <x:c r="I1504" s="1"/>
      <x:c r="J1504" s="1"/>
      <x:c r="K1504" s="1"/>
      <x:c r="L1504" s="1"/>
      <x:c r="M1504" s="1"/>
      <x:c r="N1504" s="1"/>
    </x:row>
    <x:row r="1505" ht="22" customHeight="1">
      <x:c r="A1505" s="1" t="n">
        <x:v>1489</x:v>
      </x:c>
      <x:c r="B1505" s="16" t="n">
        <x:v>-1.0672817251799687</x:v>
      </x:c>
      <x:c r="C1505" s="16" t="n">
        <x:f>$B$12+$D$12*B1505</x:f>
        <x:v>-0.01361816259028667</x:v>
      </x:c>
      <x:c r="D1505" s="12" t="n">
        <x:f>D1504*EXP(C1505)</x:f>
        <x:v>237.5130151123133</x:v>
      </x:c>
      <x:c r="E1505" s="16" t="n">
        <x:f>ABS(C1505)</x:f>
        <x:v>0.01361816259028667</x:v>
      </x:c>
      <x:c r="F1505" s="16" t="n">
        <x:f>C1505^2</x:f>
        <x:v>0.00018545435233548334</x:v>
      </x:c>
      <x:c r="G1505" s="1"/>
      <x:c r="H1505" s="1"/>
      <x:c r="I1505" s="1"/>
      <x:c r="J1505" s="1"/>
      <x:c r="K1505" s="1"/>
      <x:c r="L1505" s="1"/>
      <x:c r="M1505" s="1"/>
      <x:c r="N1505" s="1"/>
    </x:row>
    <x:row r="1506" ht="22" customHeight="1">
      <x:c r="A1506" s="1" t="n">
        <x:v>1490</x:v>
      </x:c>
      <x:c r="B1506" s="16" t="n">
        <x:v>1.079759842823427</x:v>
      </x:c>
      <x:c r="C1506" s="16" t="n">
        <x:f>$B$12+$D$12*B1506</x:f>
        <x:v>0.01476857320303128</x:v>
      </x:c>
      <x:c r="D1506" s="12" t="n">
        <x:f>D1505*EXP(C1506)</x:f>
        <x:v>241.0467735185317</x:v>
      </x:c>
      <x:c r="E1506" s="16" t="n">
        <x:f>ABS(C1506)</x:f>
        <x:v>0.01476857320303128</x:v>
      </x:c>
      <x:c r="F1506" s="16" t="n">
        <x:f>C1506^2</x:f>
        <x:v>0.00021811075445329358</x:v>
      </x:c>
      <x:c r="G1506" s="1"/>
      <x:c r="H1506" s="1"/>
      <x:c r="I1506" s="1"/>
      <x:c r="J1506" s="1"/>
      <x:c r="K1506" s="1"/>
      <x:c r="L1506" s="1"/>
      <x:c r="M1506" s="1"/>
      <x:c r="N1506" s="1"/>
    </x:row>
    <x:row r="1507" ht="22" customHeight="1">
      <x:c r="A1507" s="1" t="n">
        <x:v>1491</x:v>
      </x:c>
      <x:c r="B1507" s="16" t="n">
        <x:v>-1.9874285999754937</x:v>
      </x:c>
      <x:c r="C1507" s="16" t="n">
        <x:f>$B$12+$D$12*B1507</x:f>
        <x:v>-0.025783724084355735</x:v>
      </x:c>
      <x:c r="D1507" s="12" t="n">
        <x:f>D1506*EXP(C1507)</x:f>
        <x:v>234.91112980215158</x:v>
      </x:c>
      <x:c r="E1507" s="16" t="n">
        <x:f>ABS(C1507)</x:f>
        <x:v>0.025783724084355735</x:v>
      </x:c>
      <x:c r="F1507" s="16" t="n">
        <x:f>C1507^2</x:f>
        <x:v>0.000664800427658186</x:v>
      </x:c>
      <x:c r="G1507" s="1"/>
      <x:c r="H1507" s="1"/>
      <x:c r="I1507" s="1"/>
      <x:c r="J1507" s="1"/>
      <x:c r="K1507" s="1"/>
      <x:c r="L1507" s="1"/>
      <x:c r="M1507" s="1"/>
      <x:c r="N1507" s="1"/>
    </x:row>
    <x:row r="1508" ht="22" customHeight="1">
      <x:c r="A1508" s="1" t="n">
        <x:v>1492</x:v>
      </x:c>
      <x:c r="B1508" s="16" t="n">
        <x:v>0.6779306161719258</x:v>
      </x:c>
      <x:c r="C1508" s="16" t="n">
        <x:f>$B$12+$D$12*B1508</x:f>
        <x:v>0.00945585813454901</x:v>
      </x:c>
      <x:c r="D1508" s="12" t="n">
        <x:f>D1507*EXP(C1508)</x:f>
        <x:v>237.1429513844082</x:v>
      </x:c>
      <x:c r="E1508" s="16" t="n">
        <x:f>ABS(C1508)</x:f>
        <x:v>0.00945585813454901</x:v>
      </x:c>
      <x:c r="F1508" s="16" t="n">
        <x:f>C1508^2</x:f>
        <x:v>0.00008941325306071669</x:v>
      </x:c>
      <x:c r="G1508" s="1"/>
      <x:c r="H1508" s="1"/>
      <x:c r="I1508" s="1"/>
      <x:c r="J1508" s="1"/>
      <x:c r="K1508" s="1"/>
      <x:c r="L1508" s="1"/>
      <x:c r="M1508" s="1"/>
      <x:c r="N1508" s="1"/>
    </x:row>
    <x:row r="1509" ht="22" customHeight="1">
      <x:c r="A1509" s="1" t="n">
        <x:v>1493</x:v>
      </x:c>
      <x:c r="B1509" s="16" t="n">
        <x:v>-0.9782551710128565</x:v>
      </x:c>
      <x:c r="C1509" s="16" t="n">
        <x:f>$B$12+$D$12*B1509</x:f>
        <x:v>-0.012441113524542954</x:v>
      </x:c>
      <x:c r="D1509" s="12" t="n">
        <x:f>D1508*EXP(C1509)</x:f>
        <x:v>234.21090577952737</x:v>
      </x:c>
      <x:c r="E1509" s="16" t="n">
        <x:f>ABS(C1509)</x:f>
        <x:v>0.012441113524542954</x:v>
      </x:c>
      <x:c r="F1509" s="16" t="n">
        <x:f>C1509^2</x:f>
        <x:v>0.00015478130573056561</x:v>
      </x:c>
      <x:c r="G1509" s="1"/>
      <x:c r="H1509" s="1"/>
      <x:c r="I1509" s="1"/>
      <x:c r="J1509" s="1"/>
      <x:c r="K1509" s="1"/>
      <x:c r="L1509" s="1"/>
      <x:c r="M1509" s="1"/>
      <x:c r="N1509" s="1"/>
    </x:row>
    <x:row r="1510" ht="22" customHeight="1">
      <x:c r="A1510" s="1" t="n">
        <x:v>1494</x:v>
      </x:c>
      <x:c r="B1510" s="16" t="n">
        <x:v>-0.738237512619549</x:v>
      </x:c>
      <x:c r="C1510" s="16" t="n">
        <x:f>$B$12+$D$12*B1510</x:f>
        <x:v>-0.009267761896852954</x:v>
      </x:c>
      <x:c r="D1510" s="12" t="n">
        <x:f>D1509*EXP(C1510)</x:f>
        <x:v>232.0503222227065</x:v>
      </x:c>
      <x:c r="E1510" s="16" t="n">
        <x:f>ABS(C1510)</x:f>
        <x:v>0.009267761896852954</x:v>
      </x:c>
      <x:c r="F1510" s="16" t="n">
        <x:f>C1510^2</x:f>
        <x:v>0.00008589141057675946</x:v>
      </x:c>
      <x:c r="G1510" s="1"/>
      <x:c r="H1510" s="1"/>
      <x:c r="I1510" s="1"/>
      <x:c r="J1510" s="1"/>
      <x:c r="K1510" s="1"/>
      <x:c r="L1510" s="1"/>
      <x:c r="M1510" s="1"/>
      <x:c r="N1510" s="1"/>
    </x:row>
    <x:row r="1511" ht="22" customHeight="1">
      <x:c r="A1511" s="1" t="n">
        <x:v>1495</x:v>
      </x:c>
      <x:c r="B1511" s="16" t="n">
        <x:v>-1.2170236503874863</x:v>
      </x:c>
      <x:c r="C1511" s="16" t="n">
        <x:f>$B$12+$D$12*B1511</x:f>
        <x:v>-0.015597949349609376</x:v>
      </x:c>
      <x:c r="D1511" s="12" t="n">
        <x:f>D1510*EXP(C1511)</x:f>
        <x:v>228.45889531233198</x:v>
      </x:c>
      <x:c r="E1511" s="16" t="n">
        <x:f>ABS(C1511)</x:f>
        <x:v>0.015597949349609376</x:v>
      </x:c>
      <x:c r="F1511" s="16" t="n">
        <x:f>C1511^2</x:f>
        <x:v>0.00024329602391297956</x:v>
      </x:c>
      <x:c r="G1511" s="1"/>
      <x:c r="H1511" s="1"/>
      <x:c r="I1511" s="1"/>
      <x:c r="J1511" s="1"/>
      <x:c r="K1511" s="1"/>
      <x:c r="L1511" s="1"/>
      <x:c r="M1511" s="1"/>
      <x:c r="N1511" s="1"/>
    </x:row>
    <x:row r="1512" ht="22" customHeight="1">
      <x:c r="A1512" s="1" t="n">
        <x:v>1496</x:v>
      </x:c>
      <x:c r="B1512" s="16" t="n">
        <x:v>2.41032974423062</x:v>
      </x:c>
      <x:c r="C1512" s="16" t="n">
        <x:f>$B$12+$D$12*B1512</x:f>
        <x:v>0.03236047119358167</x:v>
      </x:c>
      <x:c r="D1512" s="12" t="n">
        <x:f>D1511*EXP(C1512)</x:f>
        <x:v>235.97285474000003</x:v>
      </x:c>
      <x:c r="E1512" s="16" t="n">
        <x:f>ABS(C1512)</x:f>
        <x:v>0.03236047119358167</x:v>
      </x:c>
      <x:c r="F1512" s="16" t="n">
        <x:f>C1512^2</x:f>
        <x:v>0.0010472000958706292</x:v>
      </x:c>
      <x:c r="G1512" s="1"/>
      <x:c r="H1512" s="1"/>
      <x:c r="I1512" s="1"/>
      <x:c r="J1512" s="1"/>
      <x:c r="K1512" s="1"/>
      <x:c r="L1512" s="1"/>
      <x:c r="M1512" s="1"/>
      <x:c r="N1512" s="1"/>
    </x:row>
    <x:row r="1513" ht="22" customHeight="1">
      <x:c r="A1513" s="1" t="n">
        <x:v>1497</x:v>
      </x:c>
      <x:c r="B1513" s="16" t="n">
        <x:v>0.9217723639503557</x:v>
      </x:c>
      <x:c r="C1513" s="16" t="n">
        <x:f>$B$12+$D$12*B1513</x:f>
        <x:v>0.012679769293383273</x:v>
      </x:c>
      <x:c r="D1513" s="12" t="n">
        <x:f>D1512*EXP(C1513)</x:f>
        <x:v>238.98398597915048</x:v>
      </x:c>
      <x:c r="E1513" s="16" t="n">
        <x:f>ABS(C1513)</x:f>
        <x:v>0.012679769293383273</x:v>
      </x:c>
      <x:c r="F1513" s="16" t="n">
        <x:f>C1513^2</x:f>
        <x:v>0.00016077654933342535</x:v>
      </x:c>
      <x:c r="G1513" s="1"/>
      <x:c r="H1513" s="1"/>
      <x:c r="I1513" s="1"/>
      <x:c r="J1513" s="1"/>
      <x:c r="K1513" s="1"/>
      <x:c r="L1513" s="1"/>
      <x:c r="M1513" s="1"/>
      <x:c r="N1513" s="1"/>
    </x:row>
    <x:row r="1514" ht="22" customHeight="1">
      <x:c r="A1514" s="1" t="n">
        <x:v>1498</x:v>
      </x:c>
      <x:c r="B1514" s="16" t="n">
        <x:v>0.3983564019117183</x:v>
      </x:c>
      <x:c r="C1514" s="16" t="n">
        <x:f>$B$12+$D$12*B1514</x:f>
        <x:v>0.005759516399438076</x:v>
      </x:c>
      <x:c r="D1514" s="12" t="n">
        <x:f>D1513*EXP(C1514)</x:f>
        <x:v>240.3643895782871</x:v>
      </x:c>
      <x:c r="E1514" s="16" t="n">
        <x:f>ABS(C1514)</x:f>
        <x:v>0.005759516399438076</x:v>
      </x:c>
      <x:c r="F1514" s="16" t="n">
        <x:f>C1514^2</x:f>
        <x:v>0.000033172029155396135</x:v>
      </x:c>
      <x:c r="G1514" s="1"/>
      <x:c r="H1514" s="1"/>
      <x:c r="I1514" s="1"/>
      <x:c r="J1514" s="1"/>
      <x:c r="K1514" s="1"/>
      <x:c r="L1514" s="1"/>
      <x:c r="M1514" s="1"/>
      <x:c r="N1514" s="1"/>
    </x:row>
    <x:row r="1515" ht="22" customHeight="1">
      <x:c r="A1515" s="1" t="n">
        <x:v>1499</x:v>
      </x:c>
      <x:c r="B1515" s="16" t="n">
        <x:v>-0.31411163488882277</x:v>
      </x:c>
      <x:c r="C1515" s="16" t="n">
        <x:f>$B$12+$D$12*B1515</x:f>
        <x:v>-0.003660255543146365</x:v>
      </x:c>
      <x:c r="D1515" s="12" t="n">
        <x:f>D1514*EXP(C1515)</x:f>
        <x:v>239.48620266367598</x:v>
      </x:c>
      <x:c r="E1515" s="16" t="n">
        <x:f>ABS(C1515)</x:f>
        <x:v>0.003660255543146365</x:v>
      </x:c>
      <x:c r="F1515" s="16" t="n">
        <x:f>C1515^2</x:f>
        <x:v>0.000013397470641133691</x:v>
      </x:c>
      <x:c r="G1515" s="1"/>
      <x:c r="H1515" s="1"/>
      <x:c r="I1515" s="1"/>
      <x:c r="J1515" s="1"/>
      <x:c r="K1515" s="1"/>
      <x:c r="L1515" s="1"/>
      <x:c r="M1515" s="1"/>
      <x:c r="N1515" s="1"/>
    </x:row>
    <x:row r="1516" ht="22" customHeight="1">
      <x:c r="A1516" s="1" t="n">
        <x:v>1500</x:v>
      </x:c>
      <x:c r="B1516" s="16" t="n">
        <x:v>0.3243798459321152</x:v>
      </x:c>
      <x:c r="C1516" s="16" t="n">
        <x:f>$B$12+$D$12*B1516</x:f>
        <x:v>0.004781448261034308</x:v>
      </x:c>
      <x:c r="D1516" s="12" t="n">
        <x:f>D1515*EXP(C1516)</x:f>
        <x:v>240.6340355158056</x:v>
      </x:c>
      <x:c r="E1516" s="16" t="n">
        <x:f>ABS(C1516)</x:f>
        <x:v>0.004781448261034308</x:v>
      </x:c>
      <x:c r="F1516" s="16" t="n">
        <x:f>C1516^2</x:f>
        <x:v>0.000022862247472948003</x:v>
      </x:c>
      <x:c r="G1516" s="1"/>
      <x:c r="H1516" s="1"/>
      <x:c r="I1516" s="1"/>
      <x:c r="J1516" s="1"/>
      <x:c r="K1516" s="1"/>
      <x:c r="L1516" s="1"/>
      <x:c r="M1516" s="1"/>
      <x:c r="N1516" s="1"/>
    </x:row>
    <x:row r="1517" ht="22" customHeight="1">
      <x:c r="A1517" s="1" t="n">
        <x:v>1501</x:v>
      </x:c>
      <x:c r="B1517" s="16" t="n">
        <x:v>-0.7795979961637762</x:v>
      </x:c>
      <x:c r="C1517" s="16" t="n">
        <x:f>$B$12+$D$12*B1517</x:f>
        <x:v>-0.009814602319577363</x:v>
      </x:c>
      <x:c r="D1517" s="12" t="n">
        <x:f>D1516*EXP(C1517)</x:f>
        <x:v>238.28386003681865</x:v>
      </x:c>
      <x:c r="E1517" s="16" t="n">
        <x:f>ABS(C1517)</x:f>
        <x:v>0.009814602319577363</x:v>
      </x:c>
      <x:c r="F1517" s="16" t="n">
        <x:f>C1517^2</x:f>
        <x:v>0.00009632641869145336</x:v>
      </x:c>
      <x:c r="G1517" s="1"/>
      <x:c r="H1517" s="1"/>
      <x:c r="I1517" s="1"/>
      <x:c r="J1517" s="1"/>
      <x:c r="K1517" s="1"/>
      <x:c r="L1517" s="1"/>
      <x:c r="M1517" s="1"/>
      <x:c r="N1517" s="1"/>
    </x:row>
    <x:row r="1518" ht="22" customHeight="1">
      <x:c r="A1518" s="1" t="n">
        <x:v>1502</x:v>
      </x:c>
      <x:c r="B1518" s="16" t="n">
        <x:v>-0.8361822679164368</x:v>
      </x:c>
      <x:c r="C1518" s="16" t="n">
        <x:f>$B$12+$D$12*B1518</x:f>
        <x:v>-0.01056272140410621</x:v>
      </x:c>
      <x:c r="D1518" s="12" t="n">
        <x:f>D1517*EXP(C1518)</x:f>
        <x:v>235.78018012300876</x:v>
      </x:c>
      <x:c r="E1518" s="16" t="n">
        <x:f>ABS(C1518)</x:f>
        <x:v>0.01056272140410621</x:v>
      </x:c>
      <x:c r="F1518" s="16" t="n">
        <x:f>C1518^2</x:f>
        <x:v>0.00011157108346076345</x:v>
      </x:c>
      <x:c r="G1518" s="1"/>
      <x:c r="H1518" s="1"/>
      <x:c r="I1518" s="1"/>
      <x:c r="J1518" s="1"/>
      <x:c r="K1518" s="1"/>
      <x:c r="L1518" s="1"/>
      <x:c r="M1518" s="1"/>
      <x:c r="N1518" s="1"/>
    </x:row>
    <x:row r="1519">
      <x:c r="A1519" t="n">
        <x:v>1503</x:v>
      </x:c>
      <x:c r="B1519" s="18" t="n">
        <x:v>-0.6528876307139319</x:v>
      </x:c>
      <x:c r="C1519" s="18" t="n">
        <x:f>$B$12+$D$12*B1519</x:f>
        <x:v>-0.008139323312452986</x:v>
      </x:c>
      <x:c r="D1519" s="19" t="n">
        <x:f>D1518*EXP(C1519)</x:f>
        <x:v>233.86887791138707</x:v>
      </x:c>
      <x:c r="E1519" s="18" t="n">
        <x:f>ABS(C1519)</x:f>
        <x:v>0.008139323312452986</x:v>
      </x:c>
      <x:c r="F1519" s="18" t="n">
        <x:f>C1519^2</x:f>
        <x:v>0.00006624858398464064</x:v>
      </x:c>
    </x:row>
    <x:row r="1520">
      <x:c r="A1520" t="n">
        <x:v>1504</x:v>
      </x:c>
      <x:c r="B1520" s="18" t="n">
        <x:v>-0.4544159283845493</x:v>
      </x:c>
      <x:c r="C1520" s="18" t="n">
        <x:f>$B$12+$D$12*B1520</x:f>
        <x:v>-0.005515264300072783</x:v>
      </x:c>
      <x:c r="D1520" s="19" t="n">
        <x:f>D1519*EXP(C1520)</x:f>
        <x:v>232.58257963618766</x:v>
      </x:c>
      <x:c r="E1520" s="18" t="n">
        <x:f>ABS(C1520)</x:f>
        <x:v>0.005515264300072783</x:v>
      </x:c>
      <x:c r="F1520" s="18" t="n">
        <x:f>C1520^2</x:f>
        <x:v>0.000030418140299657328</x:v>
      </x:c>
    </x:row>
    <x:row r="1521">
      <x:c r="A1521" t="n">
        <x:v>1505</x:v>
      </x:c>
      <x:c r="B1521" s="18" t="n">
        <x:v>1.3457110186259105</x:v>
      </x:c>
      <x:c r="C1521" s="18" t="n">
        <x:f>$B$12+$D$12*B1521</x:f>
        <x:v>0.018284800310104883</x:v>
      </x:c>
      <x:c r="D1521" s="19" t="n">
        <x:f>D1520*EXP(C1521)</x:f>
        <x:v>236.87442384248888</x:v>
      </x:c>
      <x:c r="E1521" s="18" t="n">
        <x:f>ABS(C1521)</x:f>
        <x:v>0.018284800310104883</x:v>
      </x:c>
      <x:c r="F1521" s="18" t="n">
        <x:f>C1521^2</x:f>
        <x:v>0.0003343339223804116</x:v>
      </x:c>
    </x:row>
    <x:row r="1522">
      <x:c r="A1522" t="n">
        <x:v>1506</x:v>
      </x:c>
      <x:c r="B1522" s="18" t="n">
        <x:v>1.964908794945296</x:v>
      </x:c>
      <x:c r="C1522" s="18" t="n">
        <x:f>$B$12+$D$12*B1522</x:f>
        <x:v>0.026471415763728266</x:v>
      </x:c>
      <x:c r="D1522" s="19" t="n">
        <x:f>D1521*EXP(C1522)</x:f>
        <x:v>243.22855558845566</x:v>
      </x:c>
      <x:c r="E1522" s="18" t="n">
        <x:f>ABS(C1522)</x:f>
        <x:v>0.026471415763728266</x:v>
      </x:c>
      <x:c r="F1522" s="18" t="n">
        <x:f>C1522^2</x:f>
        <x:v>0.0007007358525361613</x:v>
      </x:c>
    </x:row>
    <x:row r="1523">
      <x:c r="A1523" t="n">
        <x:v>1507</x:v>
      </x:c>
      <x:c r="B1523" s="18" t="n">
        <x:v>0.6513171748020219</x:v>
      </x:c>
      <x:c r="C1523" s="18" t="n">
        <x:f>$B$12+$D$12*B1523</x:f>
        <x:v>0.009103993159051142</x:v>
      </x:c>
      <x:c r="D1523" s="19" t="n">
        <x:f>D1522*EXP(C1523)</x:f>
        <x:v>245.4530170715897</x:v>
      </x:c>
      <x:c r="E1523" s="18" t="n">
        <x:f>ABS(C1523)</x:f>
        <x:v>0.009103993159051142</x:v>
      </x:c>
      <x:c r="F1523" s="18" t="n">
        <x:f>C1523^2</x:f>
        <x:v>0.00008288269144004999</x:v>
      </x:c>
    </x:row>
  </x:sheetData>
  <x:pageMargins left="0.7" right="0.7" top="0.75" bottom="0.75" header="0.3" footer="0.3"/>
</x:worksheet>
</file>